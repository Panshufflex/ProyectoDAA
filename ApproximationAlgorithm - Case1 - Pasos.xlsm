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Mi unidad\Jobs\Aldo\UCN\1.-Investigación\Researches\Optimo - Mateheurística\"/>
    </mc:Choice>
  </mc:AlternateContent>
  <xr:revisionPtr revIDLastSave="0" documentId="13_ncr:1_{B96C5912-1B4B-4C5B-9B3D-E9B9CFE3D1AB}" xr6:coauthVersionLast="47" xr6:coauthVersionMax="47" xr10:uidLastSave="{00000000-0000-0000-0000-000000000000}"/>
  <bookViews>
    <workbookView xWindow="-120" yWindow="-120" windowWidth="20730" windowHeight="11040" firstSheet="24" activeTab="26" xr2:uid="{0B702CA0-3390-4A1B-817E-865A97D9B98E}"/>
  </bookViews>
  <sheets>
    <sheet name="Inicio" sheetId="16" r:id="rId1"/>
    <sheet name="Paso 1" sheetId="40" r:id="rId2"/>
    <sheet name="Paso 2" sheetId="41" r:id="rId3"/>
    <sheet name="Paso 3" sheetId="42" r:id="rId4"/>
    <sheet name="Paso 4" sheetId="43" r:id="rId5"/>
    <sheet name="Paso 5" sheetId="44" r:id="rId6"/>
    <sheet name="Paso 6" sheetId="45" r:id="rId7"/>
    <sheet name="Paso 7" sheetId="46" r:id="rId8"/>
    <sheet name="Paso 8" sheetId="47" r:id="rId9"/>
    <sheet name="Paso 9" sheetId="48" r:id="rId10"/>
    <sheet name="Paso 10" sheetId="49" r:id="rId11"/>
    <sheet name="Paso 11" sheetId="50" r:id="rId12"/>
    <sheet name="Paso 12" sheetId="51" r:id="rId13"/>
    <sheet name="Paso 13" sheetId="52" r:id="rId14"/>
    <sheet name="Cambio 1" sheetId="27" r:id="rId15"/>
    <sheet name="Solution - After Cambio 1" sheetId="28" r:id="rId16"/>
    <sheet name="Solution - Before Cambio 2" sheetId="29" r:id="rId17"/>
    <sheet name="Cambio 2" sheetId="30" r:id="rId18"/>
    <sheet name="Solution - After Cambio 2" sheetId="31" r:id="rId19"/>
    <sheet name="Solution - Before Cambio 3" sheetId="33" r:id="rId20"/>
    <sheet name="Cambio 3" sheetId="34" r:id="rId21"/>
    <sheet name="Solution - After Cambio 3" sheetId="35" r:id="rId22"/>
    <sheet name="Solution - Before Cambio 4" sheetId="36" r:id="rId23"/>
    <sheet name="Cambio 4" sheetId="37" r:id="rId24"/>
    <sheet name="Solution - After Cambio 4" sheetId="38" r:id="rId25"/>
    <sheet name="Solution - Final" sheetId="39" r:id="rId26"/>
    <sheet name="I-A" sheetId="53" r:id="rId27"/>
    <sheet name="I-B" sheetId="54" r:id="rId28"/>
    <sheet name="II-A" sheetId="55" r:id="rId29"/>
    <sheet name="II-B" sheetId="56" r:id="rId30"/>
  </sheets>
  <definedNames>
    <definedName name="_xlnm._FilterDatabase" localSheetId="26" hidden="1">'I-A'!#REF!</definedName>
    <definedName name="_xlnm._FilterDatabase" localSheetId="27" hidden="1">'I-B'!$K$8:$M$8</definedName>
    <definedName name="_xlnm._FilterDatabase" localSheetId="28" hidden="1">'II-A'!$K$8:$M$8</definedName>
    <definedName name="_xlnm._FilterDatabase" localSheetId="29" hidden="1">'II-B'!$K$8:$M$8</definedName>
    <definedName name="_xlnm._FilterDatabase" localSheetId="0" hidden="1">Inicio!$K$8:$M$8</definedName>
    <definedName name="_xlnm._FilterDatabase" localSheetId="1" hidden="1">'Paso 1'!$K$8:$M$8</definedName>
    <definedName name="_xlnm._FilterDatabase" localSheetId="10" hidden="1">'Paso 10'!$K$8:$M$8</definedName>
    <definedName name="_xlnm._FilterDatabase" localSheetId="11" hidden="1">'Paso 11'!$K$8:$M$8</definedName>
    <definedName name="_xlnm._FilterDatabase" localSheetId="12" hidden="1">'Paso 12'!$K$8:$M$8</definedName>
    <definedName name="_xlnm._FilterDatabase" localSheetId="13" hidden="1">'Paso 13'!$K$8:$M$8</definedName>
    <definedName name="_xlnm._FilterDatabase" localSheetId="2" hidden="1">'Paso 2'!$K$8:$M$8</definedName>
    <definedName name="_xlnm._FilterDatabase" localSheetId="3" hidden="1">'Paso 3'!$K$8:$M$8</definedName>
    <definedName name="_xlnm._FilterDatabase" localSheetId="4" hidden="1">'Paso 4'!$K$8:$M$8</definedName>
    <definedName name="_xlnm._FilterDatabase" localSheetId="5" hidden="1">'Paso 5'!$K$8:$M$8</definedName>
    <definedName name="_xlnm._FilterDatabase" localSheetId="6" hidden="1">'Paso 6'!$K$8:$M$8</definedName>
    <definedName name="_xlnm._FilterDatabase" localSheetId="7" hidden="1">'Paso 7'!$K$8:$M$8</definedName>
    <definedName name="_xlnm._FilterDatabase" localSheetId="8" hidden="1">'Paso 8'!$K$8:$M$8</definedName>
    <definedName name="_xlnm._FilterDatabase" localSheetId="9" hidden="1">'Paso 9'!$K$8:$M$8</definedName>
    <definedName name="_xlnm._FilterDatabase" localSheetId="15" hidden="1">'Solution - After Cambio 1'!$K$8:$M$8</definedName>
    <definedName name="_xlnm._FilterDatabase" localSheetId="18" hidden="1">'Solution - After Cambio 2'!$K$8:$M$8</definedName>
    <definedName name="_xlnm._FilterDatabase" localSheetId="21" hidden="1">'Solution - After Cambio 3'!$K$8:$M$8</definedName>
    <definedName name="_xlnm._FilterDatabase" localSheetId="24" hidden="1">'Solution - After Cambio 4'!$K$8:$M$8</definedName>
    <definedName name="_xlnm._FilterDatabase" localSheetId="16" hidden="1">'Solution - Before Cambio 2'!$K$8:$M$8</definedName>
    <definedName name="_xlnm._FilterDatabase" localSheetId="19" hidden="1">'Solution - Before Cambio 3'!$K$8:$M$8</definedName>
    <definedName name="_xlnm._FilterDatabase" localSheetId="22" hidden="1">'Solution - Before Cambio 4'!$K$8:$M$8</definedName>
    <definedName name="_xlnm._FilterDatabase" localSheetId="25" hidden="1">'Solution - Final'!$K$8:$M$8</definedName>
    <definedName name="solver_adj" localSheetId="26" hidden="1">'I-A'!#REF!</definedName>
    <definedName name="solver_adj" localSheetId="27" hidden="1">'I-B'!$E$14</definedName>
    <definedName name="solver_adj" localSheetId="28" hidden="1">'II-A'!$E$14</definedName>
    <definedName name="solver_adj" localSheetId="29" hidden="1">'II-B'!$E$14</definedName>
    <definedName name="solver_adj" localSheetId="0" hidden="1">Inicio!$E$14</definedName>
    <definedName name="solver_adj" localSheetId="1" hidden="1">'Paso 1'!$E$14</definedName>
    <definedName name="solver_adj" localSheetId="10" hidden="1">'Paso 10'!$E$11</definedName>
    <definedName name="solver_adj" localSheetId="11" hidden="1">'Paso 11'!$E$11</definedName>
    <definedName name="solver_adj" localSheetId="12" hidden="1">'Paso 12'!$E$11</definedName>
    <definedName name="solver_adj" localSheetId="13" hidden="1">'Paso 13'!$E$11</definedName>
    <definedName name="solver_adj" localSheetId="2" hidden="1">'Paso 2'!$E$11</definedName>
    <definedName name="solver_adj" localSheetId="3" hidden="1">'Paso 3'!$E$11</definedName>
    <definedName name="solver_adj" localSheetId="4" hidden="1">'Paso 4'!$E$11</definedName>
    <definedName name="solver_adj" localSheetId="5" hidden="1">'Paso 5'!$E$11</definedName>
    <definedName name="solver_adj" localSheetId="6" hidden="1">'Paso 6'!$E$11</definedName>
    <definedName name="solver_adj" localSheetId="7" hidden="1">'Paso 7'!$E$11</definedName>
    <definedName name="solver_adj" localSheetId="8" hidden="1">'Paso 8'!$E$11</definedName>
    <definedName name="solver_adj" localSheetId="9" hidden="1">'Paso 9'!$E$11</definedName>
    <definedName name="solver_adj" localSheetId="15" hidden="1">'Solution - After Cambio 1'!$E$14</definedName>
    <definedName name="solver_adj" localSheetId="18" hidden="1">'Solution - After Cambio 2'!$T$15</definedName>
    <definedName name="solver_adj" localSheetId="21" hidden="1">'Solution - After Cambio 3'!$T$15</definedName>
    <definedName name="solver_adj" localSheetId="24" hidden="1">'Solution - After Cambio 4'!$E$27</definedName>
    <definedName name="solver_adj" localSheetId="16" hidden="1">'Solution - Before Cambio 2'!$T$15</definedName>
    <definedName name="solver_adj" localSheetId="19" hidden="1">'Solution - Before Cambio 3'!$T$15</definedName>
    <definedName name="solver_adj" localSheetId="22" hidden="1">'Solution - Before Cambio 4'!$E$27</definedName>
    <definedName name="solver_adj" localSheetId="25" hidden="1">'Solution - Final'!$E$29</definedName>
    <definedName name="solver_cvg" localSheetId="26" hidden="1">0.0001</definedName>
    <definedName name="solver_cvg" localSheetId="27" hidden="1">0.0001</definedName>
    <definedName name="solver_cvg" localSheetId="28" hidden="1">0.0001</definedName>
    <definedName name="solver_cvg" localSheetId="29" hidden="1">0.0001</definedName>
    <definedName name="solver_cvg" localSheetId="0" hidden="1">0.0001</definedName>
    <definedName name="solver_cvg" localSheetId="1" hidden="1">0.0001</definedName>
    <definedName name="solver_cvg" localSheetId="10" hidden="1">0.0001</definedName>
    <definedName name="solver_cvg" localSheetId="11" hidden="1">0.0001</definedName>
    <definedName name="solver_cvg" localSheetId="12" hidden="1">0.0001</definedName>
    <definedName name="solver_cvg" localSheetId="13" hidden="1">0.0001</definedName>
    <definedName name="solver_cvg" localSheetId="2" hidden="1">0.0001</definedName>
    <definedName name="solver_cvg" localSheetId="3" hidden="1">0.0001</definedName>
    <definedName name="solver_cvg" localSheetId="4" hidden="1">0.0001</definedName>
    <definedName name="solver_cvg" localSheetId="5" hidden="1">0.0001</definedName>
    <definedName name="solver_cvg" localSheetId="6" hidden="1">0.0001</definedName>
    <definedName name="solver_cvg" localSheetId="7" hidden="1">0.0001</definedName>
    <definedName name="solver_cvg" localSheetId="8" hidden="1">0.0001</definedName>
    <definedName name="solver_cvg" localSheetId="9" hidden="1">0.0001</definedName>
    <definedName name="solver_cvg" localSheetId="15" hidden="1">0.0001</definedName>
    <definedName name="solver_cvg" localSheetId="18" hidden="1">0.0001</definedName>
    <definedName name="solver_cvg" localSheetId="21" hidden="1">0.0001</definedName>
    <definedName name="solver_cvg" localSheetId="24" hidden="1">0.0001</definedName>
    <definedName name="solver_cvg" localSheetId="16" hidden="1">0.0001</definedName>
    <definedName name="solver_cvg" localSheetId="19" hidden="1">0.0001</definedName>
    <definedName name="solver_cvg" localSheetId="22" hidden="1">0.0001</definedName>
    <definedName name="solver_cvg" localSheetId="25" hidden="1">0.0001</definedName>
    <definedName name="solver_drv" localSheetId="26" hidden="1">1</definedName>
    <definedName name="solver_drv" localSheetId="27" hidden="1">1</definedName>
    <definedName name="solver_drv" localSheetId="28" hidden="1">1</definedName>
    <definedName name="solver_drv" localSheetId="29" hidden="1">1</definedName>
    <definedName name="solver_drv" localSheetId="0" hidden="1">1</definedName>
    <definedName name="solver_drv" localSheetId="1" hidden="1">1</definedName>
    <definedName name="solver_drv" localSheetId="10" hidden="1">1</definedName>
    <definedName name="solver_drv" localSheetId="11" hidden="1">1</definedName>
    <definedName name="solver_drv" localSheetId="12" hidden="1">1</definedName>
    <definedName name="solver_drv" localSheetId="13" hidden="1">1</definedName>
    <definedName name="solver_drv" localSheetId="2" hidden="1">1</definedName>
    <definedName name="solver_drv" localSheetId="3" hidden="1">1</definedName>
    <definedName name="solver_drv" localSheetId="4" hidden="1">1</definedName>
    <definedName name="solver_drv" localSheetId="5" hidden="1">1</definedName>
    <definedName name="solver_drv" localSheetId="6" hidden="1">1</definedName>
    <definedName name="solver_drv" localSheetId="7" hidden="1">1</definedName>
    <definedName name="solver_drv" localSheetId="8" hidden="1">1</definedName>
    <definedName name="solver_drv" localSheetId="9" hidden="1">1</definedName>
    <definedName name="solver_drv" localSheetId="15" hidden="1">1</definedName>
    <definedName name="solver_drv" localSheetId="18" hidden="1">1</definedName>
    <definedName name="solver_drv" localSheetId="21" hidden="1">1</definedName>
    <definedName name="solver_drv" localSheetId="24" hidden="1">1</definedName>
    <definedName name="solver_drv" localSheetId="16" hidden="1">1</definedName>
    <definedName name="solver_drv" localSheetId="19" hidden="1">1</definedName>
    <definedName name="solver_drv" localSheetId="22" hidden="1">1</definedName>
    <definedName name="solver_drv" localSheetId="25" hidden="1">1</definedName>
    <definedName name="solver_eng" localSheetId="26" hidden="1">1</definedName>
    <definedName name="solver_eng" localSheetId="27" hidden="1">1</definedName>
    <definedName name="solver_eng" localSheetId="28" hidden="1">1</definedName>
    <definedName name="solver_eng" localSheetId="29" hidden="1">1</definedName>
    <definedName name="solver_eng" localSheetId="0" hidden="1">1</definedName>
    <definedName name="solver_eng" localSheetId="1" hidden="1">1</definedName>
    <definedName name="solver_eng" localSheetId="10" hidden="1">1</definedName>
    <definedName name="solver_eng" localSheetId="11" hidden="1">1</definedName>
    <definedName name="solver_eng" localSheetId="12" hidden="1">1</definedName>
    <definedName name="solver_eng" localSheetId="13" hidden="1">1</definedName>
    <definedName name="solver_eng" localSheetId="2" hidden="1">1</definedName>
    <definedName name="solver_eng" localSheetId="3" hidden="1">1</definedName>
    <definedName name="solver_eng" localSheetId="4" hidden="1">1</definedName>
    <definedName name="solver_eng" localSheetId="5" hidden="1">1</definedName>
    <definedName name="solver_eng" localSheetId="6" hidden="1">1</definedName>
    <definedName name="solver_eng" localSheetId="7" hidden="1">1</definedName>
    <definedName name="solver_eng" localSheetId="8" hidden="1">1</definedName>
    <definedName name="solver_eng" localSheetId="9" hidden="1">1</definedName>
    <definedName name="solver_eng" localSheetId="15" hidden="1">1</definedName>
    <definedName name="solver_eng" localSheetId="18" hidden="1">1</definedName>
    <definedName name="solver_eng" localSheetId="21" hidden="1">1</definedName>
    <definedName name="solver_eng" localSheetId="24" hidden="1">1</definedName>
    <definedName name="solver_eng" localSheetId="16" hidden="1">1</definedName>
    <definedName name="solver_eng" localSheetId="19" hidden="1">1</definedName>
    <definedName name="solver_eng" localSheetId="22" hidden="1">1</definedName>
    <definedName name="solver_eng" localSheetId="25" hidden="1">1</definedName>
    <definedName name="solver_est" localSheetId="26" hidden="1">1</definedName>
    <definedName name="solver_est" localSheetId="27" hidden="1">1</definedName>
    <definedName name="solver_est" localSheetId="28" hidden="1">1</definedName>
    <definedName name="solver_est" localSheetId="29" hidden="1">1</definedName>
    <definedName name="solver_est" localSheetId="0" hidden="1">1</definedName>
    <definedName name="solver_est" localSheetId="1" hidden="1">1</definedName>
    <definedName name="solver_est" localSheetId="10" hidden="1">1</definedName>
    <definedName name="solver_est" localSheetId="11" hidden="1">1</definedName>
    <definedName name="solver_est" localSheetId="12" hidden="1">1</definedName>
    <definedName name="solver_est" localSheetId="13" hidden="1">1</definedName>
    <definedName name="solver_est" localSheetId="2" hidden="1">1</definedName>
    <definedName name="solver_est" localSheetId="3" hidden="1">1</definedName>
    <definedName name="solver_est" localSheetId="4" hidden="1">1</definedName>
    <definedName name="solver_est" localSheetId="5" hidden="1">1</definedName>
    <definedName name="solver_est" localSheetId="6" hidden="1">1</definedName>
    <definedName name="solver_est" localSheetId="7" hidden="1">1</definedName>
    <definedName name="solver_est" localSheetId="8" hidden="1">1</definedName>
    <definedName name="solver_est" localSheetId="9" hidden="1">1</definedName>
    <definedName name="solver_est" localSheetId="15" hidden="1">1</definedName>
    <definedName name="solver_est" localSheetId="18" hidden="1">1</definedName>
    <definedName name="solver_est" localSheetId="21" hidden="1">1</definedName>
    <definedName name="solver_est" localSheetId="24" hidden="1">1</definedName>
    <definedName name="solver_est" localSheetId="16" hidden="1">1</definedName>
    <definedName name="solver_est" localSheetId="19" hidden="1">1</definedName>
    <definedName name="solver_est" localSheetId="22" hidden="1">1</definedName>
    <definedName name="solver_est" localSheetId="25" hidden="1">1</definedName>
    <definedName name="solver_itr" localSheetId="26" hidden="1">2147483647</definedName>
    <definedName name="solver_itr" localSheetId="27" hidden="1">2147483647</definedName>
    <definedName name="solver_itr" localSheetId="28" hidden="1">2147483647</definedName>
    <definedName name="solver_itr" localSheetId="29" hidden="1">2147483647</definedName>
    <definedName name="solver_itr" localSheetId="0" hidden="1">2147483647</definedName>
    <definedName name="solver_itr" localSheetId="1" hidden="1">2147483647</definedName>
    <definedName name="solver_itr" localSheetId="10" hidden="1">2147483647</definedName>
    <definedName name="solver_itr" localSheetId="11" hidden="1">2147483647</definedName>
    <definedName name="solver_itr" localSheetId="12" hidden="1">2147483647</definedName>
    <definedName name="solver_itr" localSheetId="13" hidden="1">2147483647</definedName>
    <definedName name="solver_itr" localSheetId="2" hidden="1">2147483647</definedName>
    <definedName name="solver_itr" localSheetId="3" hidden="1">2147483647</definedName>
    <definedName name="solver_itr" localSheetId="4" hidden="1">2147483647</definedName>
    <definedName name="solver_itr" localSheetId="5" hidden="1">2147483647</definedName>
    <definedName name="solver_itr" localSheetId="6" hidden="1">2147483647</definedName>
    <definedName name="solver_itr" localSheetId="7" hidden="1">2147483647</definedName>
    <definedName name="solver_itr" localSheetId="8" hidden="1">2147483647</definedName>
    <definedName name="solver_itr" localSheetId="9" hidden="1">2147483647</definedName>
    <definedName name="solver_itr" localSheetId="15" hidden="1">2147483647</definedName>
    <definedName name="solver_itr" localSheetId="18" hidden="1">2147483647</definedName>
    <definedName name="solver_itr" localSheetId="21" hidden="1">2147483647</definedName>
    <definedName name="solver_itr" localSheetId="24" hidden="1">2147483647</definedName>
    <definedName name="solver_itr" localSheetId="16" hidden="1">2147483647</definedName>
    <definedName name="solver_itr" localSheetId="19" hidden="1">2147483647</definedName>
    <definedName name="solver_itr" localSheetId="22" hidden="1">2147483647</definedName>
    <definedName name="solver_itr" localSheetId="25" hidden="1">2147483647</definedName>
    <definedName name="solver_mip" localSheetId="26" hidden="1">2147483647</definedName>
    <definedName name="solver_mip" localSheetId="27" hidden="1">2147483647</definedName>
    <definedName name="solver_mip" localSheetId="28" hidden="1">2147483647</definedName>
    <definedName name="solver_mip" localSheetId="29" hidden="1">2147483647</definedName>
    <definedName name="solver_mip" localSheetId="0" hidden="1">2147483647</definedName>
    <definedName name="solver_mip" localSheetId="1" hidden="1">2147483647</definedName>
    <definedName name="solver_mip" localSheetId="10" hidden="1">2147483647</definedName>
    <definedName name="solver_mip" localSheetId="11" hidden="1">2147483647</definedName>
    <definedName name="solver_mip" localSheetId="12" hidden="1">2147483647</definedName>
    <definedName name="solver_mip" localSheetId="13" hidden="1">2147483647</definedName>
    <definedName name="solver_mip" localSheetId="2" hidden="1">2147483647</definedName>
    <definedName name="solver_mip" localSheetId="3" hidden="1">2147483647</definedName>
    <definedName name="solver_mip" localSheetId="4" hidden="1">2147483647</definedName>
    <definedName name="solver_mip" localSheetId="5" hidden="1">2147483647</definedName>
    <definedName name="solver_mip" localSheetId="6" hidden="1">2147483647</definedName>
    <definedName name="solver_mip" localSheetId="7" hidden="1">2147483647</definedName>
    <definedName name="solver_mip" localSheetId="8" hidden="1">2147483647</definedName>
    <definedName name="solver_mip" localSheetId="9" hidden="1">2147483647</definedName>
    <definedName name="solver_mip" localSheetId="15" hidden="1">2147483647</definedName>
    <definedName name="solver_mip" localSheetId="18" hidden="1">2147483647</definedName>
    <definedName name="solver_mip" localSheetId="21" hidden="1">2147483647</definedName>
    <definedName name="solver_mip" localSheetId="24" hidden="1">2147483647</definedName>
    <definedName name="solver_mip" localSheetId="16" hidden="1">2147483647</definedName>
    <definedName name="solver_mip" localSheetId="19" hidden="1">2147483647</definedName>
    <definedName name="solver_mip" localSheetId="22" hidden="1">2147483647</definedName>
    <definedName name="solver_mip" localSheetId="25" hidden="1">2147483647</definedName>
    <definedName name="solver_mni" localSheetId="26" hidden="1">30</definedName>
    <definedName name="solver_mni" localSheetId="27" hidden="1">30</definedName>
    <definedName name="solver_mni" localSheetId="28" hidden="1">30</definedName>
    <definedName name="solver_mni" localSheetId="29" hidden="1">30</definedName>
    <definedName name="solver_mni" localSheetId="0" hidden="1">30</definedName>
    <definedName name="solver_mni" localSheetId="1" hidden="1">30</definedName>
    <definedName name="solver_mni" localSheetId="10" hidden="1">30</definedName>
    <definedName name="solver_mni" localSheetId="11" hidden="1">30</definedName>
    <definedName name="solver_mni" localSheetId="12" hidden="1">30</definedName>
    <definedName name="solver_mni" localSheetId="13" hidden="1">30</definedName>
    <definedName name="solver_mni" localSheetId="2" hidden="1">30</definedName>
    <definedName name="solver_mni" localSheetId="3" hidden="1">30</definedName>
    <definedName name="solver_mni" localSheetId="4" hidden="1">30</definedName>
    <definedName name="solver_mni" localSheetId="5" hidden="1">30</definedName>
    <definedName name="solver_mni" localSheetId="6" hidden="1">30</definedName>
    <definedName name="solver_mni" localSheetId="7" hidden="1">30</definedName>
    <definedName name="solver_mni" localSheetId="8" hidden="1">30</definedName>
    <definedName name="solver_mni" localSheetId="9" hidden="1">30</definedName>
    <definedName name="solver_mni" localSheetId="15" hidden="1">30</definedName>
    <definedName name="solver_mni" localSheetId="18" hidden="1">30</definedName>
    <definedName name="solver_mni" localSheetId="21" hidden="1">30</definedName>
    <definedName name="solver_mni" localSheetId="24" hidden="1">30</definedName>
    <definedName name="solver_mni" localSheetId="16" hidden="1">30</definedName>
    <definedName name="solver_mni" localSheetId="19" hidden="1">30</definedName>
    <definedName name="solver_mni" localSheetId="22" hidden="1">30</definedName>
    <definedName name="solver_mni" localSheetId="25" hidden="1">30</definedName>
    <definedName name="solver_mrt" localSheetId="26" hidden="1">0.075</definedName>
    <definedName name="solver_mrt" localSheetId="27" hidden="1">0.075</definedName>
    <definedName name="solver_mrt" localSheetId="28" hidden="1">0.075</definedName>
    <definedName name="solver_mrt" localSheetId="29" hidden="1">0.075</definedName>
    <definedName name="solver_mrt" localSheetId="0" hidden="1">0.075</definedName>
    <definedName name="solver_mrt" localSheetId="1" hidden="1">0.075</definedName>
    <definedName name="solver_mrt" localSheetId="10" hidden="1">0.075</definedName>
    <definedName name="solver_mrt" localSheetId="11" hidden="1">0.075</definedName>
    <definedName name="solver_mrt" localSheetId="12" hidden="1">0.075</definedName>
    <definedName name="solver_mrt" localSheetId="13" hidden="1">0.075</definedName>
    <definedName name="solver_mrt" localSheetId="2" hidden="1">0.075</definedName>
    <definedName name="solver_mrt" localSheetId="3" hidden="1">0.075</definedName>
    <definedName name="solver_mrt" localSheetId="4" hidden="1">0.075</definedName>
    <definedName name="solver_mrt" localSheetId="5" hidden="1">0.075</definedName>
    <definedName name="solver_mrt" localSheetId="6" hidden="1">0.075</definedName>
    <definedName name="solver_mrt" localSheetId="7" hidden="1">0.075</definedName>
    <definedName name="solver_mrt" localSheetId="8" hidden="1">0.075</definedName>
    <definedName name="solver_mrt" localSheetId="9" hidden="1">0.075</definedName>
    <definedName name="solver_mrt" localSheetId="15" hidden="1">0.075</definedName>
    <definedName name="solver_mrt" localSheetId="18" hidden="1">0.075</definedName>
    <definedName name="solver_mrt" localSheetId="21" hidden="1">0.075</definedName>
    <definedName name="solver_mrt" localSheetId="24" hidden="1">0.075</definedName>
    <definedName name="solver_mrt" localSheetId="16" hidden="1">0.075</definedName>
    <definedName name="solver_mrt" localSheetId="19" hidden="1">0.075</definedName>
    <definedName name="solver_mrt" localSheetId="22" hidden="1">0.075</definedName>
    <definedName name="solver_mrt" localSheetId="25" hidden="1">0.075</definedName>
    <definedName name="solver_msl" localSheetId="26" hidden="1">2</definedName>
    <definedName name="solver_msl" localSheetId="27" hidden="1">2</definedName>
    <definedName name="solver_msl" localSheetId="28" hidden="1">2</definedName>
    <definedName name="solver_msl" localSheetId="29" hidden="1">2</definedName>
    <definedName name="solver_msl" localSheetId="0" hidden="1">2</definedName>
    <definedName name="solver_msl" localSheetId="1" hidden="1">2</definedName>
    <definedName name="solver_msl" localSheetId="10" hidden="1">2</definedName>
    <definedName name="solver_msl" localSheetId="11" hidden="1">2</definedName>
    <definedName name="solver_msl" localSheetId="12" hidden="1">2</definedName>
    <definedName name="solver_msl" localSheetId="13" hidden="1">2</definedName>
    <definedName name="solver_msl" localSheetId="2" hidden="1">2</definedName>
    <definedName name="solver_msl" localSheetId="3" hidden="1">2</definedName>
    <definedName name="solver_msl" localSheetId="4" hidden="1">2</definedName>
    <definedName name="solver_msl" localSheetId="5" hidden="1">2</definedName>
    <definedName name="solver_msl" localSheetId="6" hidden="1">2</definedName>
    <definedName name="solver_msl" localSheetId="7" hidden="1">2</definedName>
    <definedName name="solver_msl" localSheetId="8" hidden="1">2</definedName>
    <definedName name="solver_msl" localSheetId="9" hidden="1">2</definedName>
    <definedName name="solver_msl" localSheetId="15" hidden="1">2</definedName>
    <definedName name="solver_msl" localSheetId="18" hidden="1">2</definedName>
    <definedName name="solver_msl" localSheetId="21" hidden="1">2</definedName>
    <definedName name="solver_msl" localSheetId="24" hidden="1">2</definedName>
    <definedName name="solver_msl" localSheetId="16" hidden="1">2</definedName>
    <definedName name="solver_msl" localSheetId="19" hidden="1">2</definedName>
    <definedName name="solver_msl" localSheetId="22" hidden="1">2</definedName>
    <definedName name="solver_msl" localSheetId="25" hidden="1">2</definedName>
    <definedName name="solver_neg" localSheetId="26" hidden="1">1</definedName>
    <definedName name="solver_neg" localSheetId="27" hidden="1">1</definedName>
    <definedName name="solver_neg" localSheetId="28" hidden="1">1</definedName>
    <definedName name="solver_neg" localSheetId="29" hidden="1">1</definedName>
    <definedName name="solver_neg" localSheetId="0" hidden="1">1</definedName>
    <definedName name="solver_neg" localSheetId="1" hidden="1">1</definedName>
    <definedName name="solver_neg" localSheetId="10" hidden="1">1</definedName>
    <definedName name="solver_neg" localSheetId="11" hidden="1">1</definedName>
    <definedName name="solver_neg" localSheetId="12" hidden="1">1</definedName>
    <definedName name="solver_neg" localSheetId="13" hidden="1">1</definedName>
    <definedName name="solver_neg" localSheetId="2" hidden="1">1</definedName>
    <definedName name="solver_neg" localSheetId="3" hidden="1">1</definedName>
    <definedName name="solver_neg" localSheetId="4" hidden="1">1</definedName>
    <definedName name="solver_neg" localSheetId="5" hidden="1">1</definedName>
    <definedName name="solver_neg" localSheetId="6" hidden="1">1</definedName>
    <definedName name="solver_neg" localSheetId="7" hidden="1">1</definedName>
    <definedName name="solver_neg" localSheetId="8" hidden="1">1</definedName>
    <definedName name="solver_neg" localSheetId="9" hidden="1">1</definedName>
    <definedName name="solver_neg" localSheetId="15" hidden="1">1</definedName>
    <definedName name="solver_neg" localSheetId="18" hidden="1">1</definedName>
    <definedName name="solver_neg" localSheetId="21" hidden="1">1</definedName>
    <definedName name="solver_neg" localSheetId="24" hidden="1">1</definedName>
    <definedName name="solver_neg" localSheetId="16" hidden="1">1</definedName>
    <definedName name="solver_neg" localSheetId="19" hidden="1">1</definedName>
    <definedName name="solver_neg" localSheetId="22" hidden="1">1</definedName>
    <definedName name="solver_neg" localSheetId="25" hidden="1">1</definedName>
    <definedName name="solver_nod" localSheetId="26" hidden="1">2147483647</definedName>
    <definedName name="solver_nod" localSheetId="27" hidden="1">2147483647</definedName>
    <definedName name="solver_nod" localSheetId="28" hidden="1">2147483647</definedName>
    <definedName name="solver_nod" localSheetId="29" hidden="1">2147483647</definedName>
    <definedName name="solver_nod" localSheetId="0" hidden="1">2147483647</definedName>
    <definedName name="solver_nod" localSheetId="1" hidden="1">2147483647</definedName>
    <definedName name="solver_nod" localSheetId="10" hidden="1">2147483647</definedName>
    <definedName name="solver_nod" localSheetId="11" hidden="1">2147483647</definedName>
    <definedName name="solver_nod" localSheetId="12" hidden="1">2147483647</definedName>
    <definedName name="solver_nod" localSheetId="13" hidden="1">2147483647</definedName>
    <definedName name="solver_nod" localSheetId="2" hidden="1">2147483647</definedName>
    <definedName name="solver_nod" localSheetId="3" hidden="1">2147483647</definedName>
    <definedName name="solver_nod" localSheetId="4" hidden="1">2147483647</definedName>
    <definedName name="solver_nod" localSheetId="5" hidden="1">2147483647</definedName>
    <definedName name="solver_nod" localSheetId="6" hidden="1">2147483647</definedName>
    <definedName name="solver_nod" localSheetId="7" hidden="1">2147483647</definedName>
    <definedName name="solver_nod" localSheetId="8" hidden="1">2147483647</definedName>
    <definedName name="solver_nod" localSheetId="9" hidden="1">2147483647</definedName>
    <definedName name="solver_nod" localSheetId="15" hidden="1">2147483647</definedName>
    <definedName name="solver_nod" localSheetId="18" hidden="1">2147483647</definedName>
    <definedName name="solver_nod" localSheetId="21" hidden="1">2147483647</definedName>
    <definedName name="solver_nod" localSheetId="24" hidden="1">2147483647</definedName>
    <definedName name="solver_nod" localSheetId="16" hidden="1">2147483647</definedName>
    <definedName name="solver_nod" localSheetId="19" hidden="1">2147483647</definedName>
    <definedName name="solver_nod" localSheetId="22" hidden="1">2147483647</definedName>
    <definedName name="solver_nod" localSheetId="25" hidden="1">2147483647</definedName>
    <definedName name="solver_num" localSheetId="26" hidden="1">0</definedName>
    <definedName name="solver_num" localSheetId="27" hidden="1">0</definedName>
    <definedName name="solver_num" localSheetId="28" hidden="1">0</definedName>
    <definedName name="solver_num" localSheetId="29" hidden="1">0</definedName>
    <definedName name="solver_num" localSheetId="0" hidden="1">0</definedName>
    <definedName name="solver_num" localSheetId="1" hidden="1">0</definedName>
    <definedName name="solver_num" localSheetId="10" hidden="1">0</definedName>
    <definedName name="solver_num" localSheetId="11" hidden="1">0</definedName>
    <definedName name="solver_num" localSheetId="12" hidden="1">0</definedName>
    <definedName name="solver_num" localSheetId="13" hidden="1">0</definedName>
    <definedName name="solver_num" localSheetId="2" hidden="1">0</definedName>
    <definedName name="solver_num" localSheetId="3" hidden="1">0</definedName>
    <definedName name="solver_num" localSheetId="4" hidden="1">0</definedName>
    <definedName name="solver_num" localSheetId="5" hidden="1">0</definedName>
    <definedName name="solver_num" localSheetId="6" hidden="1">0</definedName>
    <definedName name="solver_num" localSheetId="7" hidden="1">0</definedName>
    <definedName name="solver_num" localSheetId="8" hidden="1">0</definedName>
    <definedName name="solver_num" localSheetId="9" hidden="1">0</definedName>
    <definedName name="solver_num" localSheetId="15" hidden="1">0</definedName>
    <definedName name="solver_num" localSheetId="18" hidden="1">0</definedName>
    <definedName name="solver_num" localSheetId="21" hidden="1">0</definedName>
    <definedName name="solver_num" localSheetId="24" hidden="1">0</definedName>
    <definedName name="solver_num" localSheetId="16" hidden="1">0</definedName>
    <definedName name="solver_num" localSheetId="19" hidden="1">0</definedName>
    <definedName name="solver_num" localSheetId="22" hidden="1">0</definedName>
    <definedName name="solver_num" localSheetId="25" hidden="1">0</definedName>
    <definedName name="solver_nwt" localSheetId="26" hidden="1">1</definedName>
    <definedName name="solver_nwt" localSheetId="27" hidden="1">1</definedName>
    <definedName name="solver_nwt" localSheetId="28" hidden="1">1</definedName>
    <definedName name="solver_nwt" localSheetId="29" hidden="1">1</definedName>
    <definedName name="solver_nwt" localSheetId="0" hidden="1">1</definedName>
    <definedName name="solver_nwt" localSheetId="1" hidden="1">1</definedName>
    <definedName name="solver_nwt" localSheetId="10" hidden="1">1</definedName>
    <definedName name="solver_nwt" localSheetId="11" hidden="1">1</definedName>
    <definedName name="solver_nwt" localSheetId="12" hidden="1">1</definedName>
    <definedName name="solver_nwt" localSheetId="13" hidden="1">1</definedName>
    <definedName name="solver_nwt" localSheetId="2" hidden="1">1</definedName>
    <definedName name="solver_nwt" localSheetId="3" hidden="1">1</definedName>
    <definedName name="solver_nwt" localSheetId="4" hidden="1">1</definedName>
    <definedName name="solver_nwt" localSheetId="5" hidden="1">1</definedName>
    <definedName name="solver_nwt" localSheetId="6" hidden="1">1</definedName>
    <definedName name="solver_nwt" localSheetId="7" hidden="1">1</definedName>
    <definedName name="solver_nwt" localSheetId="8" hidden="1">1</definedName>
    <definedName name="solver_nwt" localSheetId="9" hidden="1">1</definedName>
    <definedName name="solver_nwt" localSheetId="15" hidden="1">1</definedName>
    <definedName name="solver_nwt" localSheetId="18" hidden="1">1</definedName>
    <definedName name="solver_nwt" localSheetId="21" hidden="1">1</definedName>
    <definedName name="solver_nwt" localSheetId="24" hidden="1">1</definedName>
    <definedName name="solver_nwt" localSheetId="16" hidden="1">1</definedName>
    <definedName name="solver_nwt" localSheetId="19" hidden="1">1</definedName>
    <definedName name="solver_nwt" localSheetId="22" hidden="1">1</definedName>
    <definedName name="solver_nwt" localSheetId="25" hidden="1">1</definedName>
    <definedName name="solver_opt" localSheetId="26" hidden="1">'I-A'!#REF!</definedName>
    <definedName name="solver_opt" localSheetId="27" hidden="1">'I-B'!$T$1</definedName>
    <definedName name="solver_opt" localSheetId="28" hidden="1">'II-A'!$T$1</definedName>
    <definedName name="solver_opt" localSheetId="29" hidden="1">'II-B'!$T$1</definedName>
    <definedName name="solver_opt" localSheetId="0" hidden="1">Inicio!$T$1</definedName>
    <definedName name="solver_opt" localSheetId="1" hidden="1">'Paso 1'!$T$1</definedName>
    <definedName name="solver_opt" localSheetId="10" hidden="1">'Paso 10'!$S$1</definedName>
    <definedName name="solver_opt" localSheetId="11" hidden="1">'Paso 11'!$S$1</definedName>
    <definedName name="solver_opt" localSheetId="12" hidden="1">'Paso 12'!$S$1</definedName>
    <definedName name="solver_opt" localSheetId="13" hidden="1">'Paso 13'!$S$1</definedName>
    <definedName name="solver_opt" localSheetId="2" hidden="1">'Paso 2'!$S$1</definedName>
    <definedName name="solver_opt" localSheetId="3" hidden="1">'Paso 3'!$S$1</definedName>
    <definedName name="solver_opt" localSheetId="4" hidden="1">'Paso 4'!$S$1</definedName>
    <definedName name="solver_opt" localSheetId="5" hidden="1">'Paso 5'!$S$1</definedName>
    <definedName name="solver_opt" localSheetId="6" hidden="1">'Paso 6'!$S$1</definedName>
    <definedName name="solver_opt" localSheetId="7" hidden="1">'Paso 7'!$S$1</definedName>
    <definedName name="solver_opt" localSheetId="8" hidden="1">'Paso 8'!$S$1</definedName>
    <definedName name="solver_opt" localSheetId="9" hidden="1">'Paso 9'!$S$1</definedName>
    <definedName name="solver_opt" localSheetId="15" hidden="1">'Solution - After Cambio 1'!$T$1</definedName>
    <definedName name="solver_opt" localSheetId="18" hidden="1">'Solution - After Cambio 2'!$T$2</definedName>
    <definedName name="solver_opt" localSheetId="21" hidden="1">'Solution - After Cambio 3'!$T$2</definedName>
    <definedName name="solver_opt" localSheetId="24" hidden="1">'Solution - After Cambio 4'!$T$1</definedName>
    <definedName name="solver_opt" localSheetId="16" hidden="1">'Solution - Before Cambio 2'!$T$2</definedName>
    <definedName name="solver_opt" localSheetId="19" hidden="1">'Solution - Before Cambio 3'!$T$2</definedName>
    <definedName name="solver_opt" localSheetId="22" hidden="1">'Solution - Before Cambio 4'!$T$1</definedName>
    <definedName name="solver_opt" localSheetId="25" hidden="1">'Solution - Final'!$T$1</definedName>
    <definedName name="solver_pre" localSheetId="26" hidden="1">0.000001</definedName>
    <definedName name="solver_pre" localSheetId="27" hidden="1">0.000001</definedName>
    <definedName name="solver_pre" localSheetId="28" hidden="1">0.000001</definedName>
    <definedName name="solver_pre" localSheetId="29" hidden="1">0.000001</definedName>
    <definedName name="solver_pre" localSheetId="0" hidden="1">0.000001</definedName>
    <definedName name="solver_pre" localSheetId="1" hidden="1">0.000001</definedName>
    <definedName name="solver_pre" localSheetId="10" hidden="1">0.000001</definedName>
    <definedName name="solver_pre" localSheetId="11" hidden="1">0.000001</definedName>
    <definedName name="solver_pre" localSheetId="12" hidden="1">0.000001</definedName>
    <definedName name="solver_pre" localSheetId="13" hidden="1">0.000001</definedName>
    <definedName name="solver_pre" localSheetId="2" hidden="1">0.000001</definedName>
    <definedName name="solver_pre" localSheetId="3" hidden="1">0.000001</definedName>
    <definedName name="solver_pre" localSheetId="4" hidden="1">0.000001</definedName>
    <definedName name="solver_pre" localSheetId="5" hidden="1">0.000001</definedName>
    <definedName name="solver_pre" localSheetId="6" hidden="1">0.000001</definedName>
    <definedName name="solver_pre" localSheetId="7" hidden="1">0.000001</definedName>
    <definedName name="solver_pre" localSheetId="8" hidden="1">0.000001</definedName>
    <definedName name="solver_pre" localSheetId="9" hidden="1">0.000001</definedName>
    <definedName name="solver_pre" localSheetId="15" hidden="1">0.000001</definedName>
    <definedName name="solver_pre" localSheetId="18" hidden="1">0.000001</definedName>
    <definedName name="solver_pre" localSheetId="21" hidden="1">0.000001</definedName>
    <definedName name="solver_pre" localSheetId="24" hidden="1">0.000001</definedName>
    <definedName name="solver_pre" localSheetId="16" hidden="1">0.000001</definedName>
    <definedName name="solver_pre" localSheetId="19" hidden="1">0.000001</definedName>
    <definedName name="solver_pre" localSheetId="22" hidden="1">0.000001</definedName>
    <definedName name="solver_pre" localSheetId="25" hidden="1">0.000001</definedName>
    <definedName name="solver_rbv" localSheetId="26" hidden="1">1</definedName>
    <definedName name="solver_rbv" localSheetId="27" hidden="1">1</definedName>
    <definedName name="solver_rbv" localSheetId="28" hidden="1">1</definedName>
    <definedName name="solver_rbv" localSheetId="29" hidden="1">1</definedName>
    <definedName name="solver_rbv" localSheetId="0" hidden="1">1</definedName>
    <definedName name="solver_rbv" localSheetId="1" hidden="1">1</definedName>
    <definedName name="solver_rbv" localSheetId="10" hidden="1">1</definedName>
    <definedName name="solver_rbv" localSheetId="11" hidden="1">1</definedName>
    <definedName name="solver_rbv" localSheetId="12" hidden="1">1</definedName>
    <definedName name="solver_rbv" localSheetId="13" hidden="1">1</definedName>
    <definedName name="solver_rbv" localSheetId="2" hidden="1">1</definedName>
    <definedName name="solver_rbv" localSheetId="3" hidden="1">1</definedName>
    <definedName name="solver_rbv" localSheetId="4" hidden="1">1</definedName>
    <definedName name="solver_rbv" localSheetId="5" hidden="1">1</definedName>
    <definedName name="solver_rbv" localSheetId="6" hidden="1">1</definedName>
    <definedName name="solver_rbv" localSheetId="7" hidden="1">1</definedName>
    <definedName name="solver_rbv" localSheetId="8" hidden="1">1</definedName>
    <definedName name="solver_rbv" localSheetId="9" hidden="1">1</definedName>
    <definedName name="solver_rbv" localSheetId="15" hidden="1">1</definedName>
    <definedName name="solver_rbv" localSheetId="18" hidden="1">1</definedName>
    <definedName name="solver_rbv" localSheetId="21" hidden="1">1</definedName>
    <definedName name="solver_rbv" localSheetId="24" hidden="1">1</definedName>
    <definedName name="solver_rbv" localSheetId="16" hidden="1">1</definedName>
    <definedName name="solver_rbv" localSheetId="19" hidden="1">1</definedName>
    <definedName name="solver_rbv" localSheetId="22" hidden="1">1</definedName>
    <definedName name="solver_rbv" localSheetId="25" hidden="1">1</definedName>
    <definedName name="solver_rlx" localSheetId="26" hidden="1">2</definedName>
    <definedName name="solver_rlx" localSheetId="27" hidden="1">2</definedName>
    <definedName name="solver_rlx" localSheetId="28" hidden="1">2</definedName>
    <definedName name="solver_rlx" localSheetId="29" hidden="1">2</definedName>
    <definedName name="solver_rlx" localSheetId="0" hidden="1">2</definedName>
    <definedName name="solver_rlx" localSheetId="1" hidden="1">2</definedName>
    <definedName name="solver_rlx" localSheetId="10" hidden="1">2</definedName>
    <definedName name="solver_rlx" localSheetId="11" hidden="1">2</definedName>
    <definedName name="solver_rlx" localSheetId="12" hidden="1">2</definedName>
    <definedName name="solver_rlx" localSheetId="13" hidden="1">2</definedName>
    <definedName name="solver_rlx" localSheetId="2" hidden="1">2</definedName>
    <definedName name="solver_rlx" localSheetId="3" hidden="1">2</definedName>
    <definedName name="solver_rlx" localSheetId="4" hidden="1">2</definedName>
    <definedName name="solver_rlx" localSheetId="5" hidden="1">2</definedName>
    <definedName name="solver_rlx" localSheetId="6" hidden="1">2</definedName>
    <definedName name="solver_rlx" localSheetId="7" hidden="1">2</definedName>
    <definedName name="solver_rlx" localSheetId="8" hidden="1">2</definedName>
    <definedName name="solver_rlx" localSheetId="9" hidden="1">2</definedName>
    <definedName name="solver_rlx" localSheetId="15" hidden="1">2</definedName>
    <definedName name="solver_rlx" localSheetId="18" hidden="1">2</definedName>
    <definedName name="solver_rlx" localSheetId="21" hidden="1">2</definedName>
    <definedName name="solver_rlx" localSheetId="24" hidden="1">2</definedName>
    <definedName name="solver_rlx" localSheetId="16" hidden="1">2</definedName>
    <definedName name="solver_rlx" localSheetId="19" hidden="1">2</definedName>
    <definedName name="solver_rlx" localSheetId="22" hidden="1">2</definedName>
    <definedName name="solver_rlx" localSheetId="25" hidden="1">2</definedName>
    <definedName name="solver_rsd" localSheetId="26" hidden="1">0</definedName>
    <definedName name="solver_rsd" localSheetId="27" hidden="1">0</definedName>
    <definedName name="solver_rsd" localSheetId="28" hidden="1">0</definedName>
    <definedName name="solver_rsd" localSheetId="29" hidden="1">0</definedName>
    <definedName name="solver_rsd" localSheetId="0" hidden="1">0</definedName>
    <definedName name="solver_rsd" localSheetId="1" hidden="1">0</definedName>
    <definedName name="solver_rsd" localSheetId="10" hidden="1">0</definedName>
    <definedName name="solver_rsd" localSheetId="11" hidden="1">0</definedName>
    <definedName name="solver_rsd" localSheetId="12" hidden="1">0</definedName>
    <definedName name="solver_rsd" localSheetId="13" hidden="1">0</definedName>
    <definedName name="solver_rsd" localSheetId="2" hidden="1">0</definedName>
    <definedName name="solver_rsd" localSheetId="3" hidden="1">0</definedName>
    <definedName name="solver_rsd" localSheetId="4" hidden="1">0</definedName>
    <definedName name="solver_rsd" localSheetId="5" hidden="1">0</definedName>
    <definedName name="solver_rsd" localSheetId="6" hidden="1">0</definedName>
    <definedName name="solver_rsd" localSheetId="7" hidden="1">0</definedName>
    <definedName name="solver_rsd" localSheetId="8" hidden="1">0</definedName>
    <definedName name="solver_rsd" localSheetId="9" hidden="1">0</definedName>
    <definedName name="solver_rsd" localSheetId="15" hidden="1">0</definedName>
    <definedName name="solver_rsd" localSheetId="18" hidden="1">0</definedName>
    <definedName name="solver_rsd" localSheetId="21" hidden="1">0</definedName>
    <definedName name="solver_rsd" localSheetId="24" hidden="1">0</definedName>
    <definedName name="solver_rsd" localSheetId="16" hidden="1">0</definedName>
    <definedName name="solver_rsd" localSheetId="19" hidden="1">0</definedName>
    <definedName name="solver_rsd" localSheetId="22" hidden="1">0</definedName>
    <definedName name="solver_rsd" localSheetId="25" hidden="1">0</definedName>
    <definedName name="solver_scl" localSheetId="26" hidden="1">1</definedName>
    <definedName name="solver_scl" localSheetId="27" hidden="1">1</definedName>
    <definedName name="solver_scl" localSheetId="28" hidden="1">1</definedName>
    <definedName name="solver_scl" localSheetId="29" hidden="1">1</definedName>
    <definedName name="solver_scl" localSheetId="0" hidden="1">1</definedName>
    <definedName name="solver_scl" localSheetId="1" hidden="1">1</definedName>
    <definedName name="solver_scl" localSheetId="10" hidden="1">1</definedName>
    <definedName name="solver_scl" localSheetId="11" hidden="1">1</definedName>
    <definedName name="solver_scl" localSheetId="12" hidden="1">1</definedName>
    <definedName name="solver_scl" localSheetId="13" hidden="1">1</definedName>
    <definedName name="solver_scl" localSheetId="2" hidden="1">1</definedName>
    <definedName name="solver_scl" localSheetId="3" hidden="1">1</definedName>
    <definedName name="solver_scl" localSheetId="4" hidden="1">1</definedName>
    <definedName name="solver_scl" localSheetId="5" hidden="1">1</definedName>
    <definedName name="solver_scl" localSheetId="6" hidden="1">1</definedName>
    <definedName name="solver_scl" localSheetId="7" hidden="1">1</definedName>
    <definedName name="solver_scl" localSheetId="8" hidden="1">1</definedName>
    <definedName name="solver_scl" localSheetId="9" hidden="1">1</definedName>
    <definedName name="solver_scl" localSheetId="15" hidden="1">1</definedName>
    <definedName name="solver_scl" localSheetId="18" hidden="1">1</definedName>
    <definedName name="solver_scl" localSheetId="21" hidden="1">1</definedName>
    <definedName name="solver_scl" localSheetId="24" hidden="1">1</definedName>
    <definedName name="solver_scl" localSheetId="16" hidden="1">1</definedName>
    <definedName name="solver_scl" localSheetId="19" hidden="1">1</definedName>
    <definedName name="solver_scl" localSheetId="22" hidden="1">1</definedName>
    <definedName name="solver_scl" localSheetId="25" hidden="1">1</definedName>
    <definedName name="solver_sho" localSheetId="26" hidden="1">2</definedName>
    <definedName name="solver_sho" localSheetId="27" hidden="1">2</definedName>
    <definedName name="solver_sho" localSheetId="28" hidden="1">2</definedName>
    <definedName name="solver_sho" localSheetId="29" hidden="1">2</definedName>
    <definedName name="solver_sho" localSheetId="0" hidden="1">2</definedName>
    <definedName name="solver_sho" localSheetId="1" hidden="1">2</definedName>
    <definedName name="solver_sho" localSheetId="10" hidden="1">2</definedName>
    <definedName name="solver_sho" localSheetId="11" hidden="1">2</definedName>
    <definedName name="solver_sho" localSheetId="12" hidden="1">2</definedName>
    <definedName name="solver_sho" localSheetId="13" hidden="1">2</definedName>
    <definedName name="solver_sho" localSheetId="2" hidden="1">2</definedName>
    <definedName name="solver_sho" localSheetId="3" hidden="1">2</definedName>
    <definedName name="solver_sho" localSheetId="4" hidden="1">2</definedName>
    <definedName name="solver_sho" localSheetId="5" hidden="1">2</definedName>
    <definedName name="solver_sho" localSheetId="6" hidden="1">2</definedName>
    <definedName name="solver_sho" localSheetId="7" hidden="1">2</definedName>
    <definedName name="solver_sho" localSheetId="8" hidden="1">2</definedName>
    <definedName name="solver_sho" localSheetId="9" hidden="1">2</definedName>
    <definedName name="solver_sho" localSheetId="15" hidden="1">2</definedName>
    <definedName name="solver_sho" localSheetId="18" hidden="1">2</definedName>
    <definedName name="solver_sho" localSheetId="21" hidden="1">2</definedName>
    <definedName name="solver_sho" localSheetId="24" hidden="1">2</definedName>
    <definedName name="solver_sho" localSheetId="16" hidden="1">2</definedName>
    <definedName name="solver_sho" localSheetId="19" hidden="1">2</definedName>
    <definedName name="solver_sho" localSheetId="22" hidden="1">2</definedName>
    <definedName name="solver_sho" localSheetId="25" hidden="1">2</definedName>
    <definedName name="solver_ssz" localSheetId="26" hidden="1">100</definedName>
    <definedName name="solver_ssz" localSheetId="27" hidden="1">100</definedName>
    <definedName name="solver_ssz" localSheetId="28" hidden="1">100</definedName>
    <definedName name="solver_ssz" localSheetId="29" hidden="1">100</definedName>
    <definedName name="solver_ssz" localSheetId="0" hidden="1">100</definedName>
    <definedName name="solver_ssz" localSheetId="1" hidden="1">100</definedName>
    <definedName name="solver_ssz" localSheetId="10" hidden="1">100</definedName>
    <definedName name="solver_ssz" localSheetId="11" hidden="1">100</definedName>
    <definedName name="solver_ssz" localSheetId="12" hidden="1">100</definedName>
    <definedName name="solver_ssz" localSheetId="13" hidden="1">100</definedName>
    <definedName name="solver_ssz" localSheetId="2" hidden="1">100</definedName>
    <definedName name="solver_ssz" localSheetId="3" hidden="1">100</definedName>
    <definedName name="solver_ssz" localSheetId="4" hidden="1">100</definedName>
    <definedName name="solver_ssz" localSheetId="5" hidden="1">100</definedName>
    <definedName name="solver_ssz" localSheetId="6" hidden="1">100</definedName>
    <definedName name="solver_ssz" localSheetId="7" hidden="1">100</definedName>
    <definedName name="solver_ssz" localSheetId="8" hidden="1">100</definedName>
    <definedName name="solver_ssz" localSheetId="9" hidden="1">100</definedName>
    <definedName name="solver_ssz" localSheetId="15" hidden="1">100</definedName>
    <definedName name="solver_ssz" localSheetId="18" hidden="1">100</definedName>
    <definedName name="solver_ssz" localSheetId="21" hidden="1">100</definedName>
    <definedName name="solver_ssz" localSheetId="24" hidden="1">100</definedName>
    <definedName name="solver_ssz" localSheetId="16" hidden="1">100</definedName>
    <definedName name="solver_ssz" localSheetId="19" hidden="1">100</definedName>
    <definedName name="solver_ssz" localSheetId="22" hidden="1">100</definedName>
    <definedName name="solver_ssz" localSheetId="25" hidden="1">100</definedName>
    <definedName name="solver_tim" localSheetId="26" hidden="1">2147483647</definedName>
    <definedName name="solver_tim" localSheetId="27" hidden="1">2147483647</definedName>
    <definedName name="solver_tim" localSheetId="28" hidden="1">2147483647</definedName>
    <definedName name="solver_tim" localSheetId="29" hidden="1">2147483647</definedName>
    <definedName name="solver_tim" localSheetId="0" hidden="1">2147483647</definedName>
    <definedName name="solver_tim" localSheetId="1" hidden="1">2147483647</definedName>
    <definedName name="solver_tim" localSheetId="10" hidden="1">2147483647</definedName>
    <definedName name="solver_tim" localSheetId="11" hidden="1">2147483647</definedName>
    <definedName name="solver_tim" localSheetId="12" hidden="1">2147483647</definedName>
    <definedName name="solver_tim" localSheetId="13" hidden="1">2147483647</definedName>
    <definedName name="solver_tim" localSheetId="2" hidden="1">2147483647</definedName>
    <definedName name="solver_tim" localSheetId="3" hidden="1">2147483647</definedName>
    <definedName name="solver_tim" localSheetId="4" hidden="1">2147483647</definedName>
    <definedName name="solver_tim" localSheetId="5" hidden="1">2147483647</definedName>
    <definedName name="solver_tim" localSheetId="6" hidden="1">2147483647</definedName>
    <definedName name="solver_tim" localSheetId="7" hidden="1">2147483647</definedName>
    <definedName name="solver_tim" localSheetId="8" hidden="1">2147483647</definedName>
    <definedName name="solver_tim" localSheetId="9" hidden="1">2147483647</definedName>
    <definedName name="solver_tim" localSheetId="15" hidden="1">2147483647</definedName>
    <definedName name="solver_tim" localSheetId="18" hidden="1">2147483647</definedName>
    <definedName name="solver_tim" localSheetId="21" hidden="1">2147483647</definedName>
    <definedName name="solver_tim" localSheetId="24" hidden="1">2147483647</definedName>
    <definedName name="solver_tim" localSheetId="16" hidden="1">2147483647</definedName>
    <definedName name="solver_tim" localSheetId="19" hidden="1">2147483647</definedName>
    <definedName name="solver_tim" localSheetId="22" hidden="1">2147483647</definedName>
    <definedName name="solver_tim" localSheetId="25" hidden="1">2147483647</definedName>
    <definedName name="solver_tol" localSheetId="26" hidden="1">0.01</definedName>
    <definedName name="solver_tol" localSheetId="27" hidden="1">0.01</definedName>
    <definedName name="solver_tol" localSheetId="28" hidden="1">0.01</definedName>
    <definedName name="solver_tol" localSheetId="29" hidden="1">0.01</definedName>
    <definedName name="solver_tol" localSheetId="0" hidden="1">0.01</definedName>
    <definedName name="solver_tol" localSheetId="1" hidden="1">0.01</definedName>
    <definedName name="solver_tol" localSheetId="10" hidden="1">0.01</definedName>
    <definedName name="solver_tol" localSheetId="11" hidden="1">0.01</definedName>
    <definedName name="solver_tol" localSheetId="12" hidden="1">0.01</definedName>
    <definedName name="solver_tol" localSheetId="13" hidden="1">0.01</definedName>
    <definedName name="solver_tol" localSheetId="2" hidden="1">0.01</definedName>
    <definedName name="solver_tol" localSheetId="3" hidden="1">0.01</definedName>
    <definedName name="solver_tol" localSheetId="4" hidden="1">0.01</definedName>
    <definedName name="solver_tol" localSheetId="5" hidden="1">0.01</definedName>
    <definedName name="solver_tol" localSheetId="6" hidden="1">0.01</definedName>
    <definedName name="solver_tol" localSheetId="7" hidden="1">0.01</definedName>
    <definedName name="solver_tol" localSheetId="8" hidden="1">0.01</definedName>
    <definedName name="solver_tol" localSheetId="9" hidden="1">0.01</definedName>
    <definedName name="solver_tol" localSheetId="15" hidden="1">0.01</definedName>
    <definedName name="solver_tol" localSheetId="18" hidden="1">0.01</definedName>
    <definedName name="solver_tol" localSheetId="21" hidden="1">0.01</definedName>
    <definedName name="solver_tol" localSheetId="24" hidden="1">0.01</definedName>
    <definedName name="solver_tol" localSheetId="16" hidden="1">0.01</definedName>
    <definedName name="solver_tol" localSheetId="19" hidden="1">0.01</definedName>
    <definedName name="solver_tol" localSheetId="22" hidden="1">0.01</definedName>
    <definedName name="solver_tol" localSheetId="25" hidden="1">0.01</definedName>
    <definedName name="solver_typ" localSheetId="26" hidden="1">3</definedName>
    <definedName name="solver_typ" localSheetId="27" hidden="1">3</definedName>
    <definedName name="solver_typ" localSheetId="28" hidden="1">3</definedName>
    <definedName name="solver_typ" localSheetId="29" hidden="1">3</definedName>
    <definedName name="solver_typ" localSheetId="0" hidden="1">3</definedName>
    <definedName name="solver_typ" localSheetId="1" hidden="1">3</definedName>
    <definedName name="solver_typ" localSheetId="10" hidden="1">3</definedName>
    <definedName name="solver_typ" localSheetId="11" hidden="1">3</definedName>
    <definedName name="solver_typ" localSheetId="12" hidden="1">3</definedName>
    <definedName name="solver_typ" localSheetId="13" hidden="1">3</definedName>
    <definedName name="solver_typ" localSheetId="2" hidden="1">3</definedName>
    <definedName name="solver_typ" localSheetId="3" hidden="1">3</definedName>
    <definedName name="solver_typ" localSheetId="4" hidden="1">3</definedName>
    <definedName name="solver_typ" localSheetId="5" hidden="1">3</definedName>
    <definedName name="solver_typ" localSheetId="6" hidden="1">3</definedName>
    <definedName name="solver_typ" localSheetId="7" hidden="1">3</definedName>
    <definedName name="solver_typ" localSheetId="8" hidden="1">3</definedName>
    <definedName name="solver_typ" localSheetId="9" hidden="1">3</definedName>
    <definedName name="solver_typ" localSheetId="15" hidden="1">3</definedName>
    <definedName name="solver_typ" localSheetId="18" hidden="1">3</definedName>
    <definedName name="solver_typ" localSheetId="21" hidden="1">3</definedName>
    <definedName name="solver_typ" localSheetId="24" hidden="1">3</definedName>
    <definedName name="solver_typ" localSheetId="16" hidden="1">3</definedName>
    <definedName name="solver_typ" localSheetId="19" hidden="1">3</definedName>
    <definedName name="solver_typ" localSheetId="22" hidden="1">3</definedName>
    <definedName name="solver_typ" localSheetId="25" hidden="1">3</definedName>
    <definedName name="solver_val" localSheetId="26" hidden="1">1</definedName>
    <definedName name="solver_val" localSheetId="27" hidden="1">1</definedName>
    <definedName name="solver_val" localSheetId="28" hidden="1">1</definedName>
    <definedName name="solver_val" localSheetId="29" hidden="1">1</definedName>
    <definedName name="solver_val" localSheetId="0" hidden="1">1</definedName>
    <definedName name="solver_val" localSheetId="1" hidden="1">1</definedName>
    <definedName name="solver_val" localSheetId="10" hidden="1">1</definedName>
    <definedName name="solver_val" localSheetId="11" hidden="1">1</definedName>
    <definedName name="solver_val" localSheetId="12" hidden="1">1</definedName>
    <definedName name="solver_val" localSheetId="13" hidden="1">1</definedName>
    <definedName name="solver_val" localSheetId="2" hidden="1">1</definedName>
    <definedName name="solver_val" localSheetId="3" hidden="1">1</definedName>
    <definedName name="solver_val" localSheetId="4" hidden="1">1</definedName>
    <definedName name="solver_val" localSheetId="5" hidden="1">1</definedName>
    <definedName name="solver_val" localSheetId="6" hidden="1">1</definedName>
    <definedName name="solver_val" localSheetId="7" hidden="1">1</definedName>
    <definedName name="solver_val" localSheetId="8" hidden="1">1</definedName>
    <definedName name="solver_val" localSheetId="9" hidden="1">1</definedName>
    <definedName name="solver_val" localSheetId="15" hidden="1">1</definedName>
    <definedName name="solver_val" localSheetId="18" hidden="1">1</definedName>
    <definedName name="solver_val" localSheetId="21" hidden="1">1</definedName>
    <definedName name="solver_val" localSheetId="24" hidden="1">1</definedName>
    <definedName name="solver_val" localSheetId="16" hidden="1">1</definedName>
    <definedName name="solver_val" localSheetId="19" hidden="1">1</definedName>
    <definedName name="solver_val" localSheetId="22" hidden="1">1</definedName>
    <definedName name="solver_val" localSheetId="25" hidden="1">1</definedName>
    <definedName name="solver_ver" localSheetId="26" hidden="1">3</definedName>
    <definedName name="solver_ver" localSheetId="27" hidden="1">3</definedName>
    <definedName name="solver_ver" localSheetId="28" hidden="1">3</definedName>
    <definedName name="solver_ver" localSheetId="29" hidden="1">3</definedName>
    <definedName name="solver_ver" localSheetId="0" hidden="1">3</definedName>
    <definedName name="solver_ver" localSheetId="1" hidden="1">3</definedName>
    <definedName name="solver_ver" localSheetId="10" hidden="1">3</definedName>
    <definedName name="solver_ver" localSheetId="11" hidden="1">3</definedName>
    <definedName name="solver_ver" localSheetId="12" hidden="1">3</definedName>
    <definedName name="solver_ver" localSheetId="13" hidden="1">3</definedName>
    <definedName name="solver_ver" localSheetId="2" hidden="1">3</definedName>
    <definedName name="solver_ver" localSheetId="3" hidden="1">3</definedName>
    <definedName name="solver_ver" localSheetId="4" hidden="1">3</definedName>
    <definedName name="solver_ver" localSheetId="5" hidden="1">3</definedName>
    <definedName name="solver_ver" localSheetId="6" hidden="1">3</definedName>
    <definedName name="solver_ver" localSheetId="7" hidden="1">3</definedName>
    <definedName name="solver_ver" localSheetId="8" hidden="1">3</definedName>
    <definedName name="solver_ver" localSheetId="9" hidden="1">3</definedName>
    <definedName name="solver_ver" localSheetId="15" hidden="1">3</definedName>
    <definedName name="solver_ver" localSheetId="18" hidden="1">3</definedName>
    <definedName name="solver_ver" localSheetId="21" hidden="1">3</definedName>
    <definedName name="solver_ver" localSheetId="24" hidden="1">3</definedName>
    <definedName name="solver_ver" localSheetId="16" hidden="1">3</definedName>
    <definedName name="solver_ver" localSheetId="19" hidden="1">3</definedName>
    <definedName name="solver_ver" localSheetId="22" hidden="1">3</definedName>
    <definedName name="solver_ver" localSheetId="25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61" i="56" l="1"/>
  <c r="N61" i="56" s="1"/>
  <c r="L60" i="56"/>
  <c r="N60" i="56" s="1"/>
  <c r="Q59" i="56"/>
  <c r="S59" i="56" s="1"/>
  <c r="L57" i="56"/>
  <c r="N57" i="56" s="1"/>
  <c r="Q56" i="56"/>
  <c r="S56" i="56" s="1"/>
  <c r="L56" i="56"/>
  <c r="N56" i="56" s="1"/>
  <c r="L54" i="56"/>
  <c r="N54" i="56" s="1"/>
  <c r="L53" i="56"/>
  <c r="N53" i="56" s="1"/>
  <c r="B53" i="56"/>
  <c r="D53" i="56" s="1"/>
  <c r="Q52" i="56"/>
  <c r="S52" i="56" s="1"/>
  <c r="L52" i="56"/>
  <c r="N52" i="56" s="1"/>
  <c r="L50" i="56"/>
  <c r="N50" i="56" s="1"/>
  <c r="B50" i="56"/>
  <c r="D50" i="56" s="1"/>
  <c r="Q49" i="56"/>
  <c r="S49" i="56" s="1"/>
  <c r="G48" i="56"/>
  <c r="I48" i="56" s="1"/>
  <c r="B48" i="56"/>
  <c r="D48" i="56" s="1"/>
  <c r="B46" i="56"/>
  <c r="D46" i="56" s="1"/>
  <c r="L45" i="56"/>
  <c r="N45" i="56" s="1"/>
  <c r="G45" i="56"/>
  <c r="I45" i="56" s="1"/>
  <c r="B45" i="56"/>
  <c r="D45" i="56" s="1"/>
  <c r="L44" i="56"/>
  <c r="N44" i="56" s="1"/>
  <c r="L43" i="56"/>
  <c r="N43" i="56" s="1"/>
  <c r="L42" i="56"/>
  <c r="N42" i="56" s="1"/>
  <c r="G42" i="56"/>
  <c r="I42" i="56" s="1"/>
  <c r="B42" i="56"/>
  <c r="D42" i="56" s="1"/>
  <c r="Q40" i="56"/>
  <c r="S40" i="56" s="1"/>
  <c r="L40" i="56"/>
  <c r="N40" i="56" s="1"/>
  <c r="B40" i="56"/>
  <c r="D40" i="56" s="1"/>
  <c r="L38" i="56"/>
  <c r="N38" i="56" s="1"/>
  <c r="B38" i="56"/>
  <c r="D38" i="56" s="1"/>
  <c r="Q37" i="56"/>
  <c r="S37" i="56" s="1"/>
  <c r="L37" i="56"/>
  <c r="N37" i="56" s="1"/>
  <c r="G36" i="56"/>
  <c r="I36" i="56" s="1"/>
  <c r="B36" i="56"/>
  <c r="D36" i="56" s="1"/>
  <c r="L35" i="56"/>
  <c r="N35" i="56" s="1"/>
  <c r="B35" i="56"/>
  <c r="D35" i="56" s="1"/>
  <c r="B34" i="56"/>
  <c r="D34" i="56" s="1"/>
  <c r="L33" i="56"/>
  <c r="N33" i="56" s="1"/>
  <c r="G33" i="56"/>
  <c r="I33" i="56" s="1"/>
  <c r="B33" i="56"/>
  <c r="D33" i="56" s="1"/>
  <c r="Q31" i="56"/>
  <c r="S31" i="56" s="1"/>
  <c r="L31" i="56"/>
  <c r="N31" i="56" s="1"/>
  <c r="B31" i="56"/>
  <c r="D31" i="56" s="1"/>
  <c r="L30" i="56"/>
  <c r="N30" i="56" s="1"/>
  <c r="L29" i="56"/>
  <c r="N29" i="56" s="1"/>
  <c r="B29" i="56"/>
  <c r="D29" i="56" s="1"/>
  <c r="Q28" i="56"/>
  <c r="S28" i="56" s="1"/>
  <c r="L28" i="56"/>
  <c r="N28" i="56" s="1"/>
  <c r="G27" i="56"/>
  <c r="I27" i="56" s="1"/>
  <c r="B27" i="56"/>
  <c r="D27" i="56" s="1"/>
  <c r="L26" i="56"/>
  <c r="N26" i="56" s="1"/>
  <c r="B26" i="56"/>
  <c r="D26" i="56" s="1"/>
  <c r="B25" i="56"/>
  <c r="D25" i="56" s="1"/>
  <c r="L24" i="56"/>
  <c r="N24" i="56" s="1"/>
  <c r="G24" i="56"/>
  <c r="I24" i="56" s="1"/>
  <c r="B24" i="56"/>
  <c r="D24" i="56" s="1"/>
  <c r="Q22" i="56"/>
  <c r="S22" i="56" s="1"/>
  <c r="L22" i="56"/>
  <c r="N22" i="56" s="1"/>
  <c r="B22" i="56"/>
  <c r="D22" i="56" s="1"/>
  <c r="L21" i="56"/>
  <c r="N21" i="56" s="1"/>
  <c r="L20" i="56"/>
  <c r="N20" i="56" s="1"/>
  <c r="B20" i="56"/>
  <c r="D20" i="56" s="1"/>
  <c r="Q19" i="56"/>
  <c r="S19" i="56" s="1"/>
  <c r="L19" i="56"/>
  <c r="N19" i="56" s="1"/>
  <c r="G18" i="56"/>
  <c r="I18" i="56" s="1"/>
  <c r="B18" i="56"/>
  <c r="D18" i="56" s="1"/>
  <c r="L17" i="56"/>
  <c r="N17" i="56" s="1"/>
  <c r="B17" i="56"/>
  <c r="D17" i="56" s="1"/>
  <c r="L15" i="56"/>
  <c r="N15" i="56" s="1"/>
  <c r="G15" i="56"/>
  <c r="I15" i="56" s="1"/>
  <c r="B15" i="56"/>
  <c r="D15" i="56" s="1"/>
  <c r="Q13" i="56"/>
  <c r="S13" i="56" s="1"/>
  <c r="L13" i="56"/>
  <c r="N13" i="56" s="1"/>
  <c r="B13" i="56"/>
  <c r="D13" i="56" s="1"/>
  <c r="L12" i="56"/>
  <c r="N12" i="56" s="1"/>
  <c r="L11" i="56"/>
  <c r="N11" i="56" s="1"/>
  <c r="B11" i="56"/>
  <c r="D11" i="56" s="1"/>
  <c r="Q10" i="56"/>
  <c r="T5" i="56"/>
  <c r="G5" i="56"/>
  <c r="S4" i="56"/>
  <c r="T6" i="56" s="1"/>
  <c r="E4" i="56"/>
  <c r="E6" i="56" s="1"/>
  <c r="S3" i="56"/>
  <c r="J3" i="56"/>
  <c r="L62" i="56" s="1"/>
  <c r="N62" i="56" s="1"/>
  <c r="Q2" i="56"/>
  <c r="S2" i="56" s="1"/>
  <c r="F2" i="56"/>
  <c r="E2" i="56"/>
  <c r="D2" i="56"/>
  <c r="G2" i="56" s="1"/>
  <c r="H3" i="56" s="1"/>
  <c r="C2" i="56"/>
  <c r="Q1" i="56"/>
  <c r="S1" i="56" s="1"/>
  <c r="L63" i="55"/>
  <c r="N63" i="55" s="1"/>
  <c r="Q60" i="55"/>
  <c r="S60" i="55" s="1"/>
  <c r="L60" i="55"/>
  <c r="N60" i="55" s="1"/>
  <c r="L59" i="55"/>
  <c r="N59" i="55" s="1"/>
  <c r="Q56" i="55"/>
  <c r="S56" i="55" s="1"/>
  <c r="L56" i="55"/>
  <c r="N56" i="55" s="1"/>
  <c r="L54" i="55"/>
  <c r="N54" i="55" s="1"/>
  <c r="G53" i="55"/>
  <c r="I53" i="55" s="1"/>
  <c r="B53" i="55"/>
  <c r="D53" i="55" s="1"/>
  <c r="L52" i="55"/>
  <c r="N52" i="55" s="1"/>
  <c r="G51" i="55"/>
  <c r="I51" i="55" s="1"/>
  <c r="B51" i="55"/>
  <c r="D51" i="55" s="1"/>
  <c r="B50" i="55"/>
  <c r="D50" i="55" s="1"/>
  <c r="Q48" i="55"/>
  <c r="S48" i="55" s="1"/>
  <c r="L48" i="55"/>
  <c r="N48" i="55" s="1"/>
  <c r="B48" i="55"/>
  <c r="D48" i="55" s="1"/>
  <c r="Q46" i="55"/>
  <c r="S46" i="55" s="1"/>
  <c r="L46" i="55"/>
  <c r="N46" i="55" s="1"/>
  <c r="L45" i="55"/>
  <c r="N45" i="55" s="1"/>
  <c r="G44" i="55"/>
  <c r="I44" i="55" s="1"/>
  <c r="B44" i="55"/>
  <c r="D44" i="55" s="1"/>
  <c r="L43" i="55"/>
  <c r="N43" i="55" s="1"/>
  <c r="G42" i="55"/>
  <c r="I42" i="55" s="1"/>
  <c r="Q41" i="55"/>
  <c r="S41" i="55" s="1"/>
  <c r="G41" i="55"/>
  <c r="I41" i="55" s="1"/>
  <c r="L40" i="55"/>
  <c r="N40" i="55" s="1"/>
  <c r="G40" i="55"/>
  <c r="I40" i="55" s="1"/>
  <c r="L39" i="55"/>
  <c r="N39" i="55" s="1"/>
  <c r="Q38" i="55"/>
  <c r="S38" i="55" s="1"/>
  <c r="G38" i="55"/>
  <c r="I38" i="55" s="1"/>
  <c r="Q37" i="55"/>
  <c r="S37" i="55" s="1"/>
  <c r="Q36" i="55"/>
  <c r="S36" i="55" s="1"/>
  <c r="L36" i="55"/>
  <c r="N36" i="55" s="1"/>
  <c r="B36" i="55"/>
  <c r="D36" i="55" s="1"/>
  <c r="B35" i="55"/>
  <c r="D35" i="55" s="1"/>
  <c r="Q34" i="55"/>
  <c r="S34" i="55" s="1"/>
  <c r="G34" i="55"/>
  <c r="I34" i="55" s="1"/>
  <c r="G33" i="55"/>
  <c r="I33" i="55" s="1"/>
  <c r="B33" i="55"/>
  <c r="D33" i="55" s="1"/>
  <c r="G32" i="55"/>
  <c r="I32" i="55" s="1"/>
  <c r="L31" i="55"/>
  <c r="N31" i="55" s="1"/>
  <c r="G31" i="55"/>
  <c r="I31" i="55" s="1"/>
  <c r="L30" i="55"/>
  <c r="N30" i="55" s="1"/>
  <c r="Q29" i="55"/>
  <c r="S29" i="55" s="1"/>
  <c r="G29" i="55"/>
  <c r="I29" i="55" s="1"/>
  <c r="Q28" i="55"/>
  <c r="S28" i="55" s="1"/>
  <c r="Q27" i="55"/>
  <c r="S27" i="55" s="1"/>
  <c r="L27" i="55"/>
  <c r="N27" i="55" s="1"/>
  <c r="B27" i="55"/>
  <c r="D27" i="55" s="1"/>
  <c r="B26" i="55"/>
  <c r="D26" i="55" s="1"/>
  <c r="Q25" i="55"/>
  <c r="S25" i="55" s="1"/>
  <c r="G25" i="55"/>
  <c r="I25" i="55" s="1"/>
  <c r="G24" i="55"/>
  <c r="I24" i="55" s="1"/>
  <c r="B24" i="55"/>
  <c r="D24" i="55" s="1"/>
  <c r="G23" i="55"/>
  <c r="I23" i="55" s="1"/>
  <c r="L22" i="55"/>
  <c r="N22" i="55" s="1"/>
  <c r="G22" i="55"/>
  <c r="I22" i="55" s="1"/>
  <c r="L21" i="55"/>
  <c r="N21" i="55" s="1"/>
  <c r="Q20" i="55"/>
  <c r="S20" i="55" s="1"/>
  <c r="G20" i="55"/>
  <c r="I20" i="55" s="1"/>
  <c r="Q19" i="55"/>
  <c r="S19" i="55" s="1"/>
  <c r="Q18" i="55"/>
  <c r="S18" i="55" s="1"/>
  <c r="L18" i="55"/>
  <c r="N18" i="55" s="1"/>
  <c r="B18" i="55"/>
  <c r="D18" i="55" s="1"/>
  <c r="B17" i="55"/>
  <c r="D17" i="55" s="1"/>
  <c r="Q16" i="55"/>
  <c r="S16" i="55" s="1"/>
  <c r="G16" i="55"/>
  <c r="I16" i="55" s="1"/>
  <c r="G15" i="55"/>
  <c r="I15" i="55" s="1"/>
  <c r="B15" i="55"/>
  <c r="D15" i="55" s="1"/>
  <c r="G14" i="55"/>
  <c r="I14" i="55" s="1"/>
  <c r="L13" i="55"/>
  <c r="N13" i="55" s="1"/>
  <c r="G13" i="55"/>
  <c r="I13" i="55" s="1"/>
  <c r="L12" i="55"/>
  <c r="N12" i="55" s="1"/>
  <c r="Q11" i="55"/>
  <c r="S11" i="55" s="1"/>
  <c r="G11" i="55"/>
  <c r="I11" i="55" s="1"/>
  <c r="Q10" i="55"/>
  <c r="S10" i="55" s="1"/>
  <c r="T6" i="55"/>
  <c r="D6" i="55"/>
  <c r="G5" i="55"/>
  <c r="S4" i="55"/>
  <c r="D4" i="55"/>
  <c r="C4" i="55"/>
  <c r="S3" i="55"/>
  <c r="T5" i="55" s="1"/>
  <c r="J3" i="55"/>
  <c r="Q63" i="55" s="1"/>
  <c r="S63" i="55" s="1"/>
  <c r="Q2" i="55"/>
  <c r="S2" i="55" s="1"/>
  <c r="F2" i="55"/>
  <c r="E2" i="55"/>
  <c r="D2" i="55"/>
  <c r="C2" i="55"/>
  <c r="G2" i="55" s="1"/>
  <c r="H3" i="55" s="1"/>
  <c r="S1" i="55"/>
  <c r="Q1" i="55"/>
  <c r="L62" i="54"/>
  <c r="N62" i="54" s="1"/>
  <c r="B51" i="54"/>
  <c r="D51" i="54" s="1"/>
  <c r="L49" i="54"/>
  <c r="N49" i="54" s="1"/>
  <c r="B42" i="54"/>
  <c r="D42" i="54" s="1"/>
  <c r="L40" i="54"/>
  <c r="N40" i="54" s="1"/>
  <c r="G33" i="54"/>
  <c r="I33" i="54" s="1"/>
  <c r="B33" i="54"/>
  <c r="D33" i="54" s="1"/>
  <c r="Q31" i="54"/>
  <c r="S31" i="54" s="1"/>
  <c r="L28" i="54"/>
  <c r="N28" i="54" s="1"/>
  <c r="G27" i="54"/>
  <c r="I27" i="54" s="1"/>
  <c r="B24" i="54"/>
  <c r="D24" i="54" s="1"/>
  <c r="Q22" i="54"/>
  <c r="S22" i="54" s="1"/>
  <c r="L19" i="54"/>
  <c r="N19" i="54" s="1"/>
  <c r="G18" i="54"/>
  <c r="I18" i="54" s="1"/>
  <c r="B15" i="54"/>
  <c r="D15" i="54" s="1"/>
  <c r="Q13" i="54"/>
  <c r="S13" i="54" s="1"/>
  <c r="L10" i="54"/>
  <c r="T6" i="54"/>
  <c r="G5" i="54"/>
  <c r="S4" i="54"/>
  <c r="S3" i="54"/>
  <c r="T5" i="54" s="1"/>
  <c r="J3" i="54"/>
  <c r="L56" i="54" s="1"/>
  <c r="N56" i="54" s="1"/>
  <c r="S2" i="54"/>
  <c r="Q2" i="54"/>
  <c r="F2" i="54"/>
  <c r="E2" i="54"/>
  <c r="D2" i="54"/>
  <c r="C2" i="54"/>
  <c r="Q1" i="54"/>
  <c r="S1" i="54" s="1"/>
  <c r="F9" i="27"/>
  <c r="E16" i="52"/>
  <c r="Q1" i="52" s="1"/>
  <c r="S1" i="52" s="1"/>
  <c r="T1" i="52" s="1"/>
  <c r="Q63" i="52"/>
  <c r="S63" i="52" s="1"/>
  <c r="Q62" i="52"/>
  <c r="S62" i="52" s="1"/>
  <c r="L62" i="52"/>
  <c r="N62" i="52" s="1"/>
  <c r="Q60" i="52"/>
  <c r="S60" i="52" s="1"/>
  <c r="L60" i="52"/>
  <c r="N60" i="52" s="1"/>
  <c r="Q59" i="52"/>
  <c r="S59" i="52" s="1"/>
  <c r="Q57" i="52"/>
  <c r="S57" i="52" s="1"/>
  <c r="L57" i="52"/>
  <c r="N57" i="52" s="1"/>
  <c r="S56" i="52"/>
  <c r="Q56" i="52"/>
  <c r="N56" i="52"/>
  <c r="L56" i="52"/>
  <c r="Q54" i="52"/>
  <c r="S54" i="52" s="1"/>
  <c r="G54" i="52"/>
  <c r="I54" i="52" s="1"/>
  <c r="B54" i="52"/>
  <c r="D54" i="52" s="1"/>
  <c r="G53" i="52"/>
  <c r="I53" i="52" s="1"/>
  <c r="B53" i="52"/>
  <c r="D53" i="52" s="1"/>
  <c r="Q52" i="52"/>
  <c r="S52" i="52" s="1"/>
  <c r="Q51" i="52"/>
  <c r="S51" i="52" s="1"/>
  <c r="N51" i="52"/>
  <c r="L51" i="52"/>
  <c r="G51" i="52"/>
  <c r="I51" i="52" s="1"/>
  <c r="B51" i="52"/>
  <c r="D51" i="52" s="1"/>
  <c r="G50" i="52"/>
  <c r="I50" i="52" s="1"/>
  <c r="Q49" i="52"/>
  <c r="S49" i="52" s="1"/>
  <c r="L49" i="52"/>
  <c r="N49" i="52" s="1"/>
  <c r="S48" i="52"/>
  <c r="Q48" i="52"/>
  <c r="N48" i="52"/>
  <c r="L48" i="52"/>
  <c r="G48" i="52"/>
  <c r="I48" i="52" s="1"/>
  <c r="G47" i="52"/>
  <c r="I47" i="52" s="1"/>
  <c r="B47" i="52"/>
  <c r="D47" i="52" s="1"/>
  <c r="Q46" i="52"/>
  <c r="S46" i="52" s="1"/>
  <c r="L46" i="52"/>
  <c r="N46" i="52" s="1"/>
  <c r="Q45" i="52"/>
  <c r="S45" i="52" s="1"/>
  <c r="G45" i="52"/>
  <c r="I45" i="52" s="1"/>
  <c r="D45" i="52"/>
  <c r="B45" i="52"/>
  <c r="G44" i="52"/>
  <c r="I44" i="52" s="1"/>
  <c r="B44" i="52"/>
  <c r="D44" i="52" s="1"/>
  <c r="Q43" i="52"/>
  <c r="S43" i="52" s="1"/>
  <c r="Q42" i="52"/>
  <c r="S42" i="52" s="1"/>
  <c r="L42" i="52"/>
  <c r="N42" i="52" s="1"/>
  <c r="I42" i="52"/>
  <c r="G42" i="52"/>
  <c r="D42" i="52"/>
  <c r="B42" i="52"/>
  <c r="G41" i="52"/>
  <c r="I41" i="52" s="1"/>
  <c r="Q40" i="52"/>
  <c r="S40" i="52" s="1"/>
  <c r="L40" i="52"/>
  <c r="N40" i="52" s="1"/>
  <c r="B40" i="52"/>
  <c r="D40" i="52" s="1"/>
  <c r="Q39" i="52"/>
  <c r="S39" i="52" s="1"/>
  <c r="N39" i="52"/>
  <c r="L39" i="52"/>
  <c r="L38" i="52"/>
  <c r="N38" i="52" s="1"/>
  <c r="G38" i="52"/>
  <c r="I38" i="52" s="1"/>
  <c r="B38" i="52"/>
  <c r="D38" i="52" s="1"/>
  <c r="Q37" i="52"/>
  <c r="S37" i="52" s="1"/>
  <c r="L37" i="52"/>
  <c r="N37" i="52" s="1"/>
  <c r="L36" i="52"/>
  <c r="N36" i="52" s="1"/>
  <c r="G36" i="52"/>
  <c r="I36" i="52" s="1"/>
  <c r="B36" i="52"/>
  <c r="D36" i="52" s="1"/>
  <c r="L35" i="52"/>
  <c r="N35" i="52" s="1"/>
  <c r="G35" i="52"/>
  <c r="I35" i="52" s="1"/>
  <c r="Q34" i="52"/>
  <c r="S34" i="52" s="1"/>
  <c r="L34" i="52"/>
  <c r="N34" i="52" s="1"/>
  <c r="B34" i="52"/>
  <c r="D34" i="52" s="1"/>
  <c r="Q33" i="52"/>
  <c r="S33" i="52" s="1"/>
  <c r="N33" i="52"/>
  <c r="L33" i="52"/>
  <c r="L32" i="52"/>
  <c r="N32" i="52" s="1"/>
  <c r="G32" i="52"/>
  <c r="I32" i="52" s="1"/>
  <c r="B32" i="52"/>
  <c r="D32" i="52" s="1"/>
  <c r="Q31" i="52"/>
  <c r="S31" i="52" s="1"/>
  <c r="L31" i="52"/>
  <c r="N31" i="52" s="1"/>
  <c r="L30" i="52"/>
  <c r="N30" i="52" s="1"/>
  <c r="G30" i="52"/>
  <c r="I30" i="52" s="1"/>
  <c r="B30" i="52"/>
  <c r="D30" i="52" s="1"/>
  <c r="L29" i="52"/>
  <c r="N29" i="52" s="1"/>
  <c r="G29" i="52"/>
  <c r="I29" i="52" s="1"/>
  <c r="Q28" i="52"/>
  <c r="S28" i="52" s="1"/>
  <c r="L28" i="52"/>
  <c r="N28" i="52" s="1"/>
  <c r="B28" i="52"/>
  <c r="D28" i="52" s="1"/>
  <c r="Q27" i="52"/>
  <c r="S27" i="52" s="1"/>
  <c r="N27" i="52"/>
  <c r="L27" i="52"/>
  <c r="L26" i="52"/>
  <c r="N26" i="52" s="1"/>
  <c r="G26" i="52"/>
  <c r="I26" i="52" s="1"/>
  <c r="B26" i="52"/>
  <c r="D26" i="52" s="1"/>
  <c r="Q25" i="52"/>
  <c r="S25" i="52" s="1"/>
  <c r="L25" i="52"/>
  <c r="N25" i="52" s="1"/>
  <c r="L24" i="52"/>
  <c r="N24" i="52" s="1"/>
  <c r="G24" i="52"/>
  <c r="I24" i="52" s="1"/>
  <c r="B24" i="52"/>
  <c r="D24" i="52" s="1"/>
  <c r="L23" i="52"/>
  <c r="N23" i="52" s="1"/>
  <c r="G23" i="52"/>
  <c r="I23" i="52" s="1"/>
  <c r="Q22" i="52"/>
  <c r="S22" i="52" s="1"/>
  <c r="L22" i="52"/>
  <c r="N22" i="52" s="1"/>
  <c r="B22" i="52"/>
  <c r="D22" i="52" s="1"/>
  <c r="Q21" i="52"/>
  <c r="S21" i="52" s="1"/>
  <c r="N21" i="52"/>
  <c r="L21" i="52"/>
  <c r="L20" i="52"/>
  <c r="N20" i="52" s="1"/>
  <c r="G20" i="52"/>
  <c r="I20" i="52" s="1"/>
  <c r="B20" i="52"/>
  <c r="D20" i="52" s="1"/>
  <c r="Q19" i="52"/>
  <c r="S19" i="52" s="1"/>
  <c r="L19" i="52"/>
  <c r="N19" i="52" s="1"/>
  <c r="L18" i="52"/>
  <c r="N18" i="52" s="1"/>
  <c r="G18" i="52"/>
  <c r="I18" i="52" s="1"/>
  <c r="B18" i="52"/>
  <c r="D18" i="52" s="1"/>
  <c r="L17" i="52"/>
  <c r="N17" i="52" s="1"/>
  <c r="G17" i="52"/>
  <c r="I17" i="52" s="1"/>
  <c r="Q16" i="52"/>
  <c r="S16" i="52" s="1"/>
  <c r="L16" i="52"/>
  <c r="N16" i="52" s="1"/>
  <c r="B16" i="52"/>
  <c r="D16" i="52" s="1"/>
  <c r="S15" i="52"/>
  <c r="Q15" i="52"/>
  <c r="N14" i="52"/>
  <c r="L14" i="52"/>
  <c r="G14" i="52"/>
  <c r="I14" i="52" s="1"/>
  <c r="B14" i="52"/>
  <c r="D14" i="52" s="1"/>
  <c r="Q13" i="52"/>
  <c r="S13" i="52" s="1"/>
  <c r="Q12" i="52"/>
  <c r="S12" i="52" s="1"/>
  <c r="L12" i="52"/>
  <c r="N12" i="52" s="1"/>
  <c r="I12" i="52"/>
  <c r="G12" i="52"/>
  <c r="L11" i="52"/>
  <c r="N11" i="52" s="1"/>
  <c r="B11" i="52"/>
  <c r="D11" i="52" s="1"/>
  <c r="Q10" i="52"/>
  <c r="S10" i="52" s="1"/>
  <c r="B10" i="52"/>
  <c r="D10" i="52" s="1"/>
  <c r="T6" i="52"/>
  <c r="T5" i="52"/>
  <c r="G5" i="52"/>
  <c r="S4" i="52"/>
  <c r="F4" i="52"/>
  <c r="E4" i="52"/>
  <c r="E6" i="52" s="1"/>
  <c r="D4" i="52"/>
  <c r="D6" i="52" s="1"/>
  <c r="S3" i="52"/>
  <c r="J3" i="52"/>
  <c r="S2" i="52"/>
  <c r="T2" i="52" s="1"/>
  <c r="Q2" i="52"/>
  <c r="F2" i="52"/>
  <c r="E2" i="52"/>
  <c r="D2" i="52"/>
  <c r="C2" i="52"/>
  <c r="T2" i="51"/>
  <c r="L60" i="51"/>
  <c r="N60" i="51" s="1"/>
  <c r="L57" i="51"/>
  <c r="N57" i="51" s="1"/>
  <c r="Q56" i="51"/>
  <c r="S56" i="51" s="1"/>
  <c r="L56" i="51"/>
  <c r="N56" i="51" s="1"/>
  <c r="B54" i="51"/>
  <c r="D54" i="51" s="1"/>
  <c r="G51" i="51"/>
  <c r="I51" i="51" s="1"/>
  <c r="B51" i="51"/>
  <c r="D51" i="51" s="1"/>
  <c r="L49" i="51"/>
  <c r="N49" i="51" s="1"/>
  <c r="Q48" i="51"/>
  <c r="S48" i="51" s="1"/>
  <c r="L46" i="51"/>
  <c r="N46" i="51" s="1"/>
  <c r="B45" i="51"/>
  <c r="D45" i="51" s="1"/>
  <c r="G44" i="51"/>
  <c r="I44" i="51" s="1"/>
  <c r="B44" i="51"/>
  <c r="D44" i="51" s="1"/>
  <c r="L42" i="51"/>
  <c r="N42" i="51" s="1"/>
  <c r="L40" i="51"/>
  <c r="N40" i="51" s="1"/>
  <c r="Q39" i="51"/>
  <c r="S39" i="51" s="1"/>
  <c r="L39" i="51"/>
  <c r="N39" i="51" s="1"/>
  <c r="B38" i="51"/>
  <c r="D38" i="51" s="1"/>
  <c r="Q37" i="51"/>
  <c r="S37" i="51" s="1"/>
  <c r="G35" i="51"/>
  <c r="I35" i="51" s="1"/>
  <c r="B35" i="51"/>
  <c r="D35" i="51" s="1"/>
  <c r="L33" i="51"/>
  <c r="N33" i="51" s="1"/>
  <c r="G33" i="51"/>
  <c r="I33" i="51" s="1"/>
  <c r="Q30" i="51"/>
  <c r="S30" i="51" s="1"/>
  <c r="L30" i="51"/>
  <c r="N30" i="51" s="1"/>
  <c r="B29" i="51"/>
  <c r="D29" i="51" s="1"/>
  <c r="Q28" i="51"/>
  <c r="S28" i="51" s="1"/>
  <c r="G26" i="51"/>
  <c r="I26" i="51" s="1"/>
  <c r="B26" i="51"/>
  <c r="D26" i="51" s="1"/>
  <c r="L24" i="51"/>
  <c r="N24" i="51" s="1"/>
  <c r="G24" i="51"/>
  <c r="I24" i="51" s="1"/>
  <c r="Q21" i="51"/>
  <c r="S21" i="51" s="1"/>
  <c r="L21" i="51"/>
  <c r="N21" i="51" s="1"/>
  <c r="B20" i="51"/>
  <c r="D20" i="51" s="1"/>
  <c r="Q19" i="51"/>
  <c r="S19" i="51" s="1"/>
  <c r="G17" i="51"/>
  <c r="I17" i="51" s="1"/>
  <c r="B17" i="51"/>
  <c r="D17" i="51" s="1"/>
  <c r="E16" i="51"/>
  <c r="C2" i="51" s="1"/>
  <c r="Q15" i="51"/>
  <c r="S15" i="51" s="1"/>
  <c r="L15" i="51"/>
  <c r="N15" i="51" s="1"/>
  <c r="Q13" i="51"/>
  <c r="S13" i="51" s="1"/>
  <c r="B13" i="51"/>
  <c r="D13" i="51" s="1"/>
  <c r="L11" i="51"/>
  <c r="N11" i="51" s="1"/>
  <c r="T6" i="51"/>
  <c r="T5" i="51"/>
  <c r="G5" i="51"/>
  <c r="S4" i="51"/>
  <c r="F4" i="51"/>
  <c r="E4" i="51"/>
  <c r="E6" i="51" s="1"/>
  <c r="S3" i="51"/>
  <c r="J3" i="51"/>
  <c r="L37" i="51" s="1"/>
  <c r="N37" i="51" s="1"/>
  <c r="Q2" i="51"/>
  <c r="S2" i="51" s="1"/>
  <c r="F2" i="51"/>
  <c r="E2" i="51"/>
  <c r="D2" i="51"/>
  <c r="G2" i="51" s="1"/>
  <c r="H3" i="51" s="1"/>
  <c r="Q1" i="51"/>
  <c r="S1" i="51" s="1"/>
  <c r="T1" i="51" s="1"/>
  <c r="E16" i="50"/>
  <c r="Q1" i="50" s="1"/>
  <c r="S1" i="50" s="1"/>
  <c r="T1" i="50" s="1"/>
  <c r="L56" i="50"/>
  <c r="N56" i="50" s="1"/>
  <c r="Q54" i="50"/>
  <c r="S54" i="50" s="1"/>
  <c r="L54" i="50"/>
  <c r="N54" i="50" s="1"/>
  <c r="Q52" i="50"/>
  <c r="S52" i="50" s="1"/>
  <c r="Q49" i="50"/>
  <c r="S49" i="50" s="1"/>
  <c r="B48" i="50"/>
  <c r="D48" i="50" s="1"/>
  <c r="G47" i="50"/>
  <c r="I47" i="50" s="1"/>
  <c r="B47" i="50"/>
  <c r="D47" i="50" s="1"/>
  <c r="L42" i="50"/>
  <c r="N42" i="50" s="1"/>
  <c r="G42" i="50"/>
  <c r="I42" i="50" s="1"/>
  <c r="B42" i="50"/>
  <c r="D42" i="50" s="1"/>
  <c r="Q39" i="50"/>
  <c r="S39" i="50" s="1"/>
  <c r="L37" i="50"/>
  <c r="N37" i="50" s="1"/>
  <c r="Q36" i="50"/>
  <c r="S36" i="50" s="1"/>
  <c r="L36" i="50"/>
  <c r="N36" i="50" s="1"/>
  <c r="Q34" i="50"/>
  <c r="S34" i="50" s="1"/>
  <c r="Q31" i="50"/>
  <c r="S31" i="50" s="1"/>
  <c r="B30" i="50"/>
  <c r="D30" i="50" s="1"/>
  <c r="G29" i="50"/>
  <c r="I29" i="50" s="1"/>
  <c r="L25" i="50"/>
  <c r="N25" i="50" s="1"/>
  <c r="Q24" i="50"/>
  <c r="S24" i="50" s="1"/>
  <c r="B23" i="50"/>
  <c r="D23" i="50" s="1"/>
  <c r="G20" i="50"/>
  <c r="I20" i="50" s="1"/>
  <c r="L18" i="50"/>
  <c r="N18" i="50" s="1"/>
  <c r="G18" i="50"/>
  <c r="I18" i="50" s="1"/>
  <c r="B14" i="50"/>
  <c r="D14" i="50" s="1"/>
  <c r="Q13" i="50"/>
  <c r="S13" i="50" s="1"/>
  <c r="D12" i="50"/>
  <c r="B12" i="50"/>
  <c r="T6" i="50"/>
  <c r="T5" i="50"/>
  <c r="G5" i="50"/>
  <c r="S4" i="50"/>
  <c r="S3" i="50"/>
  <c r="J3" i="50"/>
  <c r="Q2" i="50"/>
  <c r="S2" i="50" s="1"/>
  <c r="F2" i="50"/>
  <c r="E2" i="50"/>
  <c r="D2" i="50"/>
  <c r="C2" i="50"/>
  <c r="G2" i="50" s="1"/>
  <c r="H3" i="50" s="1"/>
  <c r="L62" i="49"/>
  <c r="N62" i="49" s="1"/>
  <c r="Q60" i="49"/>
  <c r="S60" i="49" s="1"/>
  <c r="L60" i="49"/>
  <c r="N60" i="49" s="1"/>
  <c r="Q59" i="49"/>
  <c r="S59" i="49" s="1"/>
  <c r="Q56" i="49"/>
  <c r="S56" i="49" s="1"/>
  <c r="L56" i="49"/>
  <c r="N56" i="49" s="1"/>
  <c r="Q54" i="49"/>
  <c r="S54" i="49" s="1"/>
  <c r="L54" i="49"/>
  <c r="N54" i="49" s="1"/>
  <c r="B53" i="49"/>
  <c r="D53" i="49" s="1"/>
  <c r="Q52" i="49"/>
  <c r="S52" i="49" s="1"/>
  <c r="L52" i="49"/>
  <c r="N52" i="49" s="1"/>
  <c r="Q51" i="49"/>
  <c r="S51" i="49" s="1"/>
  <c r="B51" i="49"/>
  <c r="D51" i="49" s="1"/>
  <c r="G50" i="49"/>
  <c r="I50" i="49" s="1"/>
  <c r="B50" i="49"/>
  <c r="D50" i="49" s="1"/>
  <c r="Q49" i="49"/>
  <c r="S49" i="49" s="1"/>
  <c r="G48" i="49"/>
  <c r="I48" i="49" s="1"/>
  <c r="B48" i="49"/>
  <c r="D48" i="49" s="1"/>
  <c r="G47" i="49"/>
  <c r="I47" i="49" s="1"/>
  <c r="B47" i="49"/>
  <c r="D47" i="49" s="1"/>
  <c r="L45" i="49"/>
  <c r="N45" i="49" s="1"/>
  <c r="G45" i="49"/>
  <c r="I45" i="49" s="1"/>
  <c r="B45" i="49"/>
  <c r="D45" i="49" s="1"/>
  <c r="G44" i="49"/>
  <c r="I44" i="49" s="1"/>
  <c r="Q42" i="49"/>
  <c r="S42" i="49" s="1"/>
  <c r="L42" i="49"/>
  <c r="N42" i="49" s="1"/>
  <c r="G42" i="49"/>
  <c r="I42" i="49" s="1"/>
  <c r="B42" i="49"/>
  <c r="D42" i="49" s="1"/>
  <c r="Q40" i="49"/>
  <c r="S40" i="49" s="1"/>
  <c r="L40" i="49"/>
  <c r="N40" i="49" s="1"/>
  <c r="Q39" i="49"/>
  <c r="S39" i="49" s="1"/>
  <c r="L39" i="49"/>
  <c r="N39" i="49" s="1"/>
  <c r="G38" i="49"/>
  <c r="I38" i="49" s="1"/>
  <c r="B38" i="49"/>
  <c r="D38" i="49" s="1"/>
  <c r="Q37" i="49"/>
  <c r="S37" i="49" s="1"/>
  <c r="L37" i="49"/>
  <c r="N37" i="49" s="1"/>
  <c r="G36" i="49"/>
  <c r="I36" i="49" s="1"/>
  <c r="B36" i="49"/>
  <c r="D36" i="49" s="1"/>
  <c r="G35" i="49"/>
  <c r="I35" i="49" s="1"/>
  <c r="B35" i="49"/>
  <c r="D35" i="49" s="1"/>
  <c r="Q33" i="49"/>
  <c r="S33" i="49" s="1"/>
  <c r="L33" i="49"/>
  <c r="N33" i="49" s="1"/>
  <c r="G33" i="49"/>
  <c r="I33" i="49" s="1"/>
  <c r="B33" i="49"/>
  <c r="D33" i="49" s="1"/>
  <c r="Q31" i="49"/>
  <c r="S31" i="49" s="1"/>
  <c r="L31" i="49"/>
  <c r="N31" i="49" s="1"/>
  <c r="Q30" i="49"/>
  <c r="S30" i="49" s="1"/>
  <c r="L30" i="49"/>
  <c r="N30" i="49" s="1"/>
  <c r="G29" i="49"/>
  <c r="I29" i="49" s="1"/>
  <c r="B29" i="49"/>
  <c r="D29" i="49" s="1"/>
  <c r="Q28" i="49"/>
  <c r="S28" i="49" s="1"/>
  <c r="L28" i="49"/>
  <c r="N28" i="49" s="1"/>
  <c r="G27" i="49"/>
  <c r="I27" i="49" s="1"/>
  <c r="B27" i="49"/>
  <c r="D27" i="49" s="1"/>
  <c r="G26" i="49"/>
  <c r="I26" i="49" s="1"/>
  <c r="B26" i="49"/>
  <c r="D26" i="49" s="1"/>
  <c r="Q24" i="49"/>
  <c r="S24" i="49" s="1"/>
  <c r="L24" i="49"/>
  <c r="N24" i="49" s="1"/>
  <c r="G24" i="49"/>
  <c r="I24" i="49" s="1"/>
  <c r="B24" i="49"/>
  <c r="D24" i="49" s="1"/>
  <c r="Q22" i="49"/>
  <c r="S22" i="49" s="1"/>
  <c r="L22" i="49"/>
  <c r="N22" i="49" s="1"/>
  <c r="Q21" i="49"/>
  <c r="S21" i="49" s="1"/>
  <c r="L21" i="49"/>
  <c r="N21" i="49" s="1"/>
  <c r="G20" i="49"/>
  <c r="I20" i="49" s="1"/>
  <c r="B20" i="49"/>
  <c r="D20" i="49" s="1"/>
  <c r="Q19" i="49"/>
  <c r="S19" i="49" s="1"/>
  <c r="L19" i="49"/>
  <c r="N19" i="49" s="1"/>
  <c r="G18" i="49"/>
  <c r="I18" i="49" s="1"/>
  <c r="B18" i="49"/>
  <c r="D18" i="49" s="1"/>
  <c r="G17" i="49"/>
  <c r="I17" i="49" s="1"/>
  <c r="B17" i="49"/>
  <c r="D17" i="49" s="1"/>
  <c r="Q15" i="49"/>
  <c r="S15" i="49" s="1"/>
  <c r="L15" i="49"/>
  <c r="N15" i="49" s="1"/>
  <c r="G15" i="49"/>
  <c r="I15" i="49" s="1"/>
  <c r="B15" i="49"/>
  <c r="D15" i="49" s="1"/>
  <c r="Q13" i="49"/>
  <c r="S13" i="49" s="1"/>
  <c r="L13" i="49"/>
  <c r="N13" i="49" s="1"/>
  <c r="Q12" i="49"/>
  <c r="S12" i="49" s="1"/>
  <c r="L12" i="49"/>
  <c r="N12" i="49" s="1"/>
  <c r="G11" i="49"/>
  <c r="I11" i="49" s="1"/>
  <c r="B11" i="49"/>
  <c r="D11" i="49" s="1"/>
  <c r="Q10" i="49"/>
  <c r="L10" i="49"/>
  <c r="T6" i="49"/>
  <c r="T5" i="49"/>
  <c r="G5" i="49"/>
  <c r="S4" i="49"/>
  <c r="F4" i="49"/>
  <c r="S3" i="49"/>
  <c r="J3" i="49"/>
  <c r="Q2" i="49"/>
  <c r="S2" i="49" s="1"/>
  <c r="F2" i="49"/>
  <c r="E2" i="49"/>
  <c r="D2" i="49"/>
  <c r="C2" i="49"/>
  <c r="Q1" i="49"/>
  <c r="S1" i="49" s="1"/>
  <c r="T1" i="49" s="1"/>
  <c r="L39" i="56" l="1"/>
  <c r="N39" i="56" s="1"/>
  <c r="B43" i="56"/>
  <c r="D43" i="56" s="1"/>
  <c r="B47" i="56"/>
  <c r="D47" i="56" s="1"/>
  <c r="L55" i="56"/>
  <c r="N55" i="56" s="1"/>
  <c r="S10" i="56"/>
  <c r="M5" i="56"/>
  <c r="Q64" i="56"/>
  <c r="S64" i="56" s="1"/>
  <c r="Q61" i="56"/>
  <c r="S61" i="56" s="1"/>
  <c r="Q58" i="56"/>
  <c r="S58" i="56" s="1"/>
  <c r="Q55" i="56"/>
  <c r="S55" i="56" s="1"/>
  <c r="Q53" i="56"/>
  <c r="S53" i="56" s="1"/>
  <c r="G52" i="56"/>
  <c r="I52" i="56" s="1"/>
  <c r="Q50" i="56"/>
  <c r="S50" i="56" s="1"/>
  <c r="G49" i="56"/>
  <c r="I49" i="56" s="1"/>
  <c r="Q47" i="56"/>
  <c r="S47" i="56" s="1"/>
  <c r="G46" i="56"/>
  <c r="I46" i="56" s="1"/>
  <c r="Q44" i="56"/>
  <c r="S44" i="56" s="1"/>
  <c r="G43" i="56"/>
  <c r="I43" i="56" s="1"/>
  <c r="Q41" i="56"/>
  <c r="S41" i="56" s="1"/>
  <c r="G40" i="56"/>
  <c r="I40" i="56" s="1"/>
  <c r="Q38" i="56"/>
  <c r="S38" i="56" s="1"/>
  <c r="G37" i="56"/>
  <c r="I37" i="56" s="1"/>
  <c r="Q35" i="56"/>
  <c r="S35" i="56" s="1"/>
  <c r="G34" i="56"/>
  <c r="I34" i="56" s="1"/>
  <c r="Q32" i="56"/>
  <c r="S32" i="56" s="1"/>
  <c r="G31" i="56"/>
  <c r="I31" i="56" s="1"/>
  <c r="Q29" i="56"/>
  <c r="S29" i="56" s="1"/>
  <c r="G28" i="56"/>
  <c r="I28" i="56" s="1"/>
  <c r="Q26" i="56"/>
  <c r="S26" i="56" s="1"/>
  <c r="G25" i="56"/>
  <c r="I25" i="56" s="1"/>
  <c r="Q23" i="56"/>
  <c r="S23" i="56" s="1"/>
  <c r="G22" i="56"/>
  <c r="I22" i="56" s="1"/>
  <c r="Q20" i="56"/>
  <c r="S20" i="56" s="1"/>
  <c r="G19" i="56"/>
  <c r="I19" i="56" s="1"/>
  <c r="Q17" i="56"/>
  <c r="S17" i="56" s="1"/>
  <c r="G16" i="56"/>
  <c r="I16" i="56" s="1"/>
  <c r="Q14" i="56"/>
  <c r="S14" i="56" s="1"/>
  <c r="G13" i="56"/>
  <c r="I13" i="56" s="1"/>
  <c r="Q11" i="56"/>
  <c r="S11" i="56" s="1"/>
  <c r="G10" i="56"/>
  <c r="Q63" i="56"/>
  <c r="S63" i="56" s="1"/>
  <c r="Q60" i="56"/>
  <c r="S60" i="56" s="1"/>
  <c r="Q57" i="56"/>
  <c r="S57" i="56" s="1"/>
  <c r="Q54" i="56"/>
  <c r="S54" i="56" s="1"/>
  <c r="G53" i="56"/>
  <c r="I53" i="56" s="1"/>
  <c r="Q51" i="56"/>
  <c r="S51" i="56" s="1"/>
  <c r="G50" i="56"/>
  <c r="I50" i="56" s="1"/>
  <c r="Q48" i="56"/>
  <c r="S48" i="56" s="1"/>
  <c r="G47" i="56"/>
  <c r="I47" i="56" s="1"/>
  <c r="Q45" i="56"/>
  <c r="S45" i="56" s="1"/>
  <c r="G44" i="56"/>
  <c r="I44" i="56" s="1"/>
  <c r="Q42" i="56"/>
  <c r="S42" i="56" s="1"/>
  <c r="G41" i="56"/>
  <c r="I41" i="56" s="1"/>
  <c r="Q39" i="56"/>
  <c r="S39" i="56" s="1"/>
  <c r="G38" i="56"/>
  <c r="I38" i="56" s="1"/>
  <c r="Q36" i="56"/>
  <c r="S36" i="56" s="1"/>
  <c r="G35" i="56"/>
  <c r="I35" i="56" s="1"/>
  <c r="Q33" i="56"/>
  <c r="S33" i="56" s="1"/>
  <c r="G32" i="56"/>
  <c r="I32" i="56" s="1"/>
  <c r="Q30" i="56"/>
  <c r="S30" i="56" s="1"/>
  <c r="G29" i="56"/>
  <c r="I29" i="56" s="1"/>
  <c r="Q27" i="56"/>
  <c r="S27" i="56" s="1"/>
  <c r="G26" i="56"/>
  <c r="I26" i="56" s="1"/>
  <c r="Q24" i="56"/>
  <c r="S24" i="56" s="1"/>
  <c r="G23" i="56"/>
  <c r="I23" i="56" s="1"/>
  <c r="Q21" i="56"/>
  <c r="S21" i="56" s="1"/>
  <c r="G20" i="56"/>
  <c r="I20" i="56" s="1"/>
  <c r="Q18" i="56"/>
  <c r="S18" i="56" s="1"/>
  <c r="G17" i="56"/>
  <c r="I17" i="56" s="1"/>
  <c r="Q15" i="56"/>
  <c r="S15" i="56" s="1"/>
  <c r="G14" i="56"/>
  <c r="I14" i="56" s="1"/>
  <c r="Q12" i="56"/>
  <c r="S12" i="56" s="1"/>
  <c r="G11" i="56"/>
  <c r="I11" i="56" s="1"/>
  <c r="F4" i="56"/>
  <c r="B52" i="56"/>
  <c r="D52" i="56" s="1"/>
  <c r="L49" i="56"/>
  <c r="N49" i="56" s="1"/>
  <c r="Q46" i="56"/>
  <c r="S46" i="56" s="1"/>
  <c r="B44" i="56"/>
  <c r="D44" i="56" s="1"/>
  <c r="G39" i="56"/>
  <c r="I39" i="56" s="1"/>
  <c r="B37" i="56"/>
  <c r="D37" i="56" s="1"/>
  <c r="Q34" i="56"/>
  <c r="S34" i="56" s="1"/>
  <c r="L32" i="56"/>
  <c r="N32" i="56" s="1"/>
  <c r="G30" i="56"/>
  <c r="I30" i="56" s="1"/>
  <c r="B28" i="56"/>
  <c r="D28" i="56" s="1"/>
  <c r="Q25" i="56"/>
  <c r="S25" i="56" s="1"/>
  <c r="L23" i="56"/>
  <c r="N23" i="56" s="1"/>
  <c r="G21" i="56"/>
  <c r="I21" i="56" s="1"/>
  <c r="B19" i="56"/>
  <c r="D19" i="56" s="1"/>
  <c r="Q16" i="56"/>
  <c r="S16" i="56" s="1"/>
  <c r="L14" i="56"/>
  <c r="N14" i="56" s="1"/>
  <c r="G12" i="56"/>
  <c r="I12" i="56" s="1"/>
  <c r="B10" i="56"/>
  <c r="D4" i="56"/>
  <c r="L59" i="56"/>
  <c r="N59" i="56" s="1"/>
  <c r="G54" i="56"/>
  <c r="I54" i="56" s="1"/>
  <c r="L51" i="56"/>
  <c r="N51" i="56" s="1"/>
  <c r="L41" i="56"/>
  <c r="N41" i="56" s="1"/>
  <c r="C4" i="56"/>
  <c r="L63" i="56"/>
  <c r="N63" i="56" s="1"/>
  <c r="B49" i="56"/>
  <c r="D49" i="56" s="1"/>
  <c r="L46" i="56"/>
  <c r="N46" i="56" s="1"/>
  <c r="Q43" i="56"/>
  <c r="S43" i="56" s="1"/>
  <c r="B41" i="56"/>
  <c r="D41" i="56" s="1"/>
  <c r="B39" i="56"/>
  <c r="D39" i="56" s="1"/>
  <c r="L36" i="56"/>
  <c r="N36" i="56" s="1"/>
  <c r="L34" i="56"/>
  <c r="N34" i="56" s="1"/>
  <c r="B32" i="56"/>
  <c r="D32" i="56" s="1"/>
  <c r="B30" i="56"/>
  <c r="D30" i="56" s="1"/>
  <c r="L27" i="56"/>
  <c r="N27" i="56" s="1"/>
  <c r="L25" i="56"/>
  <c r="N25" i="56" s="1"/>
  <c r="B23" i="56"/>
  <c r="D23" i="56" s="1"/>
  <c r="B21" i="56"/>
  <c r="D21" i="56" s="1"/>
  <c r="L18" i="56"/>
  <c r="N18" i="56" s="1"/>
  <c r="L16" i="56"/>
  <c r="N16" i="56" s="1"/>
  <c r="B14" i="56"/>
  <c r="D14" i="56" s="1"/>
  <c r="B12" i="56"/>
  <c r="D12" i="56" s="1"/>
  <c r="L58" i="56"/>
  <c r="N58" i="56" s="1"/>
  <c r="B54" i="56"/>
  <c r="D54" i="56" s="1"/>
  <c r="G51" i="56"/>
  <c r="I51" i="56" s="1"/>
  <c r="L48" i="56"/>
  <c r="N48" i="56" s="1"/>
  <c r="L64" i="56"/>
  <c r="N64" i="56" s="1"/>
  <c r="Q62" i="56"/>
  <c r="S62" i="56" s="1"/>
  <c r="L10" i="56"/>
  <c r="B16" i="56"/>
  <c r="D16" i="56" s="1"/>
  <c r="L47" i="56"/>
  <c r="N47" i="56" s="1"/>
  <c r="B51" i="56"/>
  <c r="D51" i="56" s="1"/>
  <c r="L42" i="55"/>
  <c r="N42" i="55" s="1"/>
  <c r="Q44" i="55"/>
  <c r="S44" i="55" s="1"/>
  <c r="G49" i="55"/>
  <c r="I49" i="55" s="1"/>
  <c r="Q53" i="55"/>
  <c r="S53" i="55" s="1"/>
  <c r="Q61" i="55"/>
  <c r="S61" i="55" s="1"/>
  <c r="F4" i="55"/>
  <c r="B12" i="55"/>
  <c r="D12" i="55" s="1"/>
  <c r="L15" i="55"/>
  <c r="N15" i="55" s="1"/>
  <c r="G19" i="55"/>
  <c r="I19" i="55" s="1"/>
  <c r="Q22" i="55"/>
  <c r="S22" i="55" s="1"/>
  <c r="G26" i="55"/>
  <c r="I26" i="55" s="1"/>
  <c r="B30" i="55"/>
  <c r="D30" i="55" s="1"/>
  <c r="L33" i="55"/>
  <c r="N33" i="55" s="1"/>
  <c r="G37" i="55"/>
  <c r="I37" i="55" s="1"/>
  <c r="Q40" i="55"/>
  <c r="S40" i="55" s="1"/>
  <c r="B45" i="55"/>
  <c r="D45" i="55" s="1"/>
  <c r="L49" i="55"/>
  <c r="N49" i="55" s="1"/>
  <c r="L57" i="55"/>
  <c r="N57" i="55" s="1"/>
  <c r="L10" i="55"/>
  <c r="G12" i="55"/>
  <c r="I12" i="55" s="1"/>
  <c r="Q15" i="55"/>
  <c r="S15" i="55" s="1"/>
  <c r="Q17" i="55"/>
  <c r="S17" i="55" s="1"/>
  <c r="L19" i="55"/>
  <c r="N19" i="55" s="1"/>
  <c r="G21" i="55"/>
  <c r="I21" i="55" s="1"/>
  <c r="B23" i="55"/>
  <c r="D23" i="55" s="1"/>
  <c r="Q24" i="55"/>
  <c r="S24" i="55" s="1"/>
  <c r="Q26" i="55"/>
  <c r="S26" i="55" s="1"/>
  <c r="L28" i="55"/>
  <c r="N28" i="55" s="1"/>
  <c r="G30" i="55"/>
  <c r="I30" i="55" s="1"/>
  <c r="B32" i="55"/>
  <c r="D32" i="55" s="1"/>
  <c r="Q33" i="55"/>
  <c r="S33" i="55" s="1"/>
  <c r="L37" i="55"/>
  <c r="N37" i="55" s="1"/>
  <c r="G39" i="55"/>
  <c r="I39" i="55" s="1"/>
  <c r="B41" i="55"/>
  <c r="D41" i="55" s="1"/>
  <c r="G43" i="55"/>
  <c r="I43" i="55" s="1"/>
  <c r="G45" i="55"/>
  <c r="I45" i="55" s="1"/>
  <c r="G47" i="55"/>
  <c r="I47" i="55" s="1"/>
  <c r="Q49" i="55"/>
  <c r="S49" i="55" s="1"/>
  <c r="Q51" i="55"/>
  <c r="S51" i="55" s="1"/>
  <c r="G54" i="55"/>
  <c r="I54" i="55" s="1"/>
  <c r="Q57" i="55"/>
  <c r="S57" i="55" s="1"/>
  <c r="Q62" i="55"/>
  <c r="S62" i="55" s="1"/>
  <c r="E4" i="55"/>
  <c r="M4" i="55" s="1"/>
  <c r="G10" i="55"/>
  <c r="Q13" i="55"/>
  <c r="S13" i="55" s="1"/>
  <c r="G17" i="55"/>
  <c r="I17" i="55" s="1"/>
  <c r="B21" i="55"/>
  <c r="D21" i="55" s="1"/>
  <c r="L24" i="55"/>
  <c r="N24" i="55" s="1"/>
  <c r="G28" i="55"/>
  <c r="I28" i="55" s="1"/>
  <c r="Q31" i="55"/>
  <c r="S31" i="55" s="1"/>
  <c r="G35" i="55"/>
  <c r="I35" i="55" s="1"/>
  <c r="B39" i="55"/>
  <c r="D39" i="55" s="1"/>
  <c r="B47" i="55"/>
  <c r="D47" i="55" s="1"/>
  <c r="L51" i="55"/>
  <c r="N51" i="55" s="1"/>
  <c r="B54" i="55"/>
  <c r="D54" i="55" s="1"/>
  <c r="L62" i="55"/>
  <c r="N62" i="55" s="1"/>
  <c r="Q42" i="55"/>
  <c r="S42" i="55" s="1"/>
  <c r="B14" i="55"/>
  <c r="D14" i="55" s="1"/>
  <c r="Q35" i="55"/>
  <c r="S35" i="55" s="1"/>
  <c r="Q47" i="55"/>
  <c r="S47" i="55" s="1"/>
  <c r="G52" i="55"/>
  <c r="I52" i="55" s="1"/>
  <c r="Q58" i="55"/>
  <c r="S58" i="55" s="1"/>
  <c r="B11" i="55"/>
  <c r="D11" i="55" s="1"/>
  <c r="Q12" i="55"/>
  <c r="Q14" i="55"/>
  <c r="S14" i="55" s="1"/>
  <c r="L16" i="55"/>
  <c r="N16" i="55" s="1"/>
  <c r="G18" i="55"/>
  <c r="I18" i="55" s="1"/>
  <c r="B20" i="55"/>
  <c r="D20" i="55" s="1"/>
  <c r="Q21" i="55"/>
  <c r="S21" i="55" s="1"/>
  <c r="Q23" i="55"/>
  <c r="S23" i="55" s="1"/>
  <c r="L25" i="55"/>
  <c r="N25" i="55" s="1"/>
  <c r="G27" i="55"/>
  <c r="I27" i="55" s="1"/>
  <c r="B29" i="55"/>
  <c r="D29" i="55" s="1"/>
  <c r="Q30" i="55"/>
  <c r="S30" i="55" s="1"/>
  <c r="Q32" i="55"/>
  <c r="S32" i="55" s="1"/>
  <c r="L34" i="55"/>
  <c r="N34" i="55" s="1"/>
  <c r="G36" i="55"/>
  <c r="I36" i="55" s="1"/>
  <c r="B38" i="55"/>
  <c r="D38" i="55" s="1"/>
  <c r="Q39" i="55"/>
  <c r="S39" i="55" s="1"/>
  <c r="Q43" i="55"/>
  <c r="S43" i="55" s="1"/>
  <c r="Q45" i="55"/>
  <c r="S45" i="55" s="1"/>
  <c r="G48" i="55"/>
  <c r="I48" i="55" s="1"/>
  <c r="G50" i="55"/>
  <c r="I50" i="55" s="1"/>
  <c r="Q52" i="55"/>
  <c r="S52" i="55" s="1"/>
  <c r="Q54" i="55"/>
  <c r="S54" i="55" s="1"/>
  <c r="Q59" i="55"/>
  <c r="S59" i="55" s="1"/>
  <c r="L64" i="55"/>
  <c r="N64" i="55" s="1"/>
  <c r="L61" i="55"/>
  <c r="N61" i="55" s="1"/>
  <c r="L58" i="55"/>
  <c r="N58" i="55" s="1"/>
  <c r="L55" i="55"/>
  <c r="N55" i="55" s="1"/>
  <c r="L53" i="55"/>
  <c r="N53" i="55" s="1"/>
  <c r="B52" i="55"/>
  <c r="D52" i="55" s="1"/>
  <c r="L50" i="55"/>
  <c r="N50" i="55" s="1"/>
  <c r="B49" i="55"/>
  <c r="D49" i="55" s="1"/>
  <c r="L47" i="55"/>
  <c r="N47" i="55" s="1"/>
  <c r="B46" i="55"/>
  <c r="D46" i="55" s="1"/>
  <c r="L44" i="55"/>
  <c r="N44" i="55" s="1"/>
  <c r="B43" i="55"/>
  <c r="D43" i="55" s="1"/>
  <c r="L41" i="55"/>
  <c r="N41" i="55" s="1"/>
  <c r="B40" i="55"/>
  <c r="D40" i="55" s="1"/>
  <c r="L38" i="55"/>
  <c r="N38" i="55" s="1"/>
  <c r="B37" i="55"/>
  <c r="D37" i="55" s="1"/>
  <c r="L35" i="55"/>
  <c r="N35" i="55" s="1"/>
  <c r="B34" i="55"/>
  <c r="D34" i="55" s="1"/>
  <c r="L32" i="55"/>
  <c r="N32" i="55" s="1"/>
  <c r="B31" i="55"/>
  <c r="D31" i="55" s="1"/>
  <c r="L29" i="55"/>
  <c r="N29" i="55" s="1"/>
  <c r="B28" i="55"/>
  <c r="D28" i="55" s="1"/>
  <c r="L26" i="55"/>
  <c r="N26" i="55" s="1"/>
  <c r="B25" i="55"/>
  <c r="D25" i="55" s="1"/>
  <c r="L23" i="55"/>
  <c r="N23" i="55" s="1"/>
  <c r="B22" i="55"/>
  <c r="D22" i="55" s="1"/>
  <c r="L20" i="55"/>
  <c r="N20" i="55" s="1"/>
  <c r="B19" i="55"/>
  <c r="D19" i="55" s="1"/>
  <c r="L17" i="55"/>
  <c r="N17" i="55" s="1"/>
  <c r="B16" i="55"/>
  <c r="D16" i="55" s="1"/>
  <c r="L14" i="55"/>
  <c r="N14" i="55" s="1"/>
  <c r="B13" i="55"/>
  <c r="D13" i="55" s="1"/>
  <c r="L11" i="55"/>
  <c r="N11" i="55" s="1"/>
  <c r="B10" i="55"/>
  <c r="C6" i="55"/>
  <c r="B42" i="55"/>
  <c r="D42" i="55" s="1"/>
  <c r="G46" i="55"/>
  <c r="I46" i="55" s="1"/>
  <c r="Q50" i="55"/>
  <c r="S50" i="55" s="1"/>
  <c r="Q55" i="55"/>
  <c r="S55" i="55" s="1"/>
  <c r="Q64" i="55"/>
  <c r="S64" i="55" s="1"/>
  <c r="B45" i="54"/>
  <c r="D45" i="54" s="1"/>
  <c r="G12" i="54"/>
  <c r="I12" i="54" s="1"/>
  <c r="Q16" i="54"/>
  <c r="S16" i="54" s="1"/>
  <c r="G21" i="54"/>
  <c r="I21" i="54" s="1"/>
  <c r="Q25" i="54"/>
  <c r="S25" i="54" s="1"/>
  <c r="G30" i="54"/>
  <c r="I30" i="54" s="1"/>
  <c r="L37" i="54"/>
  <c r="N37" i="54" s="1"/>
  <c r="L46" i="54"/>
  <c r="N46" i="54" s="1"/>
  <c r="G2" i="54"/>
  <c r="H3" i="54" s="1"/>
  <c r="E3" i="54"/>
  <c r="N10" i="54"/>
  <c r="Q64" i="54"/>
  <c r="S64" i="54" s="1"/>
  <c r="Q61" i="54"/>
  <c r="S61" i="54" s="1"/>
  <c r="Q58" i="54"/>
  <c r="S58" i="54" s="1"/>
  <c r="Q55" i="54"/>
  <c r="S55" i="54" s="1"/>
  <c r="Q53" i="54"/>
  <c r="S53" i="54" s="1"/>
  <c r="G52" i="54"/>
  <c r="I52" i="54" s="1"/>
  <c r="Q50" i="54"/>
  <c r="S50" i="54" s="1"/>
  <c r="G49" i="54"/>
  <c r="I49" i="54" s="1"/>
  <c r="Q47" i="54"/>
  <c r="S47" i="54" s="1"/>
  <c r="G46" i="54"/>
  <c r="I46" i="54" s="1"/>
  <c r="Q44" i="54"/>
  <c r="S44" i="54" s="1"/>
  <c r="G43" i="54"/>
  <c r="I43" i="54" s="1"/>
  <c r="Q41" i="54"/>
  <c r="S41" i="54" s="1"/>
  <c r="G40" i="54"/>
  <c r="I40" i="54" s="1"/>
  <c r="Q38" i="54"/>
  <c r="S38" i="54" s="1"/>
  <c r="G37" i="54"/>
  <c r="I37" i="54" s="1"/>
  <c r="Q35" i="54"/>
  <c r="S35" i="54" s="1"/>
  <c r="G34" i="54"/>
  <c r="I34" i="54" s="1"/>
  <c r="Q32" i="54"/>
  <c r="S32" i="54" s="1"/>
  <c r="G31" i="54"/>
  <c r="I31" i="54" s="1"/>
  <c r="Q29" i="54"/>
  <c r="S29" i="54" s="1"/>
  <c r="G28" i="54"/>
  <c r="I28" i="54" s="1"/>
  <c r="Q26" i="54"/>
  <c r="S26" i="54" s="1"/>
  <c r="G25" i="54"/>
  <c r="I25" i="54" s="1"/>
  <c r="Q23" i="54"/>
  <c r="S23" i="54" s="1"/>
  <c r="G22" i="54"/>
  <c r="I22" i="54" s="1"/>
  <c r="Q20" i="54"/>
  <c r="S20" i="54" s="1"/>
  <c r="G19" i="54"/>
  <c r="I19" i="54" s="1"/>
  <c r="Q17" i="54"/>
  <c r="S17" i="54" s="1"/>
  <c r="G16" i="54"/>
  <c r="I16" i="54" s="1"/>
  <c r="Q14" i="54"/>
  <c r="S14" i="54" s="1"/>
  <c r="G13" i="54"/>
  <c r="I13" i="54" s="1"/>
  <c r="Q11" i="54"/>
  <c r="S11" i="54" s="1"/>
  <c r="G10" i="54"/>
  <c r="L64" i="54"/>
  <c r="N64" i="54" s="1"/>
  <c r="L61" i="54"/>
  <c r="N61" i="54" s="1"/>
  <c r="L58" i="54"/>
  <c r="N58" i="54" s="1"/>
  <c r="L55" i="54"/>
  <c r="N55" i="54" s="1"/>
  <c r="L53" i="54"/>
  <c r="N53" i="54" s="1"/>
  <c r="B52" i="54"/>
  <c r="D52" i="54" s="1"/>
  <c r="L50" i="54"/>
  <c r="N50" i="54" s="1"/>
  <c r="B49" i="54"/>
  <c r="D49" i="54" s="1"/>
  <c r="L47" i="54"/>
  <c r="N47" i="54" s="1"/>
  <c r="B46" i="54"/>
  <c r="D46" i="54" s="1"/>
  <c r="L44" i="54"/>
  <c r="N44" i="54" s="1"/>
  <c r="B43" i="54"/>
  <c r="D43" i="54" s="1"/>
  <c r="L41" i="54"/>
  <c r="N41" i="54" s="1"/>
  <c r="B40" i="54"/>
  <c r="D40" i="54" s="1"/>
  <c r="L38" i="54"/>
  <c r="N38" i="54" s="1"/>
  <c r="B37" i="54"/>
  <c r="D37" i="54" s="1"/>
  <c r="L35" i="54"/>
  <c r="N35" i="54" s="1"/>
  <c r="B34" i="54"/>
  <c r="D34" i="54" s="1"/>
  <c r="L32" i="54"/>
  <c r="N32" i="54" s="1"/>
  <c r="B31" i="54"/>
  <c r="D31" i="54" s="1"/>
  <c r="L29" i="54"/>
  <c r="N29" i="54" s="1"/>
  <c r="B28" i="54"/>
  <c r="D28" i="54" s="1"/>
  <c r="L26" i="54"/>
  <c r="N26" i="54" s="1"/>
  <c r="B25" i="54"/>
  <c r="D25" i="54" s="1"/>
  <c r="L23" i="54"/>
  <c r="N23" i="54" s="1"/>
  <c r="B22" i="54"/>
  <c r="D22" i="54" s="1"/>
  <c r="L20" i="54"/>
  <c r="N20" i="54" s="1"/>
  <c r="B19" i="54"/>
  <c r="D19" i="54" s="1"/>
  <c r="L17" i="54"/>
  <c r="N17" i="54" s="1"/>
  <c r="B16" i="54"/>
  <c r="D16" i="54" s="1"/>
  <c r="L14" i="54"/>
  <c r="N14" i="54" s="1"/>
  <c r="B13" i="54"/>
  <c r="D13" i="54" s="1"/>
  <c r="L11" i="54"/>
  <c r="N11" i="54" s="1"/>
  <c r="B10" i="54"/>
  <c r="Q60" i="54"/>
  <c r="S60" i="54" s="1"/>
  <c r="Q57" i="54"/>
  <c r="S57" i="54" s="1"/>
  <c r="Q54" i="54"/>
  <c r="S54" i="54" s="1"/>
  <c r="G53" i="54"/>
  <c r="I53" i="54" s="1"/>
  <c r="Q51" i="54"/>
  <c r="S51" i="54" s="1"/>
  <c r="G50" i="54"/>
  <c r="I50" i="54" s="1"/>
  <c r="Q48" i="54"/>
  <c r="S48" i="54" s="1"/>
  <c r="G47" i="54"/>
  <c r="I47" i="54" s="1"/>
  <c r="Q45" i="54"/>
  <c r="S45" i="54" s="1"/>
  <c r="G44" i="54"/>
  <c r="I44" i="54" s="1"/>
  <c r="Q42" i="54"/>
  <c r="S42" i="54" s="1"/>
  <c r="G41" i="54"/>
  <c r="I41" i="54" s="1"/>
  <c r="Q39" i="54"/>
  <c r="S39" i="54" s="1"/>
  <c r="G38" i="54"/>
  <c r="I38" i="54" s="1"/>
  <c r="Q36" i="54"/>
  <c r="S36" i="54" s="1"/>
  <c r="G35" i="54"/>
  <c r="I35" i="54" s="1"/>
  <c r="Q33" i="54"/>
  <c r="S33" i="54" s="1"/>
  <c r="G32" i="54"/>
  <c r="I32" i="54" s="1"/>
  <c r="Q30" i="54"/>
  <c r="S30" i="54" s="1"/>
  <c r="G29" i="54"/>
  <c r="I29" i="54" s="1"/>
  <c r="Q27" i="54"/>
  <c r="S27" i="54" s="1"/>
  <c r="G26" i="54"/>
  <c r="I26" i="54" s="1"/>
  <c r="Q24" i="54"/>
  <c r="S24" i="54" s="1"/>
  <c r="G23" i="54"/>
  <c r="I23" i="54" s="1"/>
  <c r="Q21" i="54"/>
  <c r="S21" i="54" s="1"/>
  <c r="G20" i="54"/>
  <c r="I20" i="54" s="1"/>
  <c r="Q18" i="54"/>
  <c r="S18" i="54" s="1"/>
  <c r="G17" i="54"/>
  <c r="I17" i="54" s="1"/>
  <c r="Q15" i="54"/>
  <c r="S15" i="54" s="1"/>
  <c r="G14" i="54"/>
  <c r="I14" i="54" s="1"/>
  <c r="Q12" i="54"/>
  <c r="S12" i="54" s="1"/>
  <c r="G11" i="54"/>
  <c r="I11" i="54" s="1"/>
  <c r="F4" i="54"/>
  <c r="Q63" i="54"/>
  <c r="S63" i="54" s="1"/>
  <c r="E4" i="54"/>
  <c r="L60" i="54"/>
  <c r="N60" i="54" s="1"/>
  <c r="L57" i="54"/>
  <c r="N57" i="54" s="1"/>
  <c r="L54" i="54"/>
  <c r="N54" i="54" s="1"/>
  <c r="B53" i="54"/>
  <c r="D53" i="54" s="1"/>
  <c r="L51" i="54"/>
  <c r="N51" i="54" s="1"/>
  <c r="B50" i="54"/>
  <c r="D50" i="54" s="1"/>
  <c r="L48" i="54"/>
  <c r="N48" i="54" s="1"/>
  <c r="B47" i="54"/>
  <c r="D47" i="54" s="1"/>
  <c r="L45" i="54"/>
  <c r="N45" i="54" s="1"/>
  <c r="B44" i="54"/>
  <c r="D44" i="54" s="1"/>
  <c r="L42" i="54"/>
  <c r="N42" i="54" s="1"/>
  <c r="B41" i="54"/>
  <c r="D41" i="54" s="1"/>
  <c r="L39" i="54"/>
  <c r="N39" i="54" s="1"/>
  <c r="B38" i="54"/>
  <c r="D38" i="54" s="1"/>
  <c r="L36" i="54"/>
  <c r="N36" i="54" s="1"/>
  <c r="B35" i="54"/>
  <c r="D35" i="54" s="1"/>
  <c r="L33" i="54"/>
  <c r="N33" i="54" s="1"/>
  <c r="B32" i="54"/>
  <c r="D32" i="54" s="1"/>
  <c r="L30" i="54"/>
  <c r="N30" i="54" s="1"/>
  <c r="B29" i="54"/>
  <c r="D29" i="54" s="1"/>
  <c r="L27" i="54"/>
  <c r="N27" i="54" s="1"/>
  <c r="B26" i="54"/>
  <c r="D26" i="54" s="1"/>
  <c r="L24" i="54"/>
  <c r="N24" i="54" s="1"/>
  <c r="B23" i="54"/>
  <c r="D23" i="54" s="1"/>
  <c r="L21" i="54"/>
  <c r="N21" i="54" s="1"/>
  <c r="B20" i="54"/>
  <c r="D20" i="54" s="1"/>
  <c r="L18" i="54"/>
  <c r="N18" i="54" s="1"/>
  <c r="B17" i="54"/>
  <c r="D17" i="54" s="1"/>
  <c r="L15" i="54"/>
  <c r="N15" i="54" s="1"/>
  <c r="B14" i="54"/>
  <c r="D14" i="54" s="1"/>
  <c r="L12" i="54"/>
  <c r="N12" i="54" s="1"/>
  <c r="B11" i="54"/>
  <c r="D11" i="54" s="1"/>
  <c r="D4" i="54"/>
  <c r="L63" i="54"/>
  <c r="N63" i="54" s="1"/>
  <c r="Q62" i="54"/>
  <c r="S62" i="54" s="1"/>
  <c r="Q59" i="54"/>
  <c r="S59" i="54" s="1"/>
  <c r="Q56" i="54"/>
  <c r="S56" i="54" s="1"/>
  <c r="G54" i="54"/>
  <c r="I54" i="54" s="1"/>
  <c r="Q52" i="54"/>
  <c r="S52" i="54" s="1"/>
  <c r="G51" i="54"/>
  <c r="I51" i="54" s="1"/>
  <c r="Q49" i="54"/>
  <c r="S49" i="54" s="1"/>
  <c r="G48" i="54"/>
  <c r="I48" i="54" s="1"/>
  <c r="Q46" i="54"/>
  <c r="S46" i="54" s="1"/>
  <c r="G45" i="54"/>
  <c r="I45" i="54" s="1"/>
  <c r="Q43" i="54"/>
  <c r="S43" i="54" s="1"/>
  <c r="G42" i="54"/>
  <c r="I42" i="54" s="1"/>
  <c r="Q40" i="54"/>
  <c r="S40" i="54" s="1"/>
  <c r="G39" i="54"/>
  <c r="I39" i="54" s="1"/>
  <c r="Q37" i="54"/>
  <c r="S37" i="54" s="1"/>
  <c r="G36" i="54"/>
  <c r="I36" i="54" s="1"/>
  <c r="Q34" i="54"/>
  <c r="S34" i="54" s="1"/>
  <c r="Q10" i="54"/>
  <c r="G15" i="54"/>
  <c r="I15" i="54" s="1"/>
  <c r="Q19" i="54"/>
  <c r="S19" i="54" s="1"/>
  <c r="G24" i="54"/>
  <c r="I24" i="54" s="1"/>
  <c r="Q28" i="54"/>
  <c r="S28" i="54" s="1"/>
  <c r="L34" i="54"/>
  <c r="N34" i="54" s="1"/>
  <c r="L43" i="54"/>
  <c r="N43" i="54" s="1"/>
  <c r="L52" i="54"/>
  <c r="N52" i="54" s="1"/>
  <c r="C4" i="54"/>
  <c r="B12" i="54"/>
  <c r="D12" i="54" s="1"/>
  <c r="L16" i="54"/>
  <c r="N16" i="54" s="1"/>
  <c r="B21" i="54"/>
  <c r="D21" i="54" s="1"/>
  <c r="L25" i="54"/>
  <c r="N25" i="54" s="1"/>
  <c r="B30" i="54"/>
  <c r="D30" i="54" s="1"/>
  <c r="B36" i="54"/>
  <c r="D36" i="54" s="1"/>
  <c r="B54" i="54"/>
  <c r="D54" i="54" s="1"/>
  <c r="L13" i="54"/>
  <c r="N13" i="54" s="1"/>
  <c r="B18" i="54"/>
  <c r="D18" i="54" s="1"/>
  <c r="L22" i="54"/>
  <c r="N22" i="54" s="1"/>
  <c r="B27" i="54"/>
  <c r="D27" i="54" s="1"/>
  <c r="L31" i="54"/>
  <c r="N31" i="54" s="1"/>
  <c r="B39" i="54"/>
  <c r="D39" i="54" s="1"/>
  <c r="B48" i="54"/>
  <c r="D48" i="54" s="1"/>
  <c r="L59" i="54"/>
  <c r="N59" i="54" s="1"/>
  <c r="G2" i="52"/>
  <c r="H3" i="52" s="1"/>
  <c r="F6" i="52"/>
  <c r="N5" i="52"/>
  <c r="N4" i="52"/>
  <c r="B15" i="52"/>
  <c r="D15" i="52" s="1"/>
  <c r="L13" i="52"/>
  <c r="N13" i="52" s="1"/>
  <c r="B12" i="52"/>
  <c r="L10" i="52"/>
  <c r="Q64" i="52"/>
  <c r="S64" i="52" s="1"/>
  <c r="Q61" i="52"/>
  <c r="S61" i="52" s="1"/>
  <c r="Q58" i="52"/>
  <c r="S58" i="52" s="1"/>
  <c r="Q55" i="52"/>
  <c r="S55" i="52" s="1"/>
  <c r="Q53" i="52"/>
  <c r="S53" i="52" s="1"/>
  <c r="G52" i="52"/>
  <c r="I52" i="52" s="1"/>
  <c r="Q50" i="52"/>
  <c r="S50" i="52" s="1"/>
  <c r="G49" i="52"/>
  <c r="I49" i="52" s="1"/>
  <c r="Q47" i="52"/>
  <c r="S47" i="52" s="1"/>
  <c r="G46" i="52"/>
  <c r="I46" i="52" s="1"/>
  <c r="Q44" i="52"/>
  <c r="S44" i="52" s="1"/>
  <c r="G43" i="52"/>
  <c r="I43" i="52" s="1"/>
  <c r="Q41" i="52"/>
  <c r="S41" i="52" s="1"/>
  <c r="G40" i="52"/>
  <c r="I40" i="52" s="1"/>
  <c r="Q38" i="52"/>
  <c r="S38" i="52" s="1"/>
  <c r="G37" i="52"/>
  <c r="I37" i="52" s="1"/>
  <c r="Q35" i="52"/>
  <c r="S35" i="52" s="1"/>
  <c r="G34" i="52"/>
  <c r="I34" i="52" s="1"/>
  <c r="Q32" i="52"/>
  <c r="S32" i="52" s="1"/>
  <c r="G31" i="52"/>
  <c r="I31" i="52" s="1"/>
  <c r="Q29" i="52"/>
  <c r="S29" i="52" s="1"/>
  <c r="G28" i="52"/>
  <c r="I28" i="52" s="1"/>
  <c r="Q26" i="52"/>
  <c r="S26" i="52" s="1"/>
  <c r="G25" i="52"/>
  <c r="I25" i="52" s="1"/>
  <c r="Q23" i="52"/>
  <c r="S23" i="52" s="1"/>
  <c r="G22" i="52"/>
  <c r="I22" i="52" s="1"/>
  <c r="Q20" i="52"/>
  <c r="S20" i="52" s="1"/>
  <c r="G19" i="52"/>
  <c r="I19" i="52" s="1"/>
  <c r="Q17" i="52"/>
  <c r="S17" i="52" s="1"/>
  <c r="G16" i="52"/>
  <c r="I16" i="52" s="1"/>
  <c r="L64" i="52"/>
  <c r="N64" i="52" s="1"/>
  <c r="L61" i="52"/>
  <c r="N61" i="52" s="1"/>
  <c r="L58" i="52"/>
  <c r="N58" i="52" s="1"/>
  <c r="L55" i="52"/>
  <c r="N55" i="52" s="1"/>
  <c r="L53" i="52"/>
  <c r="N53" i="52" s="1"/>
  <c r="B52" i="52"/>
  <c r="D52" i="52" s="1"/>
  <c r="L50" i="52"/>
  <c r="N50" i="52" s="1"/>
  <c r="B49" i="52"/>
  <c r="D49" i="52" s="1"/>
  <c r="L47" i="52"/>
  <c r="N47" i="52" s="1"/>
  <c r="B46" i="52"/>
  <c r="D46" i="52" s="1"/>
  <c r="L44" i="52"/>
  <c r="N44" i="52" s="1"/>
  <c r="B43" i="52"/>
  <c r="D43" i="52" s="1"/>
  <c r="L41" i="52"/>
  <c r="N41" i="52" s="1"/>
  <c r="Q14" i="52"/>
  <c r="S14" i="52" s="1"/>
  <c r="G13" i="52"/>
  <c r="I13" i="52" s="1"/>
  <c r="Q11" i="52"/>
  <c r="S11" i="52" s="1"/>
  <c r="G10" i="52"/>
  <c r="B13" i="52"/>
  <c r="D13" i="52" s="1"/>
  <c r="G15" i="52"/>
  <c r="I15" i="52" s="1"/>
  <c r="Q18" i="52"/>
  <c r="S18" i="52" s="1"/>
  <c r="B21" i="52"/>
  <c r="D21" i="52" s="1"/>
  <c r="Q24" i="52"/>
  <c r="S24" i="52" s="1"/>
  <c r="B27" i="52"/>
  <c r="D27" i="52" s="1"/>
  <c r="Q30" i="52"/>
  <c r="S30" i="52" s="1"/>
  <c r="B33" i="52"/>
  <c r="D33" i="52" s="1"/>
  <c r="Q36" i="52"/>
  <c r="S36" i="52" s="1"/>
  <c r="B39" i="52"/>
  <c r="D39" i="52" s="1"/>
  <c r="G11" i="52"/>
  <c r="I11" i="52" s="1"/>
  <c r="B17" i="52"/>
  <c r="D17" i="52" s="1"/>
  <c r="B23" i="52"/>
  <c r="D23" i="52" s="1"/>
  <c r="B29" i="52"/>
  <c r="D29" i="52" s="1"/>
  <c r="B35" i="52"/>
  <c r="D35" i="52" s="1"/>
  <c r="B41" i="52"/>
  <c r="D41" i="52" s="1"/>
  <c r="L43" i="52"/>
  <c r="N43" i="52" s="1"/>
  <c r="L45" i="52"/>
  <c r="N45" i="52" s="1"/>
  <c r="B48" i="52"/>
  <c r="D48" i="52" s="1"/>
  <c r="B50" i="52"/>
  <c r="D50" i="52" s="1"/>
  <c r="L52" i="52"/>
  <c r="N52" i="52" s="1"/>
  <c r="L54" i="52"/>
  <c r="N54" i="52" s="1"/>
  <c r="L59" i="52"/>
  <c r="N59" i="52" s="1"/>
  <c r="L63" i="52"/>
  <c r="N63" i="52" s="1"/>
  <c r="C4" i="52"/>
  <c r="L15" i="52"/>
  <c r="N15" i="52" s="1"/>
  <c r="B19" i="52"/>
  <c r="D19" i="52" s="1"/>
  <c r="G21" i="52"/>
  <c r="I21" i="52" s="1"/>
  <c r="B25" i="52"/>
  <c r="D25" i="52" s="1"/>
  <c r="G27" i="52"/>
  <c r="I27" i="52" s="1"/>
  <c r="B31" i="52"/>
  <c r="D31" i="52" s="1"/>
  <c r="G33" i="52"/>
  <c r="I33" i="52" s="1"/>
  <c r="B37" i="52"/>
  <c r="D37" i="52" s="1"/>
  <c r="G39" i="52"/>
  <c r="I39" i="52" s="1"/>
  <c r="F6" i="51"/>
  <c r="Q46" i="51"/>
  <c r="S46" i="51" s="1"/>
  <c r="L51" i="51"/>
  <c r="N51" i="51" s="1"/>
  <c r="B18" i="51"/>
  <c r="D18" i="51" s="1"/>
  <c r="B27" i="51"/>
  <c r="D27" i="51" s="1"/>
  <c r="B36" i="51"/>
  <c r="D36" i="51" s="1"/>
  <c r="B53" i="51"/>
  <c r="D53" i="51" s="1"/>
  <c r="C4" i="51"/>
  <c r="G15" i="51"/>
  <c r="I15" i="51" s="1"/>
  <c r="M5" i="51"/>
  <c r="B15" i="51"/>
  <c r="D15" i="51" s="1"/>
  <c r="L13" i="51"/>
  <c r="N13" i="51" s="1"/>
  <c r="B12" i="51"/>
  <c r="D12" i="51" s="1"/>
  <c r="L10" i="51"/>
  <c r="Q64" i="51"/>
  <c r="S64" i="51" s="1"/>
  <c r="Q61" i="51"/>
  <c r="S61" i="51" s="1"/>
  <c r="Q58" i="51"/>
  <c r="S58" i="51" s="1"/>
  <c r="Q55" i="51"/>
  <c r="S55" i="51" s="1"/>
  <c r="Q53" i="51"/>
  <c r="S53" i="51" s="1"/>
  <c r="G52" i="51"/>
  <c r="I52" i="51" s="1"/>
  <c r="Q50" i="51"/>
  <c r="S50" i="51" s="1"/>
  <c r="G49" i="51"/>
  <c r="I49" i="51" s="1"/>
  <c r="Q47" i="51"/>
  <c r="S47" i="51" s="1"/>
  <c r="G46" i="51"/>
  <c r="I46" i="51" s="1"/>
  <c r="Q44" i="51"/>
  <c r="S44" i="51" s="1"/>
  <c r="G43" i="51"/>
  <c r="I43" i="51" s="1"/>
  <c r="Q41" i="51"/>
  <c r="S41" i="51" s="1"/>
  <c r="G40" i="51"/>
  <c r="I40" i="51" s="1"/>
  <c r="Q38" i="51"/>
  <c r="S38" i="51" s="1"/>
  <c r="G37" i="51"/>
  <c r="I37" i="51" s="1"/>
  <c r="Q35" i="51"/>
  <c r="S35" i="51" s="1"/>
  <c r="G34" i="51"/>
  <c r="I34" i="51" s="1"/>
  <c r="Q32" i="51"/>
  <c r="S32" i="51" s="1"/>
  <c r="G31" i="51"/>
  <c r="I31" i="51" s="1"/>
  <c r="Q29" i="51"/>
  <c r="S29" i="51" s="1"/>
  <c r="G28" i="51"/>
  <c r="I28" i="51" s="1"/>
  <c r="Q26" i="51"/>
  <c r="S26" i="51" s="1"/>
  <c r="G25" i="51"/>
  <c r="I25" i="51" s="1"/>
  <c r="Q23" i="51"/>
  <c r="S23" i="51" s="1"/>
  <c r="G22" i="51"/>
  <c r="I22" i="51" s="1"/>
  <c r="Q20" i="51"/>
  <c r="S20" i="51" s="1"/>
  <c r="G19" i="51"/>
  <c r="I19" i="51" s="1"/>
  <c r="Q17" i="51"/>
  <c r="S17" i="51" s="1"/>
  <c r="G16" i="51"/>
  <c r="I16" i="51" s="1"/>
  <c r="Q14" i="51"/>
  <c r="S14" i="51" s="1"/>
  <c r="G13" i="51"/>
  <c r="I13" i="51" s="1"/>
  <c r="Q11" i="51"/>
  <c r="S11" i="51" s="1"/>
  <c r="G10" i="51"/>
  <c r="L64" i="51"/>
  <c r="N64" i="51" s="1"/>
  <c r="L61" i="51"/>
  <c r="N61" i="51" s="1"/>
  <c r="L58" i="51"/>
  <c r="N58" i="51" s="1"/>
  <c r="L55" i="51"/>
  <c r="N55" i="51" s="1"/>
  <c r="L53" i="51"/>
  <c r="N53" i="51" s="1"/>
  <c r="B52" i="51"/>
  <c r="D52" i="51" s="1"/>
  <c r="L50" i="51"/>
  <c r="N50" i="51" s="1"/>
  <c r="B49" i="51"/>
  <c r="D49" i="51" s="1"/>
  <c r="L47" i="51"/>
  <c r="N47" i="51" s="1"/>
  <c r="B46" i="51"/>
  <c r="D46" i="51" s="1"/>
  <c r="L44" i="51"/>
  <c r="N44" i="51" s="1"/>
  <c r="B43" i="51"/>
  <c r="D43" i="51" s="1"/>
  <c r="L41" i="51"/>
  <c r="N41" i="51" s="1"/>
  <c r="B40" i="51"/>
  <c r="D40" i="51" s="1"/>
  <c r="L38" i="51"/>
  <c r="N38" i="51" s="1"/>
  <c r="B37" i="51"/>
  <c r="D37" i="51" s="1"/>
  <c r="L35" i="51"/>
  <c r="N35" i="51" s="1"/>
  <c r="B34" i="51"/>
  <c r="D34" i="51" s="1"/>
  <c r="L32" i="51"/>
  <c r="N32" i="51" s="1"/>
  <c r="B31" i="51"/>
  <c r="D31" i="51" s="1"/>
  <c r="L29" i="51"/>
  <c r="N29" i="51" s="1"/>
  <c r="B28" i="51"/>
  <c r="D28" i="51" s="1"/>
  <c r="L26" i="51"/>
  <c r="N26" i="51" s="1"/>
  <c r="B25" i="51"/>
  <c r="D25" i="51" s="1"/>
  <c r="L23" i="51"/>
  <c r="N23" i="51" s="1"/>
  <c r="B22" i="51"/>
  <c r="D22" i="51" s="1"/>
  <c r="L20" i="51"/>
  <c r="N20" i="51" s="1"/>
  <c r="B19" i="51"/>
  <c r="D19" i="51" s="1"/>
  <c r="L17" i="51"/>
  <c r="N17" i="51" s="1"/>
  <c r="B11" i="51"/>
  <c r="D11" i="51" s="1"/>
  <c r="L14" i="51"/>
  <c r="N14" i="51" s="1"/>
  <c r="Q10" i="51"/>
  <c r="L63" i="51"/>
  <c r="N63" i="51" s="1"/>
  <c r="L59" i="51"/>
  <c r="N59" i="51" s="1"/>
  <c r="L54" i="51"/>
  <c r="N54" i="51" s="1"/>
  <c r="L52" i="51"/>
  <c r="N52" i="51" s="1"/>
  <c r="B50" i="51"/>
  <c r="D50" i="51" s="1"/>
  <c r="B48" i="51"/>
  <c r="D48" i="51" s="1"/>
  <c r="L45" i="51"/>
  <c r="N45" i="51" s="1"/>
  <c r="L43" i="51"/>
  <c r="N43" i="51" s="1"/>
  <c r="B41" i="51"/>
  <c r="D41" i="51" s="1"/>
  <c r="B39" i="51"/>
  <c r="D39" i="51" s="1"/>
  <c r="L36" i="51"/>
  <c r="N36" i="51" s="1"/>
  <c r="L34" i="51"/>
  <c r="N34" i="51" s="1"/>
  <c r="B32" i="51"/>
  <c r="D32" i="51" s="1"/>
  <c r="B30" i="51"/>
  <c r="D30" i="51" s="1"/>
  <c r="L27" i="51"/>
  <c r="N27" i="51" s="1"/>
  <c r="L25" i="51"/>
  <c r="N25" i="51" s="1"/>
  <c r="B23" i="51"/>
  <c r="D23" i="51" s="1"/>
  <c r="B21" i="51"/>
  <c r="D21" i="51" s="1"/>
  <c r="L18" i="51"/>
  <c r="N18" i="51" s="1"/>
  <c r="L16" i="51"/>
  <c r="N16" i="51" s="1"/>
  <c r="L12" i="51"/>
  <c r="N12" i="51" s="1"/>
  <c r="Q57" i="51"/>
  <c r="S57" i="51" s="1"/>
  <c r="Q33" i="51"/>
  <c r="S33" i="51" s="1"/>
  <c r="G27" i="51"/>
  <c r="I27" i="51" s="1"/>
  <c r="Q22" i="51"/>
  <c r="S22" i="51" s="1"/>
  <c r="G18" i="51"/>
  <c r="I18" i="51" s="1"/>
  <c r="G12" i="51"/>
  <c r="I12" i="51" s="1"/>
  <c r="B10" i="51"/>
  <c r="Q63" i="51"/>
  <c r="S63" i="51" s="1"/>
  <c r="Q59" i="51"/>
  <c r="S59" i="51" s="1"/>
  <c r="Q54" i="51"/>
  <c r="S54" i="51" s="1"/>
  <c r="Q52" i="51"/>
  <c r="S52" i="51" s="1"/>
  <c r="G50" i="51"/>
  <c r="I50" i="51" s="1"/>
  <c r="G48" i="51"/>
  <c r="I48" i="51" s="1"/>
  <c r="Q45" i="51"/>
  <c r="S45" i="51" s="1"/>
  <c r="Q43" i="51"/>
  <c r="S43" i="51" s="1"/>
  <c r="G41" i="51"/>
  <c r="I41" i="51" s="1"/>
  <c r="G39" i="51"/>
  <c r="I39" i="51" s="1"/>
  <c r="Q36" i="51"/>
  <c r="S36" i="51" s="1"/>
  <c r="Q34" i="51"/>
  <c r="S34" i="51" s="1"/>
  <c r="G32" i="51"/>
  <c r="I32" i="51" s="1"/>
  <c r="G30" i="51"/>
  <c r="I30" i="51" s="1"/>
  <c r="Q27" i="51"/>
  <c r="S27" i="51" s="1"/>
  <c r="Q25" i="51"/>
  <c r="S25" i="51" s="1"/>
  <c r="G23" i="51"/>
  <c r="I23" i="51" s="1"/>
  <c r="G21" i="51"/>
  <c r="I21" i="51" s="1"/>
  <c r="Q18" i="51"/>
  <c r="S18" i="51" s="1"/>
  <c r="Q16" i="51"/>
  <c r="S16" i="51" s="1"/>
  <c r="Q12" i="51"/>
  <c r="S12" i="51" s="1"/>
  <c r="G14" i="51"/>
  <c r="I14" i="51" s="1"/>
  <c r="Q62" i="51"/>
  <c r="S62" i="51" s="1"/>
  <c r="G54" i="51"/>
  <c r="I54" i="51" s="1"/>
  <c r="Q51" i="51"/>
  <c r="S51" i="51" s="1"/>
  <c r="Q49" i="51"/>
  <c r="S49" i="51" s="1"/>
  <c r="G47" i="51"/>
  <c r="I47" i="51" s="1"/>
  <c r="G45" i="51"/>
  <c r="I45" i="51" s="1"/>
  <c r="Q42" i="51"/>
  <c r="S42" i="51" s="1"/>
  <c r="Q40" i="51"/>
  <c r="S40" i="51" s="1"/>
  <c r="G38" i="51"/>
  <c r="I38" i="51" s="1"/>
  <c r="G36" i="51"/>
  <c r="I36" i="51" s="1"/>
  <c r="Q31" i="51"/>
  <c r="S31" i="51" s="1"/>
  <c r="G29" i="51"/>
  <c r="I29" i="51" s="1"/>
  <c r="Q24" i="51"/>
  <c r="S24" i="51" s="1"/>
  <c r="G20" i="51"/>
  <c r="I20" i="51" s="1"/>
  <c r="B16" i="51"/>
  <c r="D16" i="51" s="1"/>
  <c r="B42" i="51"/>
  <c r="D42" i="51" s="1"/>
  <c r="B14" i="51"/>
  <c r="D14" i="51" s="1"/>
  <c r="L22" i="51"/>
  <c r="N22" i="51" s="1"/>
  <c r="L31" i="51"/>
  <c r="N31" i="51" s="1"/>
  <c r="Q60" i="51"/>
  <c r="S60" i="51" s="1"/>
  <c r="G42" i="51"/>
  <c r="I42" i="51" s="1"/>
  <c r="B47" i="51"/>
  <c r="D47" i="51" s="1"/>
  <c r="D4" i="51"/>
  <c r="G11" i="51"/>
  <c r="I11" i="51" s="1"/>
  <c r="L19" i="51"/>
  <c r="N19" i="51" s="1"/>
  <c r="B24" i="51"/>
  <c r="D24" i="51" s="1"/>
  <c r="L28" i="51"/>
  <c r="N28" i="51" s="1"/>
  <c r="B33" i="51"/>
  <c r="D33" i="51" s="1"/>
  <c r="L48" i="51"/>
  <c r="N48" i="51" s="1"/>
  <c r="G53" i="51"/>
  <c r="I53" i="51" s="1"/>
  <c r="L62" i="51"/>
  <c r="N62" i="51" s="1"/>
  <c r="B31" i="50"/>
  <c r="D31" i="50" s="1"/>
  <c r="B19" i="50"/>
  <c r="D19" i="50" s="1"/>
  <c r="L14" i="50"/>
  <c r="N14" i="50" s="1"/>
  <c r="B10" i="50"/>
  <c r="Q64" i="50"/>
  <c r="S64" i="50" s="1"/>
  <c r="Q61" i="50"/>
  <c r="S61" i="50" s="1"/>
  <c r="Q58" i="50"/>
  <c r="S58" i="50" s="1"/>
  <c r="Q55" i="50"/>
  <c r="S55" i="50" s="1"/>
  <c r="Q53" i="50"/>
  <c r="S53" i="50" s="1"/>
  <c r="G52" i="50"/>
  <c r="I52" i="50" s="1"/>
  <c r="Q50" i="50"/>
  <c r="S50" i="50" s="1"/>
  <c r="G49" i="50"/>
  <c r="I49" i="50" s="1"/>
  <c r="Q47" i="50"/>
  <c r="S47" i="50" s="1"/>
  <c r="G46" i="50"/>
  <c r="I46" i="50" s="1"/>
  <c r="Q44" i="50"/>
  <c r="S44" i="50" s="1"/>
  <c r="G43" i="50"/>
  <c r="I43" i="50" s="1"/>
  <c r="Q41" i="50"/>
  <c r="S41" i="50" s="1"/>
  <c r="G40" i="50"/>
  <c r="I40" i="50" s="1"/>
  <c r="Q38" i="50"/>
  <c r="S38" i="50" s="1"/>
  <c r="G37" i="50"/>
  <c r="I37" i="50" s="1"/>
  <c r="Q35" i="50"/>
  <c r="S35" i="50" s="1"/>
  <c r="G34" i="50"/>
  <c r="I34" i="50" s="1"/>
  <c r="Q32" i="50"/>
  <c r="S32" i="50" s="1"/>
  <c r="G31" i="50"/>
  <c r="I31" i="50" s="1"/>
  <c r="Q29" i="50"/>
  <c r="S29" i="50" s="1"/>
  <c r="G28" i="50"/>
  <c r="I28" i="50" s="1"/>
  <c r="Q26" i="50"/>
  <c r="S26" i="50" s="1"/>
  <c r="G25" i="50"/>
  <c r="I25" i="50" s="1"/>
  <c r="Q23" i="50"/>
  <c r="S23" i="50" s="1"/>
  <c r="G22" i="50"/>
  <c r="I22" i="50" s="1"/>
  <c r="Q20" i="50"/>
  <c r="S20" i="50" s="1"/>
  <c r="G19" i="50"/>
  <c r="I19" i="50" s="1"/>
  <c r="Q17" i="50"/>
  <c r="S17" i="50" s="1"/>
  <c r="G16" i="50"/>
  <c r="I16" i="50" s="1"/>
  <c r="Q14" i="50"/>
  <c r="S14" i="50" s="1"/>
  <c r="G13" i="50"/>
  <c r="I13" i="50" s="1"/>
  <c r="Q11" i="50"/>
  <c r="S11" i="50" s="1"/>
  <c r="G10" i="50"/>
  <c r="L64" i="50"/>
  <c r="N64" i="50" s="1"/>
  <c r="L61" i="50"/>
  <c r="N61" i="50" s="1"/>
  <c r="L58" i="50"/>
  <c r="N58" i="50" s="1"/>
  <c r="L55" i="50"/>
  <c r="N55" i="50" s="1"/>
  <c r="L53" i="50"/>
  <c r="N53" i="50" s="1"/>
  <c r="B52" i="50"/>
  <c r="D52" i="50" s="1"/>
  <c r="L50" i="50"/>
  <c r="N50" i="50" s="1"/>
  <c r="B49" i="50"/>
  <c r="D49" i="50" s="1"/>
  <c r="L47" i="50"/>
  <c r="N47" i="50" s="1"/>
  <c r="B46" i="50"/>
  <c r="D46" i="50" s="1"/>
  <c r="L44" i="50"/>
  <c r="N44" i="50" s="1"/>
  <c r="B43" i="50"/>
  <c r="D43" i="50" s="1"/>
  <c r="L41" i="50"/>
  <c r="N41" i="50" s="1"/>
  <c r="B40" i="50"/>
  <c r="D40" i="50" s="1"/>
  <c r="L38" i="50"/>
  <c r="N38" i="50" s="1"/>
  <c r="B37" i="50"/>
  <c r="D37" i="50" s="1"/>
  <c r="L35" i="50"/>
  <c r="N35" i="50" s="1"/>
  <c r="B34" i="50"/>
  <c r="D34" i="50" s="1"/>
  <c r="L32" i="50"/>
  <c r="N32" i="50" s="1"/>
  <c r="L29" i="50"/>
  <c r="N29" i="50" s="1"/>
  <c r="B28" i="50"/>
  <c r="D28" i="50" s="1"/>
  <c r="L26" i="50"/>
  <c r="N26" i="50" s="1"/>
  <c r="B25" i="50"/>
  <c r="D25" i="50" s="1"/>
  <c r="L23" i="50"/>
  <c r="N23" i="50" s="1"/>
  <c r="B22" i="50"/>
  <c r="D22" i="50" s="1"/>
  <c r="L20" i="50"/>
  <c r="N20" i="50" s="1"/>
  <c r="L17" i="50"/>
  <c r="N17" i="50" s="1"/>
  <c r="B16" i="50"/>
  <c r="D16" i="50" s="1"/>
  <c r="B13" i="50"/>
  <c r="D13" i="50" s="1"/>
  <c r="L11" i="50"/>
  <c r="N11" i="50" s="1"/>
  <c r="Q63" i="50"/>
  <c r="S63" i="50" s="1"/>
  <c r="L49" i="50"/>
  <c r="N49" i="50" s="1"/>
  <c r="Q46" i="50"/>
  <c r="S46" i="50" s="1"/>
  <c r="B44" i="50"/>
  <c r="D44" i="50" s="1"/>
  <c r="G41" i="50"/>
  <c r="I41" i="50" s="1"/>
  <c r="L31" i="50"/>
  <c r="N31" i="50" s="1"/>
  <c r="B29" i="50"/>
  <c r="D29" i="50" s="1"/>
  <c r="B27" i="50"/>
  <c r="D27" i="50" s="1"/>
  <c r="L24" i="50"/>
  <c r="N24" i="50" s="1"/>
  <c r="L22" i="50"/>
  <c r="N22" i="50" s="1"/>
  <c r="B20" i="50"/>
  <c r="D20" i="50" s="1"/>
  <c r="B18" i="50"/>
  <c r="D18" i="50" s="1"/>
  <c r="L15" i="50"/>
  <c r="N15" i="50" s="1"/>
  <c r="L13" i="50"/>
  <c r="N13" i="50" s="1"/>
  <c r="B11" i="50"/>
  <c r="D11" i="50" s="1"/>
  <c r="L63" i="50"/>
  <c r="N63" i="50" s="1"/>
  <c r="L46" i="50"/>
  <c r="N46" i="50" s="1"/>
  <c r="B41" i="50"/>
  <c r="D41" i="50" s="1"/>
  <c r="G38" i="50"/>
  <c r="I38" i="50" s="1"/>
  <c r="Q28" i="50"/>
  <c r="S28" i="50" s="1"/>
  <c r="G24" i="50"/>
  <c r="I24" i="50" s="1"/>
  <c r="Q19" i="50"/>
  <c r="S19" i="50" s="1"/>
  <c r="G15" i="50"/>
  <c r="I15" i="50" s="1"/>
  <c r="Q10" i="50"/>
  <c r="B54" i="50"/>
  <c r="D54" i="50" s="1"/>
  <c r="L48" i="50"/>
  <c r="N48" i="50" s="1"/>
  <c r="Q62" i="50"/>
  <c r="S62" i="50" s="1"/>
  <c r="L57" i="50"/>
  <c r="N57" i="50" s="1"/>
  <c r="G53" i="50"/>
  <c r="I53" i="50" s="1"/>
  <c r="L43" i="50"/>
  <c r="N43" i="50" s="1"/>
  <c r="Q40" i="50"/>
  <c r="S40" i="50" s="1"/>
  <c r="B38" i="50"/>
  <c r="D38" i="50" s="1"/>
  <c r="G35" i="50"/>
  <c r="I35" i="50" s="1"/>
  <c r="L30" i="50"/>
  <c r="N30" i="50" s="1"/>
  <c r="L28" i="50"/>
  <c r="N28" i="50" s="1"/>
  <c r="B26" i="50"/>
  <c r="D26" i="50" s="1"/>
  <c r="B24" i="50"/>
  <c r="D24" i="50" s="1"/>
  <c r="L21" i="50"/>
  <c r="N21" i="50" s="1"/>
  <c r="L19" i="50"/>
  <c r="N19" i="50" s="1"/>
  <c r="B17" i="50"/>
  <c r="D17" i="50" s="1"/>
  <c r="B15" i="50"/>
  <c r="D15" i="50" s="1"/>
  <c r="L12" i="50"/>
  <c r="N12" i="50" s="1"/>
  <c r="L10" i="50"/>
  <c r="F4" i="50"/>
  <c r="L62" i="50"/>
  <c r="N62" i="50" s="1"/>
  <c r="Q56" i="50"/>
  <c r="S56" i="50" s="1"/>
  <c r="B53" i="50"/>
  <c r="D53" i="50" s="1"/>
  <c r="G50" i="50"/>
  <c r="I50" i="50" s="1"/>
  <c r="L40" i="50"/>
  <c r="N40" i="50" s="1"/>
  <c r="Q37" i="50"/>
  <c r="S37" i="50" s="1"/>
  <c r="G32" i="50"/>
  <c r="I32" i="50" s="1"/>
  <c r="G30" i="50"/>
  <c r="I30" i="50" s="1"/>
  <c r="Q27" i="50"/>
  <c r="S27" i="50" s="1"/>
  <c r="Q25" i="50"/>
  <c r="S25" i="50" s="1"/>
  <c r="G23" i="50"/>
  <c r="I23" i="50" s="1"/>
  <c r="G21" i="50"/>
  <c r="I21" i="50" s="1"/>
  <c r="Q16" i="50"/>
  <c r="S16" i="50" s="1"/>
  <c r="G14" i="50"/>
  <c r="I14" i="50" s="1"/>
  <c r="L59" i="50"/>
  <c r="N59" i="50" s="1"/>
  <c r="G54" i="50"/>
  <c r="I54" i="50" s="1"/>
  <c r="L51" i="50"/>
  <c r="N51" i="50" s="1"/>
  <c r="Q48" i="50"/>
  <c r="S48" i="50" s="1"/>
  <c r="B39" i="50"/>
  <c r="D39" i="50" s="1"/>
  <c r="G36" i="50"/>
  <c r="I36" i="50" s="1"/>
  <c r="L33" i="50"/>
  <c r="N33" i="50" s="1"/>
  <c r="Q57" i="50"/>
  <c r="S57" i="50" s="1"/>
  <c r="Q43" i="50"/>
  <c r="S43" i="50" s="1"/>
  <c r="Q30" i="50"/>
  <c r="S30" i="50" s="1"/>
  <c r="G26" i="50"/>
  <c r="I26" i="50" s="1"/>
  <c r="Q21" i="50"/>
  <c r="S21" i="50" s="1"/>
  <c r="G17" i="50"/>
  <c r="I17" i="50" s="1"/>
  <c r="Q12" i="50"/>
  <c r="S12" i="50" s="1"/>
  <c r="G51" i="50"/>
  <c r="I51" i="50" s="1"/>
  <c r="Q45" i="50"/>
  <c r="S45" i="50" s="1"/>
  <c r="B36" i="50"/>
  <c r="D36" i="50" s="1"/>
  <c r="G33" i="50"/>
  <c r="I33" i="50" s="1"/>
  <c r="B51" i="50"/>
  <c r="D51" i="50" s="1"/>
  <c r="G48" i="50"/>
  <c r="I48" i="50" s="1"/>
  <c r="L45" i="50"/>
  <c r="N45" i="50" s="1"/>
  <c r="Q42" i="50"/>
  <c r="S42" i="50" s="1"/>
  <c r="B33" i="50"/>
  <c r="D33" i="50" s="1"/>
  <c r="E4" i="50"/>
  <c r="B35" i="50"/>
  <c r="D35" i="50" s="1"/>
  <c r="Q18" i="50"/>
  <c r="S18" i="50" s="1"/>
  <c r="G12" i="50"/>
  <c r="I12" i="50" s="1"/>
  <c r="Q15" i="50"/>
  <c r="S15" i="50" s="1"/>
  <c r="B21" i="50"/>
  <c r="D21" i="50" s="1"/>
  <c r="G44" i="50"/>
  <c r="I44" i="50" s="1"/>
  <c r="B50" i="50"/>
  <c r="D50" i="50" s="1"/>
  <c r="Q59" i="50"/>
  <c r="S59" i="50" s="1"/>
  <c r="G27" i="50"/>
  <c r="I27" i="50" s="1"/>
  <c r="B32" i="50"/>
  <c r="D32" i="50" s="1"/>
  <c r="G39" i="50"/>
  <c r="I39" i="50" s="1"/>
  <c r="B45" i="50"/>
  <c r="D45" i="50" s="1"/>
  <c r="C4" i="50"/>
  <c r="G11" i="50"/>
  <c r="I11" i="50" s="1"/>
  <c r="L16" i="50"/>
  <c r="N16" i="50" s="1"/>
  <c r="Q51" i="50"/>
  <c r="S51" i="50" s="1"/>
  <c r="L60" i="50"/>
  <c r="N60" i="50" s="1"/>
  <c r="D4" i="50"/>
  <c r="Q22" i="50"/>
  <c r="S22" i="50" s="1"/>
  <c r="L27" i="50"/>
  <c r="N27" i="50" s="1"/>
  <c r="Q33" i="50"/>
  <c r="S33" i="50" s="1"/>
  <c r="L39" i="50"/>
  <c r="N39" i="50" s="1"/>
  <c r="G45" i="50"/>
  <c r="I45" i="50" s="1"/>
  <c r="L52" i="50"/>
  <c r="N52" i="50" s="1"/>
  <c r="L34" i="50"/>
  <c r="N34" i="50" s="1"/>
  <c r="Q60" i="50"/>
  <c r="S60" i="50" s="1"/>
  <c r="G2" i="49"/>
  <c r="H3" i="49" s="1"/>
  <c r="S10" i="49"/>
  <c r="Q64" i="49"/>
  <c r="S64" i="49" s="1"/>
  <c r="Q61" i="49"/>
  <c r="S61" i="49" s="1"/>
  <c r="Q58" i="49"/>
  <c r="S58" i="49" s="1"/>
  <c r="Q55" i="49"/>
  <c r="S55" i="49" s="1"/>
  <c r="Q53" i="49"/>
  <c r="S53" i="49" s="1"/>
  <c r="G52" i="49"/>
  <c r="I52" i="49" s="1"/>
  <c r="Q50" i="49"/>
  <c r="S50" i="49" s="1"/>
  <c r="G49" i="49"/>
  <c r="I49" i="49" s="1"/>
  <c r="Q47" i="49"/>
  <c r="S47" i="49" s="1"/>
  <c r="G46" i="49"/>
  <c r="I46" i="49" s="1"/>
  <c r="Q44" i="49"/>
  <c r="S44" i="49" s="1"/>
  <c r="G43" i="49"/>
  <c r="I43" i="49" s="1"/>
  <c r="Q41" i="49"/>
  <c r="S41" i="49" s="1"/>
  <c r="G40" i="49"/>
  <c r="I40" i="49" s="1"/>
  <c r="Q38" i="49"/>
  <c r="S38" i="49" s="1"/>
  <c r="G37" i="49"/>
  <c r="I37" i="49" s="1"/>
  <c r="Q35" i="49"/>
  <c r="S35" i="49" s="1"/>
  <c r="G34" i="49"/>
  <c r="I34" i="49" s="1"/>
  <c r="Q32" i="49"/>
  <c r="S32" i="49" s="1"/>
  <c r="G31" i="49"/>
  <c r="I31" i="49" s="1"/>
  <c r="Q29" i="49"/>
  <c r="S29" i="49" s="1"/>
  <c r="G28" i="49"/>
  <c r="I28" i="49" s="1"/>
  <c r="Q26" i="49"/>
  <c r="S26" i="49" s="1"/>
  <c r="G25" i="49"/>
  <c r="I25" i="49" s="1"/>
  <c r="Q23" i="49"/>
  <c r="S23" i="49" s="1"/>
  <c r="G22" i="49"/>
  <c r="I22" i="49" s="1"/>
  <c r="Q20" i="49"/>
  <c r="S20" i="49" s="1"/>
  <c r="G19" i="49"/>
  <c r="I19" i="49" s="1"/>
  <c r="Q17" i="49"/>
  <c r="S17" i="49" s="1"/>
  <c r="G16" i="49"/>
  <c r="I16" i="49" s="1"/>
  <c r="Q14" i="49"/>
  <c r="S14" i="49" s="1"/>
  <c r="G13" i="49"/>
  <c r="I13" i="49" s="1"/>
  <c r="Q11" i="49"/>
  <c r="S11" i="49" s="1"/>
  <c r="G10" i="49"/>
  <c r="L64" i="49"/>
  <c r="N64" i="49" s="1"/>
  <c r="L61" i="49"/>
  <c r="N61" i="49" s="1"/>
  <c r="L58" i="49"/>
  <c r="N58" i="49" s="1"/>
  <c r="L55" i="49"/>
  <c r="N55" i="49" s="1"/>
  <c r="L53" i="49"/>
  <c r="N53" i="49" s="1"/>
  <c r="B52" i="49"/>
  <c r="D52" i="49" s="1"/>
  <c r="L50" i="49"/>
  <c r="N50" i="49" s="1"/>
  <c r="B49" i="49"/>
  <c r="D49" i="49" s="1"/>
  <c r="L47" i="49"/>
  <c r="N47" i="49" s="1"/>
  <c r="B46" i="49"/>
  <c r="D46" i="49" s="1"/>
  <c r="L44" i="49"/>
  <c r="N44" i="49" s="1"/>
  <c r="B43" i="49"/>
  <c r="D43" i="49" s="1"/>
  <c r="L41" i="49"/>
  <c r="N41" i="49" s="1"/>
  <c r="B40" i="49"/>
  <c r="D40" i="49" s="1"/>
  <c r="L38" i="49"/>
  <c r="N38" i="49" s="1"/>
  <c r="B37" i="49"/>
  <c r="D37" i="49" s="1"/>
  <c r="L35" i="49"/>
  <c r="N35" i="49" s="1"/>
  <c r="B34" i="49"/>
  <c r="D34" i="49" s="1"/>
  <c r="L32" i="49"/>
  <c r="N32" i="49" s="1"/>
  <c r="B31" i="49"/>
  <c r="D31" i="49" s="1"/>
  <c r="L29" i="49"/>
  <c r="N29" i="49" s="1"/>
  <c r="B28" i="49"/>
  <c r="D28" i="49" s="1"/>
  <c r="L26" i="49"/>
  <c r="N26" i="49" s="1"/>
  <c r="B25" i="49"/>
  <c r="D25" i="49" s="1"/>
  <c r="L23" i="49"/>
  <c r="N23" i="49" s="1"/>
  <c r="B22" i="49"/>
  <c r="D22" i="49" s="1"/>
  <c r="L20" i="49"/>
  <c r="N20" i="49" s="1"/>
  <c r="B19" i="49"/>
  <c r="D19" i="49" s="1"/>
  <c r="L17" i="49"/>
  <c r="N17" i="49" s="1"/>
  <c r="B16" i="49"/>
  <c r="D16" i="49" s="1"/>
  <c r="L14" i="49"/>
  <c r="N14" i="49" s="1"/>
  <c r="B13" i="49"/>
  <c r="D13" i="49" s="1"/>
  <c r="L11" i="49"/>
  <c r="N11" i="49" s="1"/>
  <c r="B10" i="49"/>
  <c r="L43" i="49"/>
  <c r="N43" i="49" s="1"/>
  <c r="G53" i="49"/>
  <c r="I53" i="49" s="1"/>
  <c r="L57" i="49"/>
  <c r="N57" i="49" s="1"/>
  <c r="B12" i="49"/>
  <c r="D12" i="49" s="1"/>
  <c r="L16" i="49"/>
  <c r="N16" i="49" s="1"/>
  <c r="B21" i="49"/>
  <c r="D21" i="49" s="1"/>
  <c r="L27" i="49"/>
  <c r="N27" i="49" s="1"/>
  <c r="B32" i="49"/>
  <c r="D32" i="49" s="1"/>
  <c r="L36" i="49"/>
  <c r="N36" i="49" s="1"/>
  <c r="B41" i="49"/>
  <c r="D41" i="49" s="1"/>
  <c r="C4" i="49"/>
  <c r="Q43" i="49"/>
  <c r="S43" i="49" s="1"/>
  <c r="Q57" i="49"/>
  <c r="S57" i="49" s="1"/>
  <c r="D4" i="49"/>
  <c r="F6" i="49"/>
  <c r="G12" i="49"/>
  <c r="I12" i="49" s="1"/>
  <c r="G14" i="49"/>
  <c r="I14" i="49" s="1"/>
  <c r="Q16" i="49"/>
  <c r="S16" i="49" s="1"/>
  <c r="Q18" i="49"/>
  <c r="S18" i="49" s="1"/>
  <c r="G21" i="49"/>
  <c r="I21" i="49" s="1"/>
  <c r="G23" i="49"/>
  <c r="I23" i="49" s="1"/>
  <c r="Q25" i="49"/>
  <c r="S25" i="49" s="1"/>
  <c r="Q27" i="49"/>
  <c r="S27" i="49" s="1"/>
  <c r="G30" i="49"/>
  <c r="I30" i="49" s="1"/>
  <c r="G32" i="49"/>
  <c r="I32" i="49" s="1"/>
  <c r="Q34" i="49"/>
  <c r="S34" i="49" s="1"/>
  <c r="Q36" i="49"/>
  <c r="S36" i="49" s="1"/>
  <c r="G39" i="49"/>
  <c r="I39" i="49" s="1"/>
  <c r="G41" i="49"/>
  <c r="I41" i="49" s="1"/>
  <c r="Q48" i="49"/>
  <c r="S48" i="49" s="1"/>
  <c r="L51" i="49"/>
  <c r="N51" i="49" s="1"/>
  <c r="G54" i="49"/>
  <c r="I54" i="49" s="1"/>
  <c r="L59" i="49"/>
  <c r="N59" i="49" s="1"/>
  <c r="N10" i="49"/>
  <c r="Q62" i="49"/>
  <c r="S62" i="49" s="1"/>
  <c r="B14" i="49"/>
  <c r="D14" i="49" s="1"/>
  <c r="L18" i="49"/>
  <c r="N18" i="49" s="1"/>
  <c r="B23" i="49"/>
  <c r="D23" i="49" s="1"/>
  <c r="L25" i="49"/>
  <c r="N25" i="49" s="1"/>
  <c r="B30" i="49"/>
  <c r="D30" i="49" s="1"/>
  <c r="L34" i="49"/>
  <c r="N34" i="49" s="1"/>
  <c r="B39" i="49"/>
  <c r="D39" i="49" s="1"/>
  <c r="Q45" i="49"/>
  <c r="S45" i="49" s="1"/>
  <c r="L48" i="49"/>
  <c r="N48" i="49" s="1"/>
  <c r="G51" i="49"/>
  <c r="I51" i="49" s="1"/>
  <c r="B54" i="49"/>
  <c r="D54" i="49" s="1"/>
  <c r="L46" i="49"/>
  <c r="N46" i="49" s="1"/>
  <c r="L63" i="49"/>
  <c r="N63" i="49" s="1"/>
  <c r="E4" i="49"/>
  <c r="B44" i="49"/>
  <c r="D44" i="49" s="1"/>
  <c r="Q46" i="49"/>
  <c r="S46" i="49" s="1"/>
  <c r="L49" i="49"/>
  <c r="N49" i="49" s="1"/>
  <c r="Q63" i="49"/>
  <c r="S63" i="49" s="1"/>
  <c r="D6" i="56" l="1"/>
  <c r="N4" i="56"/>
  <c r="C3" i="56"/>
  <c r="D10" i="56"/>
  <c r="I10" i="56"/>
  <c r="D3" i="56"/>
  <c r="F3" i="56"/>
  <c r="E3" i="56"/>
  <c r="N10" i="56"/>
  <c r="G4" i="56"/>
  <c r="C6" i="56"/>
  <c r="M4" i="56"/>
  <c r="F6" i="56"/>
  <c r="N5" i="56"/>
  <c r="D3" i="55"/>
  <c r="I10" i="55"/>
  <c r="E3" i="55"/>
  <c r="N10" i="55"/>
  <c r="N5" i="55"/>
  <c r="F6" i="55"/>
  <c r="S12" i="55"/>
  <c r="F3" i="55"/>
  <c r="N4" i="55"/>
  <c r="M5" i="55"/>
  <c r="E6" i="55"/>
  <c r="D10" i="55"/>
  <c r="C3" i="55"/>
  <c r="G4" i="55"/>
  <c r="F6" i="54"/>
  <c r="N5" i="54"/>
  <c r="M4" i="54"/>
  <c r="G4" i="54"/>
  <c r="C6" i="54"/>
  <c r="E6" i="54"/>
  <c r="M5" i="54"/>
  <c r="N4" i="54"/>
  <c r="D6" i="54"/>
  <c r="F3" i="54"/>
  <c r="S10" i="54"/>
  <c r="I10" i="54"/>
  <c r="D3" i="54"/>
  <c r="D10" i="54"/>
  <c r="C3" i="54"/>
  <c r="G3" i="54" s="1"/>
  <c r="C6" i="52"/>
  <c r="M4" i="52"/>
  <c r="G4" i="52"/>
  <c r="E3" i="52"/>
  <c r="N10" i="52"/>
  <c r="M5" i="52"/>
  <c r="I10" i="52"/>
  <c r="D3" i="52"/>
  <c r="D12" i="52"/>
  <c r="C3" i="52"/>
  <c r="F3" i="52"/>
  <c r="N4" i="51"/>
  <c r="D6" i="51"/>
  <c r="F3" i="51"/>
  <c r="S10" i="51"/>
  <c r="M4" i="51"/>
  <c r="G4" i="51"/>
  <c r="C6" i="51"/>
  <c r="E3" i="51"/>
  <c r="N10" i="51"/>
  <c r="C3" i="51"/>
  <c r="G3" i="51" s="1"/>
  <c r="D10" i="51"/>
  <c r="I10" i="51"/>
  <c r="D3" i="51"/>
  <c r="N5" i="51"/>
  <c r="M4" i="50"/>
  <c r="G4" i="50"/>
  <c r="C6" i="50"/>
  <c r="N4" i="50"/>
  <c r="D6" i="50"/>
  <c r="F3" i="50"/>
  <c r="S10" i="50"/>
  <c r="M5" i="50"/>
  <c r="E6" i="50"/>
  <c r="F6" i="50"/>
  <c r="N5" i="50"/>
  <c r="D10" i="50"/>
  <c r="C3" i="50"/>
  <c r="E3" i="50"/>
  <c r="N10" i="50"/>
  <c r="I10" i="50"/>
  <c r="D3" i="50"/>
  <c r="M4" i="49"/>
  <c r="C6" i="49"/>
  <c r="G4" i="49"/>
  <c r="F3" i="49"/>
  <c r="D10" i="49"/>
  <c r="C3" i="49"/>
  <c r="N4" i="49"/>
  <c r="D6" i="49"/>
  <c r="I10" i="49"/>
  <c r="D3" i="49"/>
  <c r="E3" i="49"/>
  <c r="E6" i="49"/>
  <c r="M5" i="49"/>
  <c r="N5" i="49"/>
  <c r="G3" i="56" l="1"/>
  <c r="G3" i="55"/>
  <c r="G3" i="52"/>
  <c r="G3" i="50"/>
  <c r="G3" i="49"/>
  <c r="T1" i="48" l="1"/>
  <c r="Q62" i="48"/>
  <c r="S62" i="48" s="1"/>
  <c r="L62" i="48"/>
  <c r="N62" i="48" s="1"/>
  <c r="Q60" i="48"/>
  <c r="S60" i="48" s="1"/>
  <c r="L60" i="48"/>
  <c r="N60" i="48" s="1"/>
  <c r="Q57" i="48"/>
  <c r="S57" i="48" s="1"/>
  <c r="L57" i="48"/>
  <c r="N57" i="48" s="1"/>
  <c r="Q56" i="48"/>
  <c r="S56" i="48" s="1"/>
  <c r="L56" i="48"/>
  <c r="N56" i="48" s="1"/>
  <c r="G54" i="48"/>
  <c r="I54" i="48" s="1"/>
  <c r="B54" i="48"/>
  <c r="D54" i="48" s="1"/>
  <c r="G53" i="48"/>
  <c r="I53" i="48" s="1"/>
  <c r="B53" i="48"/>
  <c r="D53" i="48" s="1"/>
  <c r="Q51" i="48"/>
  <c r="S51" i="48" s="1"/>
  <c r="L51" i="48"/>
  <c r="N51" i="48" s="1"/>
  <c r="G51" i="48"/>
  <c r="I51" i="48" s="1"/>
  <c r="B51" i="48"/>
  <c r="D51" i="48" s="1"/>
  <c r="Q49" i="48"/>
  <c r="S49" i="48" s="1"/>
  <c r="L49" i="48"/>
  <c r="N49" i="48" s="1"/>
  <c r="Q48" i="48"/>
  <c r="S48" i="48" s="1"/>
  <c r="L48" i="48"/>
  <c r="N48" i="48" s="1"/>
  <c r="G47" i="48"/>
  <c r="I47" i="48" s="1"/>
  <c r="B47" i="48"/>
  <c r="D47" i="48" s="1"/>
  <c r="Q46" i="48"/>
  <c r="S46" i="48" s="1"/>
  <c r="L46" i="48"/>
  <c r="N46" i="48" s="1"/>
  <c r="G45" i="48"/>
  <c r="I45" i="48" s="1"/>
  <c r="B45" i="48"/>
  <c r="D45" i="48" s="1"/>
  <c r="G44" i="48"/>
  <c r="I44" i="48" s="1"/>
  <c r="B44" i="48"/>
  <c r="D44" i="48" s="1"/>
  <c r="Q42" i="48"/>
  <c r="S42" i="48" s="1"/>
  <c r="L42" i="48"/>
  <c r="N42" i="48" s="1"/>
  <c r="G42" i="48"/>
  <c r="I42" i="48" s="1"/>
  <c r="B42" i="48"/>
  <c r="D42" i="48" s="1"/>
  <c r="Q40" i="48"/>
  <c r="S40" i="48" s="1"/>
  <c r="L40" i="48"/>
  <c r="N40" i="48" s="1"/>
  <c r="Q39" i="48"/>
  <c r="S39" i="48" s="1"/>
  <c r="L39" i="48"/>
  <c r="N39" i="48" s="1"/>
  <c r="L38" i="48"/>
  <c r="N38" i="48" s="1"/>
  <c r="G38" i="48"/>
  <c r="I38" i="48" s="1"/>
  <c r="B38" i="48"/>
  <c r="D38" i="48" s="1"/>
  <c r="Q37" i="48"/>
  <c r="S37" i="48" s="1"/>
  <c r="L36" i="48"/>
  <c r="N36" i="48" s="1"/>
  <c r="G36" i="48"/>
  <c r="I36" i="48" s="1"/>
  <c r="B36" i="48"/>
  <c r="D36" i="48" s="1"/>
  <c r="L35" i="48"/>
  <c r="N35" i="48" s="1"/>
  <c r="Q34" i="48"/>
  <c r="S34" i="48" s="1"/>
  <c r="L34" i="48"/>
  <c r="N34" i="48" s="1"/>
  <c r="B34" i="48"/>
  <c r="D34" i="48" s="1"/>
  <c r="S33" i="48"/>
  <c r="Q33" i="48"/>
  <c r="L33" i="48"/>
  <c r="N33" i="48" s="1"/>
  <c r="L32" i="48"/>
  <c r="N32" i="48" s="1"/>
  <c r="G32" i="48"/>
  <c r="I32" i="48" s="1"/>
  <c r="B32" i="48"/>
  <c r="D32" i="48" s="1"/>
  <c r="Q31" i="48"/>
  <c r="S31" i="48" s="1"/>
  <c r="L30" i="48"/>
  <c r="N30" i="48" s="1"/>
  <c r="G30" i="48"/>
  <c r="I30" i="48" s="1"/>
  <c r="B30" i="48"/>
  <c r="D30" i="48" s="1"/>
  <c r="L29" i="48"/>
  <c r="N29" i="48" s="1"/>
  <c r="Q28" i="48"/>
  <c r="S28" i="48" s="1"/>
  <c r="L28" i="48"/>
  <c r="N28" i="48" s="1"/>
  <c r="B28" i="48"/>
  <c r="D28" i="48" s="1"/>
  <c r="Q27" i="48"/>
  <c r="S27" i="48" s="1"/>
  <c r="L27" i="48"/>
  <c r="N27" i="48" s="1"/>
  <c r="L26" i="48"/>
  <c r="N26" i="48" s="1"/>
  <c r="G26" i="48"/>
  <c r="I26" i="48" s="1"/>
  <c r="B26" i="48"/>
  <c r="D26" i="48" s="1"/>
  <c r="Q25" i="48"/>
  <c r="S25" i="48" s="1"/>
  <c r="L24" i="48"/>
  <c r="N24" i="48" s="1"/>
  <c r="G24" i="48"/>
  <c r="I24" i="48" s="1"/>
  <c r="B24" i="48"/>
  <c r="D24" i="48" s="1"/>
  <c r="L23" i="48"/>
  <c r="N23" i="48" s="1"/>
  <c r="Q22" i="48"/>
  <c r="S22" i="48" s="1"/>
  <c r="L22" i="48"/>
  <c r="N22" i="48" s="1"/>
  <c r="B22" i="48"/>
  <c r="D22" i="48" s="1"/>
  <c r="Q21" i="48"/>
  <c r="S21" i="48" s="1"/>
  <c r="L21" i="48"/>
  <c r="N21" i="48" s="1"/>
  <c r="L20" i="48"/>
  <c r="N20" i="48" s="1"/>
  <c r="G20" i="48"/>
  <c r="I20" i="48" s="1"/>
  <c r="B20" i="48"/>
  <c r="D20" i="48" s="1"/>
  <c r="Q19" i="48"/>
  <c r="S19" i="48" s="1"/>
  <c r="L18" i="48"/>
  <c r="N18" i="48" s="1"/>
  <c r="G18" i="48"/>
  <c r="I18" i="48" s="1"/>
  <c r="B18" i="48"/>
  <c r="D18" i="48" s="1"/>
  <c r="L17" i="48"/>
  <c r="N17" i="48" s="1"/>
  <c r="Q16" i="48"/>
  <c r="S16" i="48" s="1"/>
  <c r="L16" i="48"/>
  <c r="N16" i="48" s="1"/>
  <c r="B16" i="48"/>
  <c r="D16" i="48" s="1"/>
  <c r="Q15" i="48"/>
  <c r="S15" i="48" s="1"/>
  <c r="L15" i="48"/>
  <c r="N15" i="48" s="1"/>
  <c r="L14" i="48"/>
  <c r="N14" i="48" s="1"/>
  <c r="G14" i="48"/>
  <c r="I14" i="48" s="1"/>
  <c r="B14" i="48"/>
  <c r="D14" i="48" s="1"/>
  <c r="Q13" i="48"/>
  <c r="S13" i="48" s="1"/>
  <c r="L12" i="48"/>
  <c r="N12" i="48" s="1"/>
  <c r="G12" i="48"/>
  <c r="I12" i="48" s="1"/>
  <c r="B12" i="48"/>
  <c r="D12" i="48" s="1"/>
  <c r="L11" i="48"/>
  <c r="N11" i="48" s="1"/>
  <c r="Q10" i="48"/>
  <c r="S10" i="48" s="1"/>
  <c r="L10" i="48"/>
  <c r="B10" i="48"/>
  <c r="D10" i="48" s="1"/>
  <c r="T6" i="48"/>
  <c r="F6" i="48"/>
  <c r="E6" i="48"/>
  <c r="D6" i="48"/>
  <c r="T5" i="48"/>
  <c r="G5" i="48"/>
  <c r="S4" i="48"/>
  <c r="F4" i="48"/>
  <c r="E4" i="48"/>
  <c r="M5" i="48" s="1"/>
  <c r="D4" i="48"/>
  <c r="N4" i="48" s="1"/>
  <c r="C4" i="48"/>
  <c r="C6" i="48" s="1"/>
  <c r="S3" i="48"/>
  <c r="J3" i="48"/>
  <c r="B35" i="48" s="1"/>
  <c r="D35" i="48" s="1"/>
  <c r="Q2" i="48"/>
  <c r="S2" i="48" s="1"/>
  <c r="F2" i="48"/>
  <c r="E2" i="48"/>
  <c r="D2" i="48"/>
  <c r="C2" i="48"/>
  <c r="Q1" i="48"/>
  <c r="S1" i="48" s="1"/>
  <c r="L63" i="47"/>
  <c r="N63" i="47" s="1"/>
  <c r="Q62" i="47"/>
  <c r="S62" i="47" s="1"/>
  <c r="L62" i="47"/>
  <c r="N62" i="47" s="1"/>
  <c r="L61" i="47"/>
  <c r="N61" i="47" s="1"/>
  <c r="Q60" i="47"/>
  <c r="S60" i="47" s="1"/>
  <c r="L59" i="47"/>
  <c r="N59" i="47" s="1"/>
  <c r="L58" i="47"/>
  <c r="N58" i="47" s="1"/>
  <c r="Q57" i="47"/>
  <c r="S57" i="47" s="1"/>
  <c r="L57" i="47"/>
  <c r="N57" i="47" s="1"/>
  <c r="Q54" i="47"/>
  <c r="S54" i="47" s="1"/>
  <c r="L54" i="47"/>
  <c r="N54" i="47" s="1"/>
  <c r="G54" i="47"/>
  <c r="I54" i="47" s="1"/>
  <c r="B54" i="47"/>
  <c r="D54" i="47" s="1"/>
  <c r="B53" i="47"/>
  <c r="D53" i="47" s="1"/>
  <c r="Q52" i="47"/>
  <c r="S52" i="47" s="1"/>
  <c r="L52" i="47"/>
  <c r="N52" i="47" s="1"/>
  <c r="B52" i="47"/>
  <c r="D52" i="47" s="1"/>
  <c r="Q51" i="47"/>
  <c r="S51" i="47" s="1"/>
  <c r="B51" i="47"/>
  <c r="D51" i="47" s="1"/>
  <c r="L50" i="47"/>
  <c r="N50" i="47" s="1"/>
  <c r="G50" i="47"/>
  <c r="I50" i="47" s="1"/>
  <c r="B50" i="47"/>
  <c r="D50" i="47" s="1"/>
  <c r="Q48" i="47"/>
  <c r="S48" i="47" s="1"/>
  <c r="L48" i="47"/>
  <c r="N48" i="47" s="1"/>
  <c r="G48" i="47"/>
  <c r="I48" i="47" s="1"/>
  <c r="B48" i="47"/>
  <c r="D48" i="47" s="1"/>
  <c r="B47" i="47"/>
  <c r="D47" i="47" s="1"/>
  <c r="Q46" i="47"/>
  <c r="S46" i="47" s="1"/>
  <c r="L46" i="47"/>
  <c r="N46" i="47" s="1"/>
  <c r="B46" i="47"/>
  <c r="D46" i="47" s="1"/>
  <c r="Q45" i="47"/>
  <c r="S45" i="47" s="1"/>
  <c r="B45" i="47"/>
  <c r="D45" i="47" s="1"/>
  <c r="L44" i="47"/>
  <c r="N44" i="47" s="1"/>
  <c r="G44" i="47"/>
  <c r="I44" i="47" s="1"/>
  <c r="B44" i="47"/>
  <c r="D44" i="47" s="1"/>
  <c r="Q42" i="47"/>
  <c r="S42" i="47" s="1"/>
  <c r="L42" i="47"/>
  <c r="N42" i="47" s="1"/>
  <c r="G42" i="47"/>
  <c r="I42" i="47" s="1"/>
  <c r="B42" i="47"/>
  <c r="D42" i="47" s="1"/>
  <c r="B41" i="47"/>
  <c r="D41" i="47" s="1"/>
  <c r="Q40" i="47"/>
  <c r="S40" i="47" s="1"/>
  <c r="L40" i="47"/>
  <c r="N40" i="47" s="1"/>
  <c r="B40" i="47"/>
  <c r="D40" i="47" s="1"/>
  <c r="G39" i="47"/>
  <c r="I39" i="47" s="1"/>
  <c r="B39" i="47"/>
  <c r="D39" i="47" s="1"/>
  <c r="L38" i="47"/>
  <c r="N38" i="47" s="1"/>
  <c r="G38" i="47"/>
  <c r="I38" i="47" s="1"/>
  <c r="L37" i="47"/>
  <c r="N37" i="47" s="1"/>
  <c r="B37" i="47"/>
  <c r="D37" i="47" s="1"/>
  <c r="Q36" i="47"/>
  <c r="S36" i="47" s="1"/>
  <c r="L36" i="47"/>
  <c r="N36" i="47" s="1"/>
  <c r="L35" i="47"/>
  <c r="N35" i="47" s="1"/>
  <c r="G35" i="47"/>
  <c r="I35" i="47" s="1"/>
  <c r="B35" i="47"/>
  <c r="D35" i="47" s="1"/>
  <c r="Q34" i="47"/>
  <c r="S34" i="47" s="1"/>
  <c r="Q33" i="47"/>
  <c r="S33" i="47" s="1"/>
  <c r="L33" i="47"/>
  <c r="N33" i="47" s="1"/>
  <c r="G33" i="47"/>
  <c r="I33" i="47" s="1"/>
  <c r="B33" i="47"/>
  <c r="D33" i="47" s="1"/>
  <c r="B32" i="47"/>
  <c r="D32" i="47" s="1"/>
  <c r="Q31" i="47"/>
  <c r="S31" i="47" s="1"/>
  <c r="L31" i="47"/>
  <c r="N31" i="47" s="1"/>
  <c r="B31" i="47"/>
  <c r="D31" i="47" s="1"/>
  <c r="G30" i="47"/>
  <c r="I30" i="47" s="1"/>
  <c r="B30" i="47"/>
  <c r="D30" i="47" s="1"/>
  <c r="L29" i="47"/>
  <c r="N29" i="47" s="1"/>
  <c r="G29" i="47"/>
  <c r="I29" i="47" s="1"/>
  <c r="L28" i="47"/>
  <c r="N28" i="47" s="1"/>
  <c r="B28" i="47"/>
  <c r="D28" i="47" s="1"/>
  <c r="Q27" i="47"/>
  <c r="S27" i="47" s="1"/>
  <c r="L27" i="47"/>
  <c r="N27" i="47" s="1"/>
  <c r="L26" i="47"/>
  <c r="N26" i="47" s="1"/>
  <c r="G26" i="47"/>
  <c r="I26" i="47" s="1"/>
  <c r="B26" i="47"/>
  <c r="D26" i="47" s="1"/>
  <c r="Q25" i="47"/>
  <c r="S25" i="47" s="1"/>
  <c r="Q24" i="47"/>
  <c r="S24" i="47" s="1"/>
  <c r="L24" i="47"/>
  <c r="N24" i="47" s="1"/>
  <c r="G24" i="47"/>
  <c r="I24" i="47" s="1"/>
  <c r="B24" i="47"/>
  <c r="D24" i="47" s="1"/>
  <c r="B23" i="47"/>
  <c r="D23" i="47" s="1"/>
  <c r="Q22" i="47"/>
  <c r="S22" i="47" s="1"/>
  <c r="L22" i="47"/>
  <c r="N22" i="47" s="1"/>
  <c r="B22" i="47"/>
  <c r="D22" i="47" s="1"/>
  <c r="G21" i="47"/>
  <c r="I21" i="47" s="1"/>
  <c r="B21" i="47"/>
  <c r="D21" i="47" s="1"/>
  <c r="L20" i="47"/>
  <c r="N20" i="47" s="1"/>
  <c r="G20" i="47"/>
  <c r="I20" i="47" s="1"/>
  <c r="L19" i="47"/>
  <c r="N19" i="47" s="1"/>
  <c r="B19" i="47"/>
  <c r="D19" i="47" s="1"/>
  <c r="Q18" i="47"/>
  <c r="S18" i="47" s="1"/>
  <c r="L18" i="47"/>
  <c r="N18" i="47" s="1"/>
  <c r="L17" i="47"/>
  <c r="N17" i="47" s="1"/>
  <c r="G17" i="47"/>
  <c r="I17" i="47" s="1"/>
  <c r="B17" i="47"/>
  <c r="D17" i="47" s="1"/>
  <c r="Q16" i="47"/>
  <c r="S16" i="47" s="1"/>
  <c r="Q15" i="47"/>
  <c r="S15" i="47" s="1"/>
  <c r="L15" i="47"/>
  <c r="N15" i="47" s="1"/>
  <c r="G15" i="47"/>
  <c r="I15" i="47" s="1"/>
  <c r="B15" i="47"/>
  <c r="D15" i="47" s="1"/>
  <c r="B14" i="47"/>
  <c r="D14" i="47" s="1"/>
  <c r="Q13" i="47"/>
  <c r="S13" i="47" s="1"/>
  <c r="L13" i="47"/>
  <c r="N13" i="47" s="1"/>
  <c r="B13" i="47"/>
  <c r="D13" i="47" s="1"/>
  <c r="G12" i="47"/>
  <c r="I12" i="47" s="1"/>
  <c r="B12" i="47"/>
  <c r="D12" i="47" s="1"/>
  <c r="L11" i="47"/>
  <c r="N11" i="47" s="1"/>
  <c r="G11" i="47"/>
  <c r="I11" i="47" s="1"/>
  <c r="L10" i="47"/>
  <c r="N10" i="47" s="1"/>
  <c r="B10" i="47"/>
  <c r="D10" i="47" s="1"/>
  <c r="T6" i="47"/>
  <c r="G5" i="47"/>
  <c r="S4" i="47"/>
  <c r="F4" i="47"/>
  <c r="N5" i="47" s="1"/>
  <c r="E4" i="47"/>
  <c r="D4" i="47"/>
  <c r="N4" i="47" s="1"/>
  <c r="C4" i="47"/>
  <c r="C6" i="47" s="1"/>
  <c r="S3" i="47"/>
  <c r="T5" i="47" s="1"/>
  <c r="J3" i="47"/>
  <c r="Q63" i="47" s="1"/>
  <c r="S63" i="47" s="1"/>
  <c r="Q2" i="47"/>
  <c r="S2" i="47" s="1"/>
  <c r="F2" i="47"/>
  <c r="E2" i="47"/>
  <c r="D2" i="47"/>
  <c r="C2" i="47"/>
  <c r="Q1" i="47"/>
  <c r="S1" i="47" s="1"/>
  <c r="T1" i="47" s="1"/>
  <c r="T6" i="46"/>
  <c r="G5" i="46"/>
  <c r="S4" i="46"/>
  <c r="S3" i="46"/>
  <c r="T5" i="46" s="1"/>
  <c r="J3" i="46"/>
  <c r="Q64" i="46" s="1"/>
  <c r="S64" i="46" s="1"/>
  <c r="Q2" i="46"/>
  <c r="S2" i="46" s="1"/>
  <c r="F2" i="46"/>
  <c r="E2" i="46"/>
  <c r="D2" i="46"/>
  <c r="C2" i="46"/>
  <c r="Q1" i="46"/>
  <c r="S1" i="46" s="1"/>
  <c r="T1" i="46" s="1"/>
  <c r="Q63" i="45"/>
  <c r="S63" i="45" s="1"/>
  <c r="L63" i="45"/>
  <c r="N63" i="45" s="1"/>
  <c r="Q62" i="45"/>
  <c r="S62" i="45" s="1"/>
  <c r="L62" i="45"/>
  <c r="N62" i="45" s="1"/>
  <c r="L61" i="45"/>
  <c r="N61" i="45" s="1"/>
  <c r="Q60" i="45"/>
  <c r="S60" i="45" s="1"/>
  <c r="Q59" i="45"/>
  <c r="S59" i="45" s="1"/>
  <c r="L59" i="45"/>
  <c r="N59" i="45" s="1"/>
  <c r="L58" i="45"/>
  <c r="N58" i="45" s="1"/>
  <c r="Q57" i="45"/>
  <c r="S57" i="45" s="1"/>
  <c r="L57" i="45"/>
  <c r="N57" i="45" s="1"/>
  <c r="L56" i="45"/>
  <c r="N56" i="45" s="1"/>
  <c r="L55" i="45"/>
  <c r="N55" i="45" s="1"/>
  <c r="Q54" i="45"/>
  <c r="S54" i="45" s="1"/>
  <c r="L54" i="45"/>
  <c r="N54" i="45" s="1"/>
  <c r="G54" i="45"/>
  <c r="I54" i="45" s="1"/>
  <c r="B54" i="45"/>
  <c r="D54" i="45" s="1"/>
  <c r="G53" i="45"/>
  <c r="I53" i="45" s="1"/>
  <c r="B53" i="45"/>
  <c r="D53" i="45" s="1"/>
  <c r="Q52" i="45"/>
  <c r="S52" i="45" s="1"/>
  <c r="L52" i="45"/>
  <c r="N52" i="45" s="1"/>
  <c r="B52" i="45"/>
  <c r="D52" i="45" s="1"/>
  <c r="Q51" i="45"/>
  <c r="S51" i="45" s="1"/>
  <c r="G51" i="45"/>
  <c r="I51" i="45" s="1"/>
  <c r="B51" i="45"/>
  <c r="D51" i="45" s="1"/>
  <c r="L50" i="45"/>
  <c r="N50" i="45" s="1"/>
  <c r="G50" i="45"/>
  <c r="I50" i="45" s="1"/>
  <c r="B50" i="45"/>
  <c r="D50" i="45" s="1"/>
  <c r="L49" i="45"/>
  <c r="N49" i="45" s="1"/>
  <c r="B49" i="45"/>
  <c r="D49" i="45" s="1"/>
  <c r="Q48" i="45"/>
  <c r="S48" i="45" s="1"/>
  <c r="L48" i="45"/>
  <c r="N48" i="45" s="1"/>
  <c r="G48" i="45"/>
  <c r="I48" i="45" s="1"/>
  <c r="B48" i="45"/>
  <c r="D48" i="45" s="1"/>
  <c r="G47" i="45"/>
  <c r="I47" i="45" s="1"/>
  <c r="B47" i="45"/>
  <c r="D47" i="45" s="1"/>
  <c r="Q46" i="45"/>
  <c r="S46" i="45" s="1"/>
  <c r="L46" i="45"/>
  <c r="N46" i="45" s="1"/>
  <c r="B46" i="45"/>
  <c r="D46" i="45" s="1"/>
  <c r="Q45" i="45"/>
  <c r="S45" i="45" s="1"/>
  <c r="G45" i="45"/>
  <c r="I45" i="45" s="1"/>
  <c r="B45" i="45"/>
  <c r="D45" i="45" s="1"/>
  <c r="L44" i="45"/>
  <c r="N44" i="45" s="1"/>
  <c r="G44" i="45"/>
  <c r="I44" i="45" s="1"/>
  <c r="B44" i="45"/>
  <c r="D44" i="45" s="1"/>
  <c r="L43" i="45"/>
  <c r="N43" i="45" s="1"/>
  <c r="B43" i="45"/>
  <c r="D43" i="45" s="1"/>
  <c r="Q42" i="45"/>
  <c r="S42" i="45" s="1"/>
  <c r="L42" i="45"/>
  <c r="N42" i="45" s="1"/>
  <c r="G42" i="45"/>
  <c r="I42" i="45" s="1"/>
  <c r="B42" i="45"/>
  <c r="D42" i="45" s="1"/>
  <c r="G41" i="45"/>
  <c r="I41" i="45" s="1"/>
  <c r="B41" i="45"/>
  <c r="D41" i="45" s="1"/>
  <c r="Q40" i="45"/>
  <c r="S40" i="45" s="1"/>
  <c r="L40" i="45"/>
  <c r="N40" i="45" s="1"/>
  <c r="B40" i="45"/>
  <c r="D40" i="45" s="1"/>
  <c r="L39" i="45"/>
  <c r="N39" i="45" s="1"/>
  <c r="G39" i="45"/>
  <c r="I39" i="45" s="1"/>
  <c r="B39" i="45"/>
  <c r="D39" i="45" s="1"/>
  <c r="L38" i="45"/>
  <c r="N38" i="45" s="1"/>
  <c r="G38" i="45"/>
  <c r="I38" i="45" s="1"/>
  <c r="Q37" i="45"/>
  <c r="S37" i="45" s="1"/>
  <c r="L37" i="45"/>
  <c r="N37" i="45" s="1"/>
  <c r="B37" i="45"/>
  <c r="D37" i="45" s="1"/>
  <c r="Q36" i="45"/>
  <c r="S36" i="45" s="1"/>
  <c r="L36" i="45"/>
  <c r="N36" i="45" s="1"/>
  <c r="B36" i="45"/>
  <c r="D36" i="45" s="1"/>
  <c r="L35" i="45"/>
  <c r="N35" i="45" s="1"/>
  <c r="G35" i="45"/>
  <c r="I35" i="45" s="1"/>
  <c r="B35" i="45"/>
  <c r="D35" i="45" s="1"/>
  <c r="Q34" i="45"/>
  <c r="S34" i="45" s="1"/>
  <c r="B34" i="45"/>
  <c r="D34" i="45" s="1"/>
  <c r="Q33" i="45"/>
  <c r="S33" i="45" s="1"/>
  <c r="L33" i="45"/>
  <c r="N33" i="45" s="1"/>
  <c r="G33" i="45"/>
  <c r="I33" i="45" s="1"/>
  <c r="B33" i="45"/>
  <c r="D33" i="45" s="1"/>
  <c r="G32" i="45"/>
  <c r="I32" i="45" s="1"/>
  <c r="B32" i="45"/>
  <c r="D32" i="45" s="1"/>
  <c r="Q31" i="45"/>
  <c r="S31" i="45" s="1"/>
  <c r="L31" i="45"/>
  <c r="N31" i="45" s="1"/>
  <c r="B31" i="45"/>
  <c r="D31" i="45" s="1"/>
  <c r="L30" i="45"/>
  <c r="N30" i="45" s="1"/>
  <c r="G30" i="45"/>
  <c r="I30" i="45" s="1"/>
  <c r="B30" i="45"/>
  <c r="D30" i="45" s="1"/>
  <c r="L29" i="45"/>
  <c r="N29" i="45" s="1"/>
  <c r="G29" i="45"/>
  <c r="I29" i="45" s="1"/>
  <c r="Q28" i="45"/>
  <c r="S28" i="45" s="1"/>
  <c r="L28" i="45"/>
  <c r="N28" i="45" s="1"/>
  <c r="B28" i="45"/>
  <c r="D28" i="45" s="1"/>
  <c r="Q27" i="45"/>
  <c r="S27" i="45" s="1"/>
  <c r="L27" i="45"/>
  <c r="N27" i="45" s="1"/>
  <c r="B27" i="45"/>
  <c r="D27" i="45" s="1"/>
  <c r="L26" i="45"/>
  <c r="N26" i="45" s="1"/>
  <c r="G26" i="45"/>
  <c r="I26" i="45" s="1"/>
  <c r="B26" i="45"/>
  <c r="D26" i="45" s="1"/>
  <c r="Q25" i="45"/>
  <c r="S25" i="45" s="1"/>
  <c r="B25" i="45"/>
  <c r="D25" i="45" s="1"/>
  <c r="Q24" i="45"/>
  <c r="S24" i="45" s="1"/>
  <c r="L24" i="45"/>
  <c r="N24" i="45" s="1"/>
  <c r="G24" i="45"/>
  <c r="I24" i="45" s="1"/>
  <c r="B24" i="45"/>
  <c r="D24" i="45" s="1"/>
  <c r="G23" i="45"/>
  <c r="I23" i="45" s="1"/>
  <c r="B23" i="45"/>
  <c r="D23" i="45" s="1"/>
  <c r="Q22" i="45"/>
  <c r="S22" i="45" s="1"/>
  <c r="L22" i="45"/>
  <c r="N22" i="45" s="1"/>
  <c r="B22" i="45"/>
  <c r="D22" i="45" s="1"/>
  <c r="L21" i="45"/>
  <c r="N21" i="45" s="1"/>
  <c r="G21" i="45"/>
  <c r="I21" i="45" s="1"/>
  <c r="B21" i="45"/>
  <c r="D21" i="45" s="1"/>
  <c r="L20" i="45"/>
  <c r="N20" i="45" s="1"/>
  <c r="G20" i="45"/>
  <c r="I20" i="45" s="1"/>
  <c r="Q19" i="45"/>
  <c r="S19" i="45" s="1"/>
  <c r="L19" i="45"/>
  <c r="N19" i="45" s="1"/>
  <c r="B19" i="45"/>
  <c r="D19" i="45" s="1"/>
  <c r="Q18" i="45"/>
  <c r="S18" i="45" s="1"/>
  <c r="L18" i="45"/>
  <c r="N18" i="45" s="1"/>
  <c r="B18" i="45"/>
  <c r="D18" i="45" s="1"/>
  <c r="L17" i="45"/>
  <c r="N17" i="45" s="1"/>
  <c r="G17" i="45"/>
  <c r="I17" i="45" s="1"/>
  <c r="B17" i="45"/>
  <c r="D17" i="45" s="1"/>
  <c r="Q16" i="45"/>
  <c r="S16" i="45" s="1"/>
  <c r="B16" i="45"/>
  <c r="D16" i="45" s="1"/>
  <c r="Q15" i="45"/>
  <c r="S15" i="45" s="1"/>
  <c r="L15" i="45"/>
  <c r="N15" i="45" s="1"/>
  <c r="G15" i="45"/>
  <c r="I15" i="45" s="1"/>
  <c r="B15" i="45"/>
  <c r="D15" i="45" s="1"/>
  <c r="G14" i="45"/>
  <c r="I14" i="45" s="1"/>
  <c r="B14" i="45"/>
  <c r="D14" i="45" s="1"/>
  <c r="Q13" i="45"/>
  <c r="S13" i="45" s="1"/>
  <c r="L13" i="45"/>
  <c r="N13" i="45" s="1"/>
  <c r="B13" i="45"/>
  <c r="D13" i="45" s="1"/>
  <c r="L12" i="45"/>
  <c r="N12" i="45" s="1"/>
  <c r="G12" i="45"/>
  <c r="I12" i="45" s="1"/>
  <c r="B12" i="45"/>
  <c r="D12" i="45" s="1"/>
  <c r="L11" i="45"/>
  <c r="N11" i="45" s="1"/>
  <c r="G11" i="45"/>
  <c r="I11" i="45" s="1"/>
  <c r="Q10" i="45"/>
  <c r="L10" i="45"/>
  <c r="N10" i="45" s="1"/>
  <c r="B10" i="45"/>
  <c r="D10" i="45" s="1"/>
  <c r="T6" i="45"/>
  <c r="G5" i="45"/>
  <c r="S4" i="45"/>
  <c r="F4" i="45"/>
  <c r="E4" i="45"/>
  <c r="D4" i="45"/>
  <c r="C4" i="45"/>
  <c r="C6" i="45" s="1"/>
  <c r="S3" i="45"/>
  <c r="T5" i="45" s="1"/>
  <c r="J3" i="45"/>
  <c r="Q2" i="45"/>
  <c r="S2" i="45" s="1"/>
  <c r="F2" i="45"/>
  <c r="E2" i="45"/>
  <c r="D2" i="45"/>
  <c r="C2" i="45"/>
  <c r="Q1" i="45"/>
  <c r="S1" i="45" s="1"/>
  <c r="T1" i="45" s="1"/>
  <c r="L63" i="44"/>
  <c r="N63" i="44" s="1"/>
  <c r="Q62" i="44"/>
  <c r="S62" i="44" s="1"/>
  <c r="L62" i="44"/>
  <c r="N62" i="44" s="1"/>
  <c r="Q60" i="44"/>
  <c r="S60" i="44" s="1"/>
  <c r="L60" i="44"/>
  <c r="N60" i="44" s="1"/>
  <c r="L59" i="44"/>
  <c r="N59" i="44" s="1"/>
  <c r="Q57" i="44"/>
  <c r="S57" i="44" s="1"/>
  <c r="L57" i="44"/>
  <c r="N57" i="44" s="1"/>
  <c r="Q56" i="44"/>
  <c r="S56" i="44" s="1"/>
  <c r="N56" i="44"/>
  <c r="L56" i="44"/>
  <c r="L54" i="44"/>
  <c r="N54" i="44" s="1"/>
  <c r="G54" i="44"/>
  <c r="I54" i="44" s="1"/>
  <c r="B54" i="44"/>
  <c r="D54" i="44" s="1"/>
  <c r="G53" i="44"/>
  <c r="I53" i="44" s="1"/>
  <c r="B53" i="44"/>
  <c r="D53" i="44" s="1"/>
  <c r="L52" i="44"/>
  <c r="N52" i="44" s="1"/>
  <c r="Q51" i="44"/>
  <c r="S51" i="44" s="1"/>
  <c r="L51" i="44"/>
  <c r="N51" i="44" s="1"/>
  <c r="G51" i="44"/>
  <c r="I51" i="44" s="1"/>
  <c r="D51" i="44"/>
  <c r="B51" i="44"/>
  <c r="B50" i="44"/>
  <c r="D50" i="44" s="1"/>
  <c r="Q49" i="44"/>
  <c r="S49" i="44" s="1"/>
  <c r="L49" i="44"/>
  <c r="N49" i="44" s="1"/>
  <c r="Q48" i="44"/>
  <c r="S48" i="44" s="1"/>
  <c r="L48" i="44"/>
  <c r="N48" i="44" s="1"/>
  <c r="B48" i="44"/>
  <c r="D48" i="44" s="1"/>
  <c r="G47" i="44"/>
  <c r="I47" i="44" s="1"/>
  <c r="B47" i="44"/>
  <c r="D47" i="44" s="1"/>
  <c r="Q46" i="44"/>
  <c r="S46" i="44" s="1"/>
  <c r="N46" i="44"/>
  <c r="L46" i="44"/>
  <c r="L45" i="44"/>
  <c r="N45" i="44" s="1"/>
  <c r="G45" i="44"/>
  <c r="I45" i="44" s="1"/>
  <c r="B45" i="44"/>
  <c r="D45" i="44" s="1"/>
  <c r="G44" i="44"/>
  <c r="I44" i="44" s="1"/>
  <c r="B44" i="44"/>
  <c r="D44" i="44" s="1"/>
  <c r="L43" i="44"/>
  <c r="N43" i="44" s="1"/>
  <c r="Q42" i="44"/>
  <c r="S42" i="44" s="1"/>
  <c r="L42" i="44"/>
  <c r="N42" i="44" s="1"/>
  <c r="G42" i="44"/>
  <c r="I42" i="44" s="1"/>
  <c r="B42" i="44"/>
  <c r="D42" i="44" s="1"/>
  <c r="B41" i="44"/>
  <c r="D41" i="44" s="1"/>
  <c r="Q40" i="44"/>
  <c r="S40" i="44" s="1"/>
  <c r="L40" i="44"/>
  <c r="N40" i="44" s="1"/>
  <c r="Q39" i="44"/>
  <c r="S39" i="44" s="1"/>
  <c r="L39" i="44"/>
  <c r="N39" i="44" s="1"/>
  <c r="B39" i="44"/>
  <c r="D39" i="44" s="1"/>
  <c r="L38" i="44"/>
  <c r="N38" i="44" s="1"/>
  <c r="G38" i="44"/>
  <c r="I38" i="44" s="1"/>
  <c r="B38" i="44"/>
  <c r="D38" i="44" s="1"/>
  <c r="Q37" i="44"/>
  <c r="S37" i="44" s="1"/>
  <c r="Q36" i="44"/>
  <c r="S36" i="44" s="1"/>
  <c r="L36" i="44"/>
  <c r="N36" i="44" s="1"/>
  <c r="G36" i="44"/>
  <c r="I36" i="44" s="1"/>
  <c r="B36" i="44"/>
  <c r="D36" i="44" s="1"/>
  <c r="L35" i="44"/>
  <c r="N35" i="44" s="1"/>
  <c r="B35" i="44"/>
  <c r="D35" i="44" s="1"/>
  <c r="Q34" i="44"/>
  <c r="S34" i="44" s="1"/>
  <c r="L34" i="44"/>
  <c r="N34" i="44" s="1"/>
  <c r="B34" i="44"/>
  <c r="D34" i="44" s="1"/>
  <c r="Q33" i="44"/>
  <c r="S33" i="44" s="1"/>
  <c r="L33" i="44"/>
  <c r="N33" i="44" s="1"/>
  <c r="B33" i="44"/>
  <c r="D33" i="44" s="1"/>
  <c r="L32" i="44"/>
  <c r="N32" i="44" s="1"/>
  <c r="G32" i="44"/>
  <c r="I32" i="44" s="1"/>
  <c r="B32" i="44"/>
  <c r="D32" i="44" s="1"/>
  <c r="S31" i="44"/>
  <c r="Q31" i="44"/>
  <c r="Q30" i="44"/>
  <c r="S30" i="44" s="1"/>
  <c r="L30" i="44"/>
  <c r="N30" i="44" s="1"/>
  <c r="G30" i="44"/>
  <c r="I30" i="44" s="1"/>
  <c r="B30" i="44"/>
  <c r="D30" i="44" s="1"/>
  <c r="L29" i="44"/>
  <c r="N29" i="44" s="1"/>
  <c r="B29" i="44"/>
  <c r="D29" i="44" s="1"/>
  <c r="Q28" i="44"/>
  <c r="S28" i="44" s="1"/>
  <c r="L28" i="44"/>
  <c r="N28" i="44" s="1"/>
  <c r="B28" i="44"/>
  <c r="D28" i="44" s="1"/>
  <c r="Q27" i="44"/>
  <c r="S27" i="44" s="1"/>
  <c r="L27" i="44"/>
  <c r="N27" i="44" s="1"/>
  <c r="B27" i="44"/>
  <c r="D27" i="44" s="1"/>
  <c r="L26" i="44"/>
  <c r="N26" i="44" s="1"/>
  <c r="G26" i="44"/>
  <c r="I26" i="44" s="1"/>
  <c r="B26" i="44"/>
  <c r="D26" i="44" s="1"/>
  <c r="Q25" i="44"/>
  <c r="S25" i="44" s="1"/>
  <c r="Q24" i="44"/>
  <c r="S24" i="44" s="1"/>
  <c r="L24" i="44"/>
  <c r="N24" i="44" s="1"/>
  <c r="G24" i="44"/>
  <c r="I24" i="44" s="1"/>
  <c r="B24" i="44"/>
  <c r="D24" i="44" s="1"/>
  <c r="L23" i="44"/>
  <c r="N23" i="44" s="1"/>
  <c r="B23" i="44"/>
  <c r="D23" i="44" s="1"/>
  <c r="Q22" i="44"/>
  <c r="S22" i="44" s="1"/>
  <c r="L22" i="44"/>
  <c r="N22" i="44" s="1"/>
  <c r="B22" i="44"/>
  <c r="D22" i="44" s="1"/>
  <c r="S21" i="44"/>
  <c r="Q21" i="44"/>
  <c r="L21" i="44"/>
  <c r="N21" i="44" s="1"/>
  <c r="B21" i="44"/>
  <c r="D21" i="44" s="1"/>
  <c r="L20" i="44"/>
  <c r="N20" i="44" s="1"/>
  <c r="G20" i="44"/>
  <c r="I20" i="44" s="1"/>
  <c r="B20" i="44"/>
  <c r="D20" i="44" s="1"/>
  <c r="Q19" i="44"/>
  <c r="S19" i="44" s="1"/>
  <c r="Q18" i="44"/>
  <c r="S18" i="44" s="1"/>
  <c r="L18" i="44"/>
  <c r="N18" i="44" s="1"/>
  <c r="G18" i="44"/>
  <c r="I18" i="44" s="1"/>
  <c r="B18" i="44"/>
  <c r="D18" i="44" s="1"/>
  <c r="L17" i="44"/>
  <c r="N17" i="44" s="1"/>
  <c r="B17" i="44"/>
  <c r="D17" i="44" s="1"/>
  <c r="Q16" i="44"/>
  <c r="S16" i="44" s="1"/>
  <c r="L16" i="44"/>
  <c r="N16" i="44" s="1"/>
  <c r="B16" i="44"/>
  <c r="D16" i="44" s="1"/>
  <c r="Q15" i="44"/>
  <c r="S15" i="44" s="1"/>
  <c r="N15" i="44"/>
  <c r="L15" i="44"/>
  <c r="B15" i="44"/>
  <c r="D15" i="44" s="1"/>
  <c r="L14" i="44"/>
  <c r="N14" i="44" s="1"/>
  <c r="G14" i="44"/>
  <c r="I14" i="44" s="1"/>
  <c r="B14" i="44"/>
  <c r="D14" i="44" s="1"/>
  <c r="Q13" i="44"/>
  <c r="S13" i="44" s="1"/>
  <c r="Q12" i="44"/>
  <c r="S12" i="44" s="1"/>
  <c r="L12" i="44"/>
  <c r="N12" i="44" s="1"/>
  <c r="G12" i="44"/>
  <c r="I12" i="44" s="1"/>
  <c r="D12" i="44"/>
  <c r="B12" i="44"/>
  <c r="L11" i="44"/>
  <c r="N11" i="44" s="1"/>
  <c r="B11" i="44"/>
  <c r="D11" i="44" s="1"/>
  <c r="Q10" i="44"/>
  <c r="L10" i="44"/>
  <c r="N10" i="44" s="1"/>
  <c r="B10" i="44"/>
  <c r="D10" i="44" s="1"/>
  <c r="T6" i="44"/>
  <c r="F6" i="44"/>
  <c r="D6" i="44"/>
  <c r="T5" i="44"/>
  <c r="G5" i="44"/>
  <c r="S4" i="44"/>
  <c r="F4" i="44"/>
  <c r="E4" i="44"/>
  <c r="E6" i="44" s="1"/>
  <c r="D4" i="44"/>
  <c r="N4" i="44" s="1"/>
  <c r="C4" i="44"/>
  <c r="S3" i="44"/>
  <c r="J3" i="44"/>
  <c r="Q2" i="44"/>
  <c r="S2" i="44" s="1"/>
  <c r="F2" i="44"/>
  <c r="E2" i="44"/>
  <c r="D2" i="44"/>
  <c r="C2" i="44"/>
  <c r="Q1" i="44"/>
  <c r="S1" i="44" s="1"/>
  <c r="T1" i="44" s="1"/>
  <c r="T1" i="42"/>
  <c r="T1" i="43"/>
  <c r="T6" i="43"/>
  <c r="G5" i="43"/>
  <c r="S4" i="43"/>
  <c r="S3" i="43"/>
  <c r="T5" i="43" s="1"/>
  <c r="J3" i="43"/>
  <c r="B53" i="43" s="1"/>
  <c r="D53" i="43" s="1"/>
  <c r="Q2" i="43"/>
  <c r="S2" i="43" s="1"/>
  <c r="F2" i="43"/>
  <c r="E2" i="43"/>
  <c r="D2" i="43"/>
  <c r="C2" i="43"/>
  <c r="Q1" i="43"/>
  <c r="S1" i="43" s="1"/>
  <c r="L60" i="42"/>
  <c r="N60" i="42" s="1"/>
  <c r="Q59" i="42"/>
  <c r="S59" i="42" s="1"/>
  <c r="L57" i="42"/>
  <c r="N57" i="42" s="1"/>
  <c r="Q56" i="42"/>
  <c r="S56" i="42" s="1"/>
  <c r="L54" i="42"/>
  <c r="N54" i="42" s="1"/>
  <c r="G54" i="42"/>
  <c r="I54" i="42" s="1"/>
  <c r="B53" i="42"/>
  <c r="D53" i="42" s="1"/>
  <c r="Q52" i="42"/>
  <c r="S52" i="42" s="1"/>
  <c r="L51" i="42"/>
  <c r="N51" i="42" s="1"/>
  <c r="G51" i="42"/>
  <c r="I51" i="42" s="1"/>
  <c r="B50" i="42"/>
  <c r="D50" i="42" s="1"/>
  <c r="Q49" i="42"/>
  <c r="S49" i="42" s="1"/>
  <c r="L48" i="42"/>
  <c r="N48" i="42" s="1"/>
  <c r="G48" i="42"/>
  <c r="I48" i="42" s="1"/>
  <c r="B47" i="42"/>
  <c r="D47" i="42" s="1"/>
  <c r="Q46" i="42"/>
  <c r="S46" i="42" s="1"/>
  <c r="L45" i="42"/>
  <c r="N45" i="42" s="1"/>
  <c r="G45" i="42"/>
  <c r="I45" i="42" s="1"/>
  <c r="B44" i="42"/>
  <c r="D44" i="42" s="1"/>
  <c r="Q43" i="42"/>
  <c r="S43" i="42" s="1"/>
  <c r="L42" i="42"/>
  <c r="N42" i="42" s="1"/>
  <c r="G42" i="42"/>
  <c r="I42" i="42" s="1"/>
  <c r="B41" i="42"/>
  <c r="D41" i="42" s="1"/>
  <c r="Q40" i="42"/>
  <c r="S40" i="42" s="1"/>
  <c r="L39" i="42"/>
  <c r="N39" i="42" s="1"/>
  <c r="G39" i="42"/>
  <c r="I39" i="42" s="1"/>
  <c r="B38" i="42"/>
  <c r="D38" i="42" s="1"/>
  <c r="Q37" i="42"/>
  <c r="S37" i="42" s="1"/>
  <c r="L36" i="42"/>
  <c r="N36" i="42" s="1"/>
  <c r="G36" i="42"/>
  <c r="I36" i="42" s="1"/>
  <c r="B35" i="42"/>
  <c r="D35" i="42" s="1"/>
  <c r="Q34" i="42"/>
  <c r="S34" i="42" s="1"/>
  <c r="L33" i="42"/>
  <c r="N33" i="42" s="1"/>
  <c r="G33" i="42"/>
  <c r="I33" i="42" s="1"/>
  <c r="B32" i="42"/>
  <c r="D32" i="42" s="1"/>
  <c r="Q31" i="42"/>
  <c r="S31" i="42" s="1"/>
  <c r="L30" i="42"/>
  <c r="N30" i="42" s="1"/>
  <c r="G30" i="42"/>
  <c r="I30" i="42" s="1"/>
  <c r="B29" i="42"/>
  <c r="D29" i="42" s="1"/>
  <c r="Q28" i="42"/>
  <c r="S28" i="42" s="1"/>
  <c r="L27" i="42"/>
  <c r="N27" i="42" s="1"/>
  <c r="G27" i="42"/>
  <c r="I27" i="42" s="1"/>
  <c r="B26" i="42"/>
  <c r="D26" i="42" s="1"/>
  <c r="Q25" i="42"/>
  <c r="S25" i="42" s="1"/>
  <c r="L24" i="42"/>
  <c r="N24" i="42" s="1"/>
  <c r="G24" i="42"/>
  <c r="I24" i="42" s="1"/>
  <c r="B23" i="42"/>
  <c r="D23" i="42" s="1"/>
  <c r="Q22" i="42"/>
  <c r="S22" i="42" s="1"/>
  <c r="L21" i="42"/>
  <c r="N21" i="42" s="1"/>
  <c r="G21" i="42"/>
  <c r="I21" i="42" s="1"/>
  <c r="B20" i="42"/>
  <c r="D20" i="42" s="1"/>
  <c r="Q19" i="42"/>
  <c r="S19" i="42" s="1"/>
  <c r="L18" i="42"/>
  <c r="N18" i="42" s="1"/>
  <c r="G18" i="42"/>
  <c r="I18" i="42" s="1"/>
  <c r="B17" i="42"/>
  <c r="D17" i="42" s="1"/>
  <c r="Q16" i="42"/>
  <c r="S16" i="42" s="1"/>
  <c r="L15" i="42"/>
  <c r="N15" i="42" s="1"/>
  <c r="G15" i="42"/>
  <c r="I15" i="42" s="1"/>
  <c r="B14" i="42"/>
  <c r="D14" i="42" s="1"/>
  <c r="Q13" i="42"/>
  <c r="S13" i="42" s="1"/>
  <c r="L12" i="42"/>
  <c r="N12" i="42" s="1"/>
  <c r="G12" i="42"/>
  <c r="I12" i="42" s="1"/>
  <c r="B11" i="42"/>
  <c r="D11" i="42" s="1"/>
  <c r="Q10" i="42"/>
  <c r="T6" i="42"/>
  <c r="G5" i="42"/>
  <c r="S4" i="42"/>
  <c r="E4" i="42"/>
  <c r="E6" i="42" s="1"/>
  <c r="D4" i="42"/>
  <c r="S3" i="42"/>
  <c r="T5" i="42" s="1"/>
  <c r="J3" i="42"/>
  <c r="Q64" i="42" s="1"/>
  <c r="S64" i="42" s="1"/>
  <c r="Q2" i="42"/>
  <c r="S2" i="42" s="1"/>
  <c r="F2" i="42"/>
  <c r="E2" i="42"/>
  <c r="D2" i="42"/>
  <c r="C2" i="42"/>
  <c r="Q1" i="42"/>
  <c r="S1" i="42" s="1"/>
  <c r="Q59" i="41"/>
  <c r="S59" i="41" s="1"/>
  <c r="Q56" i="41"/>
  <c r="S56" i="41" s="1"/>
  <c r="L56" i="41"/>
  <c r="N56" i="41" s="1"/>
  <c r="Q54" i="41"/>
  <c r="S54" i="41" s="1"/>
  <c r="L52" i="41"/>
  <c r="N52" i="41" s="1"/>
  <c r="Q51" i="41"/>
  <c r="S51" i="41" s="1"/>
  <c r="B51" i="41"/>
  <c r="D51" i="41" s="1"/>
  <c r="G50" i="41"/>
  <c r="I50" i="41" s="1"/>
  <c r="B48" i="41"/>
  <c r="D48" i="41" s="1"/>
  <c r="G47" i="41"/>
  <c r="I47" i="41" s="1"/>
  <c r="B47" i="41"/>
  <c r="D47" i="41" s="1"/>
  <c r="L45" i="41"/>
  <c r="N45" i="41" s="1"/>
  <c r="Q42" i="41"/>
  <c r="S42" i="41" s="1"/>
  <c r="L42" i="41"/>
  <c r="N42" i="41" s="1"/>
  <c r="G42" i="41"/>
  <c r="I42" i="41" s="1"/>
  <c r="L39" i="41"/>
  <c r="N39" i="41" s="1"/>
  <c r="G38" i="41"/>
  <c r="I38" i="41" s="1"/>
  <c r="B38" i="41"/>
  <c r="D38" i="41" s="1"/>
  <c r="G35" i="41"/>
  <c r="I35" i="41" s="1"/>
  <c r="B35" i="41"/>
  <c r="D35" i="41" s="1"/>
  <c r="Q33" i="41"/>
  <c r="S33" i="41" s="1"/>
  <c r="L31" i="41"/>
  <c r="N31" i="41" s="1"/>
  <c r="Q30" i="41"/>
  <c r="S30" i="41" s="1"/>
  <c r="L30" i="41"/>
  <c r="N30" i="41" s="1"/>
  <c r="L28" i="41"/>
  <c r="N28" i="41" s="1"/>
  <c r="G27" i="41"/>
  <c r="I27" i="41" s="1"/>
  <c r="B27" i="41"/>
  <c r="D27" i="41" s="1"/>
  <c r="G26" i="41"/>
  <c r="I26" i="41" s="1"/>
  <c r="G24" i="41"/>
  <c r="I24" i="41" s="1"/>
  <c r="B24" i="41"/>
  <c r="D24" i="41" s="1"/>
  <c r="Q22" i="41"/>
  <c r="S22" i="41" s="1"/>
  <c r="L22" i="41"/>
  <c r="N22" i="41" s="1"/>
  <c r="B20" i="41"/>
  <c r="D20" i="41" s="1"/>
  <c r="Q19" i="41"/>
  <c r="S19" i="41" s="1"/>
  <c r="L19" i="41"/>
  <c r="N19" i="41" s="1"/>
  <c r="B17" i="41"/>
  <c r="D17" i="41" s="1"/>
  <c r="Q15" i="41"/>
  <c r="S15" i="41" s="1"/>
  <c r="L15" i="41"/>
  <c r="N15" i="41" s="1"/>
  <c r="L13" i="41"/>
  <c r="N13" i="41" s="1"/>
  <c r="Q12" i="41"/>
  <c r="S12" i="41" s="1"/>
  <c r="L12" i="41"/>
  <c r="N12" i="41" s="1"/>
  <c r="L10" i="41"/>
  <c r="N10" i="41" s="1"/>
  <c r="T6" i="41"/>
  <c r="T5" i="41"/>
  <c r="G5" i="41"/>
  <c r="S4" i="41"/>
  <c r="S3" i="41"/>
  <c r="J3" i="41"/>
  <c r="Q2" i="41"/>
  <c r="S2" i="41" s="1"/>
  <c r="F2" i="41"/>
  <c r="E2" i="41"/>
  <c r="D2" i="41"/>
  <c r="C2" i="41"/>
  <c r="Q1" i="41"/>
  <c r="S1" i="41" s="1"/>
  <c r="Q56" i="40"/>
  <c r="S56" i="40" s="1"/>
  <c r="G54" i="40"/>
  <c r="I54" i="40" s="1"/>
  <c r="B52" i="40"/>
  <c r="D52" i="40" s="1"/>
  <c r="G51" i="40"/>
  <c r="I51" i="40" s="1"/>
  <c r="B51" i="40"/>
  <c r="D51" i="40" s="1"/>
  <c r="G48" i="40"/>
  <c r="I48" i="40" s="1"/>
  <c r="Q46" i="40"/>
  <c r="S46" i="40" s="1"/>
  <c r="L46" i="40"/>
  <c r="N46" i="40" s="1"/>
  <c r="Q43" i="40"/>
  <c r="S43" i="40" s="1"/>
  <c r="L43" i="40"/>
  <c r="N43" i="40" s="1"/>
  <c r="B43" i="40"/>
  <c r="D43" i="40" s="1"/>
  <c r="Q40" i="40"/>
  <c r="S40" i="40" s="1"/>
  <c r="L40" i="40"/>
  <c r="N40" i="40" s="1"/>
  <c r="G39" i="40"/>
  <c r="I39" i="40" s="1"/>
  <c r="B39" i="40"/>
  <c r="D39" i="40" s="1"/>
  <c r="G36" i="40"/>
  <c r="I36" i="40" s="1"/>
  <c r="B36" i="40"/>
  <c r="D36" i="40" s="1"/>
  <c r="L35" i="40"/>
  <c r="N35" i="40" s="1"/>
  <c r="G33" i="40"/>
  <c r="I33" i="40" s="1"/>
  <c r="B32" i="40"/>
  <c r="D32" i="40" s="1"/>
  <c r="Q31" i="40"/>
  <c r="S31" i="40" s="1"/>
  <c r="L29" i="40"/>
  <c r="N29" i="40" s="1"/>
  <c r="B29" i="40"/>
  <c r="D29" i="40" s="1"/>
  <c r="Q28" i="40"/>
  <c r="S28" i="40" s="1"/>
  <c r="L26" i="40"/>
  <c r="N26" i="40" s="1"/>
  <c r="L25" i="40"/>
  <c r="N25" i="40" s="1"/>
  <c r="B25" i="40"/>
  <c r="D25" i="40" s="1"/>
  <c r="Q22" i="40"/>
  <c r="S22" i="40" s="1"/>
  <c r="L22" i="40"/>
  <c r="N22" i="40" s="1"/>
  <c r="B22" i="40"/>
  <c r="D22" i="40" s="1"/>
  <c r="Q19" i="40"/>
  <c r="S19" i="40" s="1"/>
  <c r="L18" i="40"/>
  <c r="N18" i="40" s="1"/>
  <c r="G18" i="40"/>
  <c r="I18" i="40" s="1"/>
  <c r="B16" i="40"/>
  <c r="D16" i="40" s="1"/>
  <c r="L15" i="40"/>
  <c r="N15" i="40" s="1"/>
  <c r="G15" i="40"/>
  <c r="I15" i="40" s="1"/>
  <c r="B13" i="40"/>
  <c r="D13" i="40" s="1"/>
  <c r="B12" i="40"/>
  <c r="D12" i="40" s="1"/>
  <c r="L11" i="40"/>
  <c r="N11" i="40" s="1"/>
  <c r="T6" i="40"/>
  <c r="T5" i="40"/>
  <c r="G5" i="40"/>
  <c r="S4" i="40"/>
  <c r="S3" i="40"/>
  <c r="J3" i="40"/>
  <c r="Q2" i="40"/>
  <c r="S2" i="40" s="1"/>
  <c r="G2" i="40"/>
  <c r="H3" i="40" s="1"/>
  <c r="F2" i="40"/>
  <c r="E2" i="40"/>
  <c r="D2" i="40"/>
  <c r="C2" i="40"/>
  <c r="Q1" i="40"/>
  <c r="S1" i="40" s="1"/>
  <c r="T1" i="39"/>
  <c r="G20" i="39"/>
  <c r="I20" i="39" s="1"/>
  <c r="G19" i="39"/>
  <c r="I19" i="39" s="1"/>
  <c r="G16" i="39"/>
  <c r="I16" i="39" s="1"/>
  <c r="G15" i="39"/>
  <c r="I15" i="39" s="1"/>
  <c r="G12" i="39"/>
  <c r="I12" i="39" s="1"/>
  <c r="G11" i="39"/>
  <c r="I11" i="39" s="1"/>
  <c r="T6" i="39"/>
  <c r="G5" i="39"/>
  <c r="S4" i="39"/>
  <c r="F4" i="39"/>
  <c r="S3" i="39"/>
  <c r="T5" i="39" s="1"/>
  <c r="J3" i="39"/>
  <c r="S2" i="39"/>
  <c r="T2" i="39" s="1"/>
  <c r="Q2" i="39"/>
  <c r="F2" i="39"/>
  <c r="E2" i="39"/>
  <c r="D2" i="39"/>
  <c r="C2" i="39"/>
  <c r="Q1" i="39"/>
  <c r="S1" i="39" s="1"/>
  <c r="Q64" i="38"/>
  <c r="S64" i="38" s="1"/>
  <c r="Q62" i="38"/>
  <c r="S62" i="38" s="1"/>
  <c r="Q61" i="38"/>
  <c r="S61" i="38" s="1"/>
  <c r="Q60" i="38"/>
  <c r="S60" i="38" s="1"/>
  <c r="Q59" i="38"/>
  <c r="S59" i="38" s="1"/>
  <c r="Q58" i="38"/>
  <c r="S58" i="38" s="1"/>
  <c r="Q57" i="38"/>
  <c r="S57" i="38" s="1"/>
  <c r="Q56" i="38"/>
  <c r="S56" i="38" s="1"/>
  <c r="Q55" i="38"/>
  <c r="S55" i="38" s="1"/>
  <c r="Q54" i="38"/>
  <c r="S54" i="38" s="1"/>
  <c r="G54" i="38"/>
  <c r="I54" i="38" s="1"/>
  <c r="Q53" i="38"/>
  <c r="S53" i="38" s="1"/>
  <c r="G53" i="38"/>
  <c r="I53" i="38" s="1"/>
  <c r="Q52" i="38"/>
  <c r="S52" i="38" s="1"/>
  <c r="G52" i="38"/>
  <c r="I52" i="38" s="1"/>
  <c r="Q51" i="38"/>
  <c r="S51" i="38" s="1"/>
  <c r="G51" i="38"/>
  <c r="I51" i="38" s="1"/>
  <c r="Q50" i="38"/>
  <c r="S50" i="38" s="1"/>
  <c r="G50" i="38"/>
  <c r="I50" i="38" s="1"/>
  <c r="Q49" i="38"/>
  <c r="S49" i="38" s="1"/>
  <c r="G49" i="38"/>
  <c r="I49" i="38" s="1"/>
  <c r="Q48" i="38"/>
  <c r="S48" i="38" s="1"/>
  <c r="G48" i="38"/>
  <c r="I48" i="38" s="1"/>
  <c r="Q47" i="38"/>
  <c r="S47" i="38" s="1"/>
  <c r="G47" i="38"/>
  <c r="I47" i="38" s="1"/>
  <c r="Q46" i="38"/>
  <c r="S46" i="38" s="1"/>
  <c r="G46" i="38"/>
  <c r="I46" i="38" s="1"/>
  <c r="Q45" i="38"/>
  <c r="S45" i="38" s="1"/>
  <c r="G45" i="38"/>
  <c r="I45" i="38" s="1"/>
  <c r="Q44" i="38"/>
  <c r="S44" i="38" s="1"/>
  <c r="G44" i="38"/>
  <c r="I44" i="38" s="1"/>
  <c r="Q43" i="38"/>
  <c r="S43" i="38" s="1"/>
  <c r="G43" i="38"/>
  <c r="I43" i="38" s="1"/>
  <c r="Q42" i="38"/>
  <c r="S42" i="38" s="1"/>
  <c r="G42" i="38"/>
  <c r="I42" i="38" s="1"/>
  <c r="Q41" i="38"/>
  <c r="S41" i="38" s="1"/>
  <c r="G41" i="38"/>
  <c r="I41" i="38" s="1"/>
  <c r="Q40" i="38"/>
  <c r="S40" i="38" s="1"/>
  <c r="G40" i="38"/>
  <c r="I40" i="38" s="1"/>
  <c r="Q39" i="38"/>
  <c r="S39" i="38" s="1"/>
  <c r="G39" i="38"/>
  <c r="I39" i="38" s="1"/>
  <c r="B39" i="38"/>
  <c r="D39" i="38" s="1"/>
  <c r="Q38" i="38"/>
  <c r="S38" i="38" s="1"/>
  <c r="G38" i="38"/>
  <c r="I38" i="38" s="1"/>
  <c r="B38" i="38"/>
  <c r="D38" i="38" s="1"/>
  <c r="Q37" i="38"/>
  <c r="S37" i="38" s="1"/>
  <c r="G37" i="38"/>
  <c r="I37" i="38" s="1"/>
  <c r="B37" i="38"/>
  <c r="D37" i="38" s="1"/>
  <c r="Q36" i="38"/>
  <c r="S36" i="38" s="1"/>
  <c r="G36" i="38"/>
  <c r="I36" i="38" s="1"/>
  <c r="B36" i="38"/>
  <c r="D36" i="38" s="1"/>
  <c r="Q35" i="38"/>
  <c r="S35" i="38" s="1"/>
  <c r="G35" i="38"/>
  <c r="I35" i="38" s="1"/>
  <c r="B35" i="38"/>
  <c r="D35" i="38" s="1"/>
  <c r="Q34" i="38"/>
  <c r="S34" i="38" s="1"/>
  <c r="G34" i="38"/>
  <c r="I34" i="38" s="1"/>
  <c r="B34" i="38"/>
  <c r="D34" i="38" s="1"/>
  <c r="Q33" i="38"/>
  <c r="S33" i="38" s="1"/>
  <c r="G33" i="38"/>
  <c r="I33" i="38" s="1"/>
  <c r="B33" i="38"/>
  <c r="D33" i="38" s="1"/>
  <c r="Q32" i="38"/>
  <c r="S32" i="38" s="1"/>
  <c r="G32" i="38"/>
  <c r="I32" i="38" s="1"/>
  <c r="B32" i="38"/>
  <c r="D32" i="38" s="1"/>
  <c r="Q31" i="38"/>
  <c r="S31" i="38" s="1"/>
  <c r="G31" i="38"/>
  <c r="I31" i="38" s="1"/>
  <c r="B31" i="38"/>
  <c r="D31" i="38" s="1"/>
  <c r="Q30" i="38"/>
  <c r="S30" i="38" s="1"/>
  <c r="L30" i="38"/>
  <c r="N30" i="38" s="1"/>
  <c r="G30" i="38"/>
  <c r="I30" i="38" s="1"/>
  <c r="B30" i="38"/>
  <c r="D30" i="38" s="1"/>
  <c r="Q29" i="38"/>
  <c r="S29" i="38" s="1"/>
  <c r="L29" i="38"/>
  <c r="N29" i="38" s="1"/>
  <c r="G29" i="38"/>
  <c r="I29" i="38" s="1"/>
  <c r="B29" i="38"/>
  <c r="D29" i="38" s="1"/>
  <c r="Q28" i="38"/>
  <c r="S28" i="38" s="1"/>
  <c r="L28" i="38"/>
  <c r="N28" i="38" s="1"/>
  <c r="G28" i="38"/>
  <c r="I28" i="38" s="1"/>
  <c r="B28" i="38"/>
  <c r="D28" i="38" s="1"/>
  <c r="Q27" i="38"/>
  <c r="S27" i="38" s="1"/>
  <c r="L27" i="38"/>
  <c r="N27" i="38" s="1"/>
  <c r="G27" i="38"/>
  <c r="I27" i="38" s="1"/>
  <c r="B27" i="38"/>
  <c r="D27" i="38" s="1"/>
  <c r="Q26" i="38"/>
  <c r="S26" i="38" s="1"/>
  <c r="L26" i="38"/>
  <c r="N26" i="38" s="1"/>
  <c r="G26" i="38"/>
  <c r="I26" i="38" s="1"/>
  <c r="B26" i="38"/>
  <c r="D26" i="38" s="1"/>
  <c r="Q25" i="38"/>
  <c r="S25" i="38" s="1"/>
  <c r="L25" i="38"/>
  <c r="N25" i="38" s="1"/>
  <c r="G25" i="38"/>
  <c r="I25" i="38" s="1"/>
  <c r="B25" i="38"/>
  <c r="D25" i="38" s="1"/>
  <c r="Q24" i="38"/>
  <c r="S24" i="38" s="1"/>
  <c r="L24" i="38"/>
  <c r="N24" i="38" s="1"/>
  <c r="G24" i="38"/>
  <c r="I24" i="38" s="1"/>
  <c r="B24" i="38"/>
  <c r="D24" i="38" s="1"/>
  <c r="Q23" i="38"/>
  <c r="S23" i="38" s="1"/>
  <c r="L23" i="38"/>
  <c r="N23" i="38" s="1"/>
  <c r="G23" i="38"/>
  <c r="I23" i="38" s="1"/>
  <c r="B23" i="38"/>
  <c r="D23" i="38" s="1"/>
  <c r="Q22" i="38"/>
  <c r="S22" i="38" s="1"/>
  <c r="L22" i="38"/>
  <c r="N22" i="38" s="1"/>
  <c r="G22" i="38"/>
  <c r="I22" i="38" s="1"/>
  <c r="B22" i="38"/>
  <c r="D22" i="38" s="1"/>
  <c r="Q21" i="38"/>
  <c r="S21" i="38" s="1"/>
  <c r="L21" i="38"/>
  <c r="N21" i="38" s="1"/>
  <c r="G21" i="38"/>
  <c r="I21" i="38" s="1"/>
  <c r="B21" i="38"/>
  <c r="D21" i="38" s="1"/>
  <c r="Q20" i="38"/>
  <c r="S20" i="38" s="1"/>
  <c r="L20" i="38"/>
  <c r="N20" i="38" s="1"/>
  <c r="G20" i="38"/>
  <c r="I20" i="38" s="1"/>
  <c r="B20" i="38"/>
  <c r="D20" i="38" s="1"/>
  <c r="Q19" i="38"/>
  <c r="S19" i="38" s="1"/>
  <c r="L19" i="38"/>
  <c r="N19" i="38" s="1"/>
  <c r="G19" i="38"/>
  <c r="I19" i="38" s="1"/>
  <c r="B19" i="38"/>
  <c r="D19" i="38" s="1"/>
  <c r="Q18" i="38"/>
  <c r="S18" i="38" s="1"/>
  <c r="L18" i="38"/>
  <c r="N18" i="38" s="1"/>
  <c r="G18" i="38"/>
  <c r="I18" i="38" s="1"/>
  <c r="B18" i="38"/>
  <c r="D18" i="38" s="1"/>
  <c r="Q17" i="38"/>
  <c r="S17" i="38" s="1"/>
  <c r="L17" i="38"/>
  <c r="N17" i="38" s="1"/>
  <c r="G17" i="38"/>
  <c r="I17" i="38" s="1"/>
  <c r="B17" i="38"/>
  <c r="D17" i="38" s="1"/>
  <c r="Q16" i="38"/>
  <c r="S16" i="38" s="1"/>
  <c r="L16" i="38"/>
  <c r="N16" i="38" s="1"/>
  <c r="G16" i="38"/>
  <c r="I16" i="38" s="1"/>
  <c r="B16" i="38"/>
  <c r="D16" i="38" s="1"/>
  <c r="Q15" i="38"/>
  <c r="S15" i="38" s="1"/>
  <c r="L15" i="38"/>
  <c r="N15" i="38" s="1"/>
  <c r="G15" i="38"/>
  <c r="I15" i="38" s="1"/>
  <c r="B15" i="38"/>
  <c r="D15" i="38" s="1"/>
  <c r="Q14" i="38"/>
  <c r="S14" i="38" s="1"/>
  <c r="L14" i="38"/>
  <c r="N14" i="38" s="1"/>
  <c r="G14" i="38"/>
  <c r="I14" i="38" s="1"/>
  <c r="B14" i="38"/>
  <c r="D14" i="38" s="1"/>
  <c r="Q13" i="38"/>
  <c r="S13" i="38" s="1"/>
  <c r="L13" i="38"/>
  <c r="N13" i="38" s="1"/>
  <c r="G13" i="38"/>
  <c r="I13" i="38" s="1"/>
  <c r="B13" i="38"/>
  <c r="D13" i="38" s="1"/>
  <c r="Q12" i="38"/>
  <c r="S12" i="38" s="1"/>
  <c r="L12" i="38"/>
  <c r="N12" i="38" s="1"/>
  <c r="G12" i="38"/>
  <c r="I12" i="38" s="1"/>
  <c r="B12" i="38"/>
  <c r="D12" i="38" s="1"/>
  <c r="Q11" i="38"/>
  <c r="S11" i="38" s="1"/>
  <c r="L11" i="38"/>
  <c r="N11" i="38" s="1"/>
  <c r="G11" i="38"/>
  <c r="I11" i="38" s="1"/>
  <c r="B11" i="38"/>
  <c r="D11" i="38" s="1"/>
  <c r="Q10" i="38"/>
  <c r="S10" i="38" s="1"/>
  <c r="L10" i="38"/>
  <c r="N10" i="38" s="1"/>
  <c r="G10" i="38"/>
  <c r="I10" i="38" s="1"/>
  <c r="B10" i="38"/>
  <c r="D10" i="38" s="1"/>
  <c r="F6" i="38"/>
  <c r="G5" i="38"/>
  <c r="S4" i="38"/>
  <c r="T6" i="38" s="1"/>
  <c r="F4" i="38"/>
  <c r="D4" i="38"/>
  <c r="N4" i="38" s="1"/>
  <c r="C4" i="38"/>
  <c r="S3" i="38"/>
  <c r="T5" i="38" s="1"/>
  <c r="J3" i="38"/>
  <c r="L64" i="38" s="1"/>
  <c r="N64" i="38" s="1"/>
  <c r="D3" i="38"/>
  <c r="Q2" i="38"/>
  <c r="S2" i="38" s="1"/>
  <c r="T2" i="38" s="1"/>
  <c r="F2" i="38"/>
  <c r="E2" i="38"/>
  <c r="D2" i="38"/>
  <c r="C2" i="38"/>
  <c r="Q1" i="38"/>
  <c r="S1" i="38" s="1"/>
  <c r="T1" i="38" s="1"/>
  <c r="F16" i="37"/>
  <c r="L10" i="37"/>
  <c r="N5" i="48" l="1"/>
  <c r="G2" i="48"/>
  <c r="H3" i="48" s="1"/>
  <c r="Q12" i="48"/>
  <c r="S12" i="48" s="1"/>
  <c r="B15" i="48"/>
  <c r="D15" i="48" s="1"/>
  <c r="Q18" i="48"/>
  <c r="S18" i="48" s="1"/>
  <c r="B21" i="48"/>
  <c r="D21" i="48" s="1"/>
  <c r="Q24" i="48"/>
  <c r="S24" i="48" s="1"/>
  <c r="B27" i="48"/>
  <c r="D27" i="48" s="1"/>
  <c r="Q30" i="48"/>
  <c r="S30" i="48" s="1"/>
  <c r="B33" i="48"/>
  <c r="D33" i="48" s="1"/>
  <c r="Q36" i="48"/>
  <c r="S36" i="48" s="1"/>
  <c r="B39" i="48"/>
  <c r="D39" i="48" s="1"/>
  <c r="B41" i="48"/>
  <c r="D41" i="48" s="1"/>
  <c r="L43" i="48"/>
  <c r="N43" i="48" s="1"/>
  <c r="L45" i="48"/>
  <c r="N45" i="48" s="1"/>
  <c r="B48" i="48"/>
  <c r="D48" i="48" s="1"/>
  <c r="B50" i="48"/>
  <c r="D50" i="48" s="1"/>
  <c r="L52" i="48"/>
  <c r="N52" i="48" s="1"/>
  <c r="L54" i="48"/>
  <c r="N54" i="48" s="1"/>
  <c r="L59" i="48"/>
  <c r="N59" i="48" s="1"/>
  <c r="L63" i="48"/>
  <c r="N63" i="48" s="1"/>
  <c r="M4" i="48"/>
  <c r="B11" i="48"/>
  <c r="D11" i="48" s="1"/>
  <c r="B17" i="48"/>
  <c r="D17" i="48" s="1"/>
  <c r="B23" i="48"/>
  <c r="D23" i="48" s="1"/>
  <c r="B29" i="48"/>
  <c r="D29" i="48" s="1"/>
  <c r="Q64" i="48"/>
  <c r="S64" i="48" s="1"/>
  <c r="Q61" i="48"/>
  <c r="S61" i="48" s="1"/>
  <c r="Q58" i="48"/>
  <c r="S58" i="48" s="1"/>
  <c r="Q55" i="48"/>
  <c r="S55" i="48" s="1"/>
  <c r="Q53" i="48"/>
  <c r="S53" i="48" s="1"/>
  <c r="G52" i="48"/>
  <c r="I52" i="48" s="1"/>
  <c r="Q50" i="48"/>
  <c r="S50" i="48" s="1"/>
  <c r="G49" i="48"/>
  <c r="I49" i="48" s="1"/>
  <c r="Q47" i="48"/>
  <c r="S47" i="48" s="1"/>
  <c r="G46" i="48"/>
  <c r="I46" i="48" s="1"/>
  <c r="Q44" i="48"/>
  <c r="S44" i="48" s="1"/>
  <c r="G43" i="48"/>
  <c r="I43" i="48" s="1"/>
  <c r="Q41" i="48"/>
  <c r="S41" i="48" s="1"/>
  <c r="G40" i="48"/>
  <c r="I40" i="48" s="1"/>
  <c r="Q38" i="48"/>
  <c r="S38" i="48" s="1"/>
  <c r="G37" i="48"/>
  <c r="I37" i="48" s="1"/>
  <c r="Q35" i="48"/>
  <c r="S35" i="48" s="1"/>
  <c r="G34" i="48"/>
  <c r="I34" i="48" s="1"/>
  <c r="Q32" i="48"/>
  <c r="S32" i="48" s="1"/>
  <c r="G31" i="48"/>
  <c r="I31" i="48" s="1"/>
  <c r="Q29" i="48"/>
  <c r="S29" i="48" s="1"/>
  <c r="G28" i="48"/>
  <c r="I28" i="48" s="1"/>
  <c r="Q26" i="48"/>
  <c r="S26" i="48" s="1"/>
  <c r="G25" i="48"/>
  <c r="I25" i="48" s="1"/>
  <c r="Q23" i="48"/>
  <c r="S23" i="48" s="1"/>
  <c r="G22" i="48"/>
  <c r="I22" i="48" s="1"/>
  <c r="Q20" i="48"/>
  <c r="S20" i="48" s="1"/>
  <c r="G19" i="48"/>
  <c r="I19" i="48" s="1"/>
  <c r="Q17" i="48"/>
  <c r="S17" i="48" s="1"/>
  <c r="G16" i="48"/>
  <c r="I16" i="48" s="1"/>
  <c r="Q14" i="48"/>
  <c r="S14" i="48" s="1"/>
  <c r="G13" i="48"/>
  <c r="I13" i="48" s="1"/>
  <c r="Q11" i="48"/>
  <c r="S11" i="48" s="1"/>
  <c r="G10" i="48"/>
  <c r="L64" i="48"/>
  <c r="N64" i="48" s="1"/>
  <c r="L61" i="48"/>
  <c r="N61" i="48" s="1"/>
  <c r="L58" i="48"/>
  <c r="N58" i="48" s="1"/>
  <c r="L55" i="48"/>
  <c r="N55" i="48" s="1"/>
  <c r="L53" i="48"/>
  <c r="N53" i="48" s="1"/>
  <c r="B52" i="48"/>
  <c r="D52" i="48" s="1"/>
  <c r="L50" i="48"/>
  <c r="N50" i="48" s="1"/>
  <c r="B49" i="48"/>
  <c r="D49" i="48" s="1"/>
  <c r="L47" i="48"/>
  <c r="N47" i="48" s="1"/>
  <c r="B46" i="48"/>
  <c r="D46" i="48" s="1"/>
  <c r="L44" i="48"/>
  <c r="N44" i="48" s="1"/>
  <c r="B43" i="48"/>
  <c r="D43" i="48" s="1"/>
  <c r="L41" i="48"/>
  <c r="N41" i="48" s="1"/>
  <c r="B40" i="48"/>
  <c r="D40" i="48" s="1"/>
  <c r="B13" i="48"/>
  <c r="D13" i="48" s="1"/>
  <c r="G15" i="48"/>
  <c r="I15" i="48" s="1"/>
  <c r="B19" i="48"/>
  <c r="D19" i="48" s="1"/>
  <c r="G21" i="48"/>
  <c r="I21" i="48" s="1"/>
  <c r="B25" i="48"/>
  <c r="D25" i="48" s="1"/>
  <c r="G27" i="48"/>
  <c r="I27" i="48" s="1"/>
  <c r="B31" i="48"/>
  <c r="D31" i="48" s="1"/>
  <c r="G33" i="48"/>
  <c r="I33" i="48" s="1"/>
  <c r="B37" i="48"/>
  <c r="D37" i="48" s="1"/>
  <c r="G39" i="48"/>
  <c r="I39" i="48" s="1"/>
  <c r="G41" i="48"/>
  <c r="I41" i="48" s="1"/>
  <c r="Q43" i="48"/>
  <c r="S43" i="48" s="1"/>
  <c r="Q45" i="48"/>
  <c r="S45" i="48" s="1"/>
  <c r="G48" i="48"/>
  <c r="I48" i="48" s="1"/>
  <c r="G50" i="48"/>
  <c r="I50" i="48" s="1"/>
  <c r="Q52" i="48"/>
  <c r="S52" i="48" s="1"/>
  <c r="Q54" i="48"/>
  <c r="S54" i="48" s="1"/>
  <c r="Q59" i="48"/>
  <c r="S59" i="48" s="1"/>
  <c r="Q63" i="48"/>
  <c r="S63" i="48" s="1"/>
  <c r="G4" i="48"/>
  <c r="N10" i="48"/>
  <c r="G11" i="48"/>
  <c r="I11" i="48" s="1"/>
  <c r="L13" i="48"/>
  <c r="N13" i="48" s="1"/>
  <c r="G17" i="48"/>
  <c r="I17" i="48" s="1"/>
  <c r="L19" i="48"/>
  <c r="N19" i="48" s="1"/>
  <c r="G23" i="48"/>
  <c r="I23" i="48" s="1"/>
  <c r="L25" i="48"/>
  <c r="N25" i="48" s="1"/>
  <c r="G29" i="48"/>
  <c r="I29" i="48" s="1"/>
  <c r="L31" i="48"/>
  <c r="N31" i="48" s="1"/>
  <c r="G35" i="48"/>
  <c r="I35" i="48" s="1"/>
  <c r="L37" i="48"/>
  <c r="N37" i="48" s="1"/>
  <c r="M5" i="47"/>
  <c r="G2" i="47"/>
  <c r="H3" i="47" s="1"/>
  <c r="M4" i="47"/>
  <c r="G4" i="47"/>
  <c r="E6" i="47"/>
  <c r="F6" i="47"/>
  <c r="B43" i="47"/>
  <c r="D43" i="47" s="1"/>
  <c r="G45" i="47"/>
  <c r="I45" i="47" s="1"/>
  <c r="B49" i="47"/>
  <c r="D49" i="47" s="1"/>
  <c r="G51" i="47"/>
  <c r="I51" i="47" s="1"/>
  <c r="L55" i="47"/>
  <c r="N55" i="47" s="1"/>
  <c r="Q59" i="47"/>
  <c r="S59" i="47" s="1"/>
  <c r="Q10" i="47"/>
  <c r="L12" i="47"/>
  <c r="N12" i="47" s="1"/>
  <c r="G14" i="47"/>
  <c r="I14" i="47" s="1"/>
  <c r="B16" i="47"/>
  <c r="D16" i="47" s="1"/>
  <c r="B18" i="47"/>
  <c r="D18" i="47" s="1"/>
  <c r="Q19" i="47"/>
  <c r="S19" i="47" s="1"/>
  <c r="L21" i="47"/>
  <c r="N21" i="47" s="1"/>
  <c r="G23" i="47"/>
  <c r="I23" i="47" s="1"/>
  <c r="B25" i="47"/>
  <c r="D25" i="47" s="1"/>
  <c r="B27" i="47"/>
  <c r="D27" i="47" s="1"/>
  <c r="Q28" i="47"/>
  <c r="S28" i="47" s="1"/>
  <c r="L30" i="47"/>
  <c r="N30" i="47" s="1"/>
  <c r="G32" i="47"/>
  <c r="I32" i="47" s="1"/>
  <c r="B34" i="47"/>
  <c r="D34" i="47" s="1"/>
  <c r="B36" i="47"/>
  <c r="D36" i="47" s="1"/>
  <c r="Q37" i="47"/>
  <c r="S37" i="47" s="1"/>
  <c r="L39" i="47"/>
  <c r="N39" i="47" s="1"/>
  <c r="G41" i="47"/>
  <c r="I41" i="47" s="1"/>
  <c r="L43" i="47"/>
  <c r="N43" i="47" s="1"/>
  <c r="G47" i="47"/>
  <c r="I47" i="47" s="1"/>
  <c r="L49" i="47"/>
  <c r="N49" i="47" s="1"/>
  <c r="G53" i="47"/>
  <c r="I53" i="47" s="1"/>
  <c r="L56" i="47"/>
  <c r="N56" i="47" s="1"/>
  <c r="D6" i="47"/>
  <c r="Q64" i="47"/>
  <c r="S64" i="47" s="1"/>
  <c r="Q61" i="47"/>
  <c r="S61" i="47" s="1"/>
  <c r="Q58" i="47"/>
  <c r="S58" i="47" s="1"/>
  <c r="Q55" i="47"/>
  <c r="S55" i="47" s="1"/>
  <c r="Q53" i="47"/>
  <c r="S53" i="47" s="1"/>
  <c r="G52" i="47"/>
  <c r="I52" i="47" s="1"/>
  <c r="Q50" i="47"/>
  <c r="S50" i="47" s="1"/>
  <c r="G49" i="47"/>
  <c r="I49" i="47" s="1"/>
  <c r="Q47" i="47"/>
  <c r="S47" i="47" s="1"/>
  <c r="G46" i="47"/>
  <c r="I46" i="47" s="1"/>
  <c r="Q44" i="47"/>
  <c r="S44" i="47" s="1"/>
  <c r="G43" i="47"/>
  <c r="I43" i="47" s="1"/>
  <c r="Q41" i="47"/>
  <c r="S41" i="47" s="1"/>
  <c r="G40" i="47"/>
  <c r="I40" i="47" s="1"/>
  <c r="Q38" i="47"/>
  <c r="S38" i="47" s="1"/>
  <c r="G37" i="47"/>
  <c r="I37" i="47" s="1"/>
  <c r="Q35" i="47"/>
  <c r="S35" i="47" s="1"/>
  <c r="G34" i="47"/>
  <c r="I34" i="47" s="1"/>
  <c r="Q32" i="47"/>
  <c r="S32" i="47" s="1"/>
  <c r="G31" i="47"/>
  <c r="I31" i="47" s="1"/>
  <c r="Q29" i="47"/>
  <c r="S29" i="47" s="1"/>
  <c r="G28" i="47"/>
  <c r="I28" i="47" s="1"/>
  <c r="Q26" i="47"/>
  <c r="S26" i="47" s="1"/>
  <c r="G25" i="47"/>
  <c r="I25" i="47" s="1"/>
  <c r="Q23" i="47"/>
  <c r="S23" i="47" s="1"/>
  <c r="G22" i="47"/>
  <c r="I22" i="47" s="1"/>
  <c r="Q20" i="47"/>
  <c r="S20" i="47" s="1"/>
  <c r="G19" i="47"/>
  <c r="I19" i="47" s="1"/>
  <c r="Q17" i="47"/>
  <c r="S17" i="47" s="1"/>
  <c r="G16" i="47"/>
  <c r="I16" i="47" s="1"/>
  <c r="Q14" i="47"/>
  <c r="S14" i="47" s="1"/>
  <c r="G13" i="47"/>
  <c r="I13" i="47" s="1"/>
  <c r="Q11" i="47"/>
  <c r="S11" i="47" s="1"/>
  <c r="G10" i="47"/>
  <c r="L45" i="47"/>
  <c r="N45" i="47" s="1"/>
  <c r="L51" i="47"/>
  <c r="N51" i="47" s="1"/>
  <c r="L60" i="47"/>
  <c r="N60" i="47" s="1"/>
  <c r="B11" i="47"/>
  <c r="D11" i="47" s="1"/>
  <c r="Q12" i="47"/>
  <c r="S12" i="47" s="1"/>
  <c r="L14" i="47"/>
  <c r="N14" i="47" s="1"/>
  <c r="L16" i="47"/>
  <c r="N16" i="47" s="1"/>
  <c r="G18" i="47"/>
  <c r="I18" i="47" s="1"/>
  <c r="B20" i="47"/>
  <c r="D20" i="47" s="1"/>
  <c r="Q21" i="47"/>
  <c r="S21" i="47" s="1"/>
  <c r="L23" i="47"/>
  <c r="N23" i="47" s="1"/>
  <c r="L25" i="47"/>
  <c r="N25" i="47" s="1"/>
  <c r="G27" i="47"/>
  <c r="I27" i="47" s="1"/>
  <c r="B29" i="47"/>
  <c r="D29" i="47" s="1"/>
  <c r="Q30" i="47"/>
  <c r="S30" i="47" s="1"/>
  <c r="L32" i="47"/>
  <c r="N32" i="47" s="1"/>
  <c r="L34" i="47"/>
  <c r="N34" i="47" s="1"/>
  <c r="G36" i="47"/>
  <c r="I36" i="47" s="1"/>
  <c r="B38" i="47"/>
  <c r="D38" i="47" s="1"/>
  <c r="Q39" i="47"/>
  <c r="S39" i="47" s="1"/>
  <c r="L41" i="47"/>
  <c r="N41" i="47" s="1"/>
  <c r="Q43" i="47"/>
  <c r="S43" i="47" s="1"/>
  <c r="L47" i="47"/>
  <c r="N47" i="47" s="1"/>
  <c r="Q49" i="47"/>
  <c r="S49" i="47" s="1"/>
  <c r="L53" i="47"/>
  <c r="N53" i="47" s="1"/>
  <c r="Q56" i="47"/>
  <c r="S56" i="47" s="1"/>
  <c r="L64" i="47"/>
  <c r="N64" i="47" s="1"/>
  <c r="G2" i="46"/>
  <c r="H3" i="46" s="1"/>
  <c r="L10" i="46"/>
  <c r="B12" i="46"/>
  <c r="D12" i="46" s="1"/>
  <c r="L13" i="46"/>
  <c r="N13" i="46" s="1"/>
  <c r="B15" i="46"/>
  <c r="D15" i="46" s="1"/>
  <c r="L16" i="46"/>
  <c r="N16" i="46" s="1"/>
  <c r="B18" i="46"/>
  <c r="D18" i="46" s="1"/>
  <c r="L19" i="46"/>
  <c r="N19" i="46" s="1"/>
  <c r="B21" i="46"/>
  <c r="D21" i="46" s="1"/>
  <c r="L22" i="46"/>
  <c r="N22" i="46" s="1"/>
  <c r="B24" i="46"/>
  <c r="D24" i="46" s="1"/>
  <c r="L25" i="46"/>
  <c r="N25" i="46" s="1"/>
  <c r="B27" i="46"/>
  <c r="D27" i="46" s="1"/>
  <c r="L28" i="46"/>
  <c r="N28" i="46" s="1"/>
  <c r="B30" i="46"/>
  <c r="D30" i="46" s="1"/>
  <c r="L31" i="46"/>
  <c r="N31" i="46" s="1"/>
  <c r="B33" i="46"/>
  <c r="D33" i="46" s="1"/>
  <c r="L34" i="46"/>
  <c r="N34" i="46" s="1"/>
  <c r="B36" i="46"/>
  <c r="D36" i="46" s="1"/>
  <c r="L37" i="46"/>
  <c r="N37" i="46" s="1"/>
  <c r="B39" i="46"/>
  <c r="D39" i="46" s="1"/>
  <c r="L40" i="46"/>
  <c r="N40" i="46" s="1"/>
  <c r="B42" i="46"/>
  <c r="D42" i="46" s="1"/>
  <c r="L43" i="46"/>
  <c r="N43" i="46" s="1"/>
  <c r="B45" i="46"/>
  <c r="D45" i="46" s="1"/>
  <c r="L46" i="46"/>
  <c r="N46" i="46" s="1"/>
  <c r="B48" i="46"/>
  <c r="D48" i="46" s="1"/>
  <c r="L49" i="46"/>
  <c r="N49" i="46" s="1"/>
  <c r="B51" i="46"/>
  <c r="D51" i="46" s="1"/>
  <c r="L52" i="46"/>
  <c r="N52" i="46" s="1"/>
  <c r="B54" i="46"/>
  <c r="D54" i="46" s="1"/>
  <c r="L56" i="46"/>
  <c r="N56" i="46" s="1"/>
  <c r="L59" i="46"/>
  <c r="N59" i="46" s="1"/>
  <c r="L62" i="46"/>
  <c r="N62" i="46" s="1"/>
  <c r="Q10" i="46"/>
  <c r="G12" i="46"/>
  <c r="I12" i="46" s="1"/>
  <c r="Q13" i="46"/>
  <c r="S13" i="46" s="1"/>
  <c r="G15" i="46"/>
  <c r="I15" i="46" s="1"/>
  <c r="Q16" i="46"/>
  <c r="S16" i="46" s="1"/>
  <c r="G18" i="46"/>
  <c r="I18" i="46" s="1"/>
  <c r="Q19" i="46"/>
  <c r="S19" i="46" s="1"/>
  <c r="G21" i="46"/>
  <c r="I21" i="46" s="1"/>
  <c r="Q22" i="46"/>
  <c r="S22" i="46" s="1"/>
  <c r="G24" i="46"/>
  <c r="I24" i="46" s="1"/>
  <c r="Q25" i="46"/>
  <c r="S25" i="46" s="1"/>
  <c r="G27" i="46"/>
  <c r="I27" i="46" s="1"/>
  <c r="Q28" i="46"/>
  <c r="S28" i="46" s="1"/>
  <c r="G30" i="46"/>
  <c r="I30" i="46" s="1"/>
  <c r="Q31" i="46"/>
  <c r="S31" i="46" s="1"/>
  <c r="G33" i="46"/>
  <c r="I33" i="46" s="1"/>
  <c r="Q34" i="46"/>
  <c r="S34" i="46" s="1"/>
  <c r="G36" i="46"/>
  <c r="I36" i="46" s="1"/>
  <c r="Q37" i="46"/>
  <c r="S37" i="46" s="1"/>
  <c r="G39" i="46"/>
  <c r="I39" i="46" s="1"/>
  <c r="Q40" i="46"/>
  <c r="S40" i="46" s="1"/>
  <c r="G42" i="46"/>
  <c r="I42" i="46" s="1"/>
  <c r="Q43" i="46"/>
  <c r="S43" i="46" s="1"/>
  <c r="G45" i="46"/>
  <c r="I45" i="46" s="1"/>
  <c r="Q46" i="46"/>
  <c r="S46" i="46" s="1"/>
  <c r="G48" i="46"/>
  <c r="I48" i="46" s="1"/>
  <c r="Q49" i="46"/>
  <c r="S49" i="46" s="1"/>
  <c r="G51" i="46"/>
  <c r="I51" i="46" s="1"/>
  <c r="Q52" i="46"/>
  <c r="S52" i="46" s="1"/>
  <c r="G54" i="46"/>
  <c r="I54" i="46" s="1"/>
  <c r="Q56" i="46"/>
  <c r="S56" i="46" s="1"/>
  <c r="Q59" i="46"/>
  <c r="S59" i="46" s="1"/>
  <c r="Q62" i="46"/>
  <c r="S62" i="46" s="1"/>
  <c r="C4" i="46"/>
  <c r="D4" i="46"/>
  <c r="B11" i="46"/>
  <c r="D11" i="46" s="1"/>
  <c r="L12" i="46"/>
  <c r="N12" i="46" s="1"/>
  <c r="B14" i="46"/>
  <c r="D14" i="46" s="1"/>
  <c r="L15" i="46"/>
  <c r="N15" i="46" s="1"/>
  <c r="B17" i="46"/>
  <c r="D17" i="46" s="1"/>
  <c r="L18" i="46"/>
  <c r="N18" i="46" s="1"/>
  <c r="B20" i="46"/>
  <c r="D20" i="46" s="1"/>
  <c r="L21" i="46"/>
  <c r="N21" i="46" s="1"/>
  <c r="B23" i="46"/>
  <c r="D23" i="46" s="1"/>
  <c r="L24" i="46"/>
  <c r="N24" i="46" s="1"/>
  <c r="B26" i="46"/>
  <c r="D26" i="46" s="1"/>
  <c r="L27" i="46"/>
  <c r="N27" i="46" s="1"/>
  <c r="B29" i="46"/>
  <c r="D29" i="46" s="1"/>
  <c r="L30" i="46"/>
  <c r="N30" i="46" s="1"/>
  <c r="B32" i="46"/>
  <c r="D32" i="46" s="1"/>
  <c r="L33" i="46"/>
  <c r="N33" i="46" s="1"/>
  <c r="B35" i="46"/>
  <c r="D35" i="46" s="1"/>
  <c r="L36" i="46"/>
  <c r="N36" i="46" s="1"/>
  <c r="B38" i="46"/>
  <c r="D38" i="46" s="1"/>
  <c r="L39" i="46"/>
  <c r="N39" i="46" s="1"/>
  <c r="B41" i="46"/>
  <c r="D41" i="46" s="1"/>
  <c r="L42" i="46"/>
  <c r="N42" i="46" s="1"/>
  <c r="B44" i="46"/>
  <c r="D44" i="46" s="1"/>
  <c r="L45" i="46"/>
  <c r="N45" i="46" s="1"/>
  <c r="B47" i="46"/>
  <c r="D47" i="46" s="1"/>
  <c r="L48" i="46"/>
  <c r="N48" i="46" s="1"/>
  <c r="B50" i="46"/>
  <c r="D50" i="46" s="1"/>
  <c r="L51" i="46"/>
  <c r="N51" i="46" s="1"/>
  <c r="B53" i="46"/>
  <c r="D53" i="46" s="1"/>
  <c r="L54" i="46"/>
  <c r="N54" i="46" s="1"/>
  <c r="L57" i="46"/>
  <c r="N57" i="46" s="1"/>
  <c r="L60" i="46"/>
  <c r="N60" i="46" s="1"/>
  <c r="L63" i="46"/>
  <c r="N63" i="46" s="1"/>
  <c r="E4" i="46"/>
  <c r="F4" i="46"/>
  <c r="G11" i="46"/>
  <c r="I11" i="46" s="1"/>
  <c r="Q12" i="46"/>
  <c r="S12" i="46" s="1"/>
  <c r="G14" i="46"/>
  <c r="I14" i="46" s="1"/>
  <c r="Q15" i="46"/>
  <c r="S15" i="46" s="1"/>
  <c r="G17" i="46"/>
  <c r="I17" i="46" s="1"/>
  <c r="Q18" i="46"/>
  <c r="S18" i="46" s="1"/>
  <c r="G20" i="46"/>
  <c r="I20" i="46" s="1"/>
  <c r="Q21" i="46"/>
  <c r="S21" i="46" s="1"/>
  <c r="G23" i="46"/>
  <c r="I23" i="46" s="1"/>
  <c r="Q24" i="46"/>
  <c r="S24" i="46" s="1"/>
  <c r="G26" i="46"/>
  <c r="I26" i="46" s="1"/>
  <c r="Q27" i="46"/>
  <c r="S27" i="46" s="1"/>
  <c r="G29" i="46"/>
  <c r="I29" i="46" s="1"/>
  <c r="Q30" i="46"/>
  <c r="S30" i="46" s="1"/>
  <c r="G32" i="46"/>
  <c r="I32" i="46" s="1"/>
  <c r="Q33" i="46"/>
  <c r="S33" i="46" s="1"/>
  <c r="G35" i="46"/>
  <c r="I35" i="46" s="1"/>
  <c r="Q36" i="46"/>
  <c r="S36" i="46" s="1"/>
  <c r="G38" i="46"/>
  <c r="I38" i="46" s="1"/>
  <c r="Q39" i="46"/>
  <c r="S39" i="46" s="1"/>
  <c r="G41" i="46"/>
  <c r="I41" i="46" s="1"/>
  <c r="Q42" i="46"/>
  <c r="S42" i="46" s="1"/>
  <c r="G44" i="46"/>
  <c r="I44" i="46" s="1"/>
  <c r="Q45" i="46"/>
  <c r="S45" i="46" s="1"/>
  <c r="G47" i="46"/>
  <c r="I47" i="46" s="1"/>
  <c r="Q48" i="46"/>
  <c r="S48" i="46" s="1"/>
  <c r="G50" i="46"/>
  <c r="I50" i="46" s="1"/>
  <c r="Q51" i="46"/>
  <c r="S51" i="46" s="1"/>
  <c r="G53" i="46"/>
  <c r="I53" i="46" s="1"/>
  <c r="Q54" i="46"/>
  <c r="S54" i="46" s="1"/>
  <c r="Q57" i="46"/>
  <c r="S57" i="46" s="1"/>
  <c r="Q60" i="46"/>
  <c r="S60" i="46" s="1"/>
  <c r="Q63" i="46"/>
  <c r="S63" i="46" s="1"/>
  <c r="B10" i="46"/>
  <c r="L11" i="46"/>
  <c r="N11" i="46" s="1"/>
  <c r="B13" i="46"/>
  <c r="D13" i="46" s="1"/>
  <c r="L14" i="46"/>
  <c r="N14" i="46" s="1"/>
  <c r="B16" i="46"/>
  <c r="D16" i="46" s="1"/>
  <c r="L17" i="46"/>
  <c r="N17" i="46" s="1"/>
  <c r="B19" i="46"/>
  <c r="D19" i="46" s="1"/>
  <c r="L20" i="46"/>
  <c r="N20" i="46" s="1"/>
  <c r="B22" i="46"/>
  <c r="D22" i="46" s="1"/>
  <c r="L23" i="46"/>
  <c r="N23" i="46" s="1"/>
  <c r="B25" i="46"/>
  <c r="D25" i="46" s="1"/>
  <c r="L26" i="46"/>
  <c r="N26" i="46" s="1"/>
  <c r="B28" i="46"/>
  <c r="D28" i="46" s="1"/>
  <c r="L29" i="46"/>
  <c r="N29" i="46" s="1"/>
  <c r="B31" i="46"/>
  <c r="D31" i="46" s="1"/>
  <c r="L32" i="46"/>
  <c r="N32" i="46" s="1"/>
  <c r="B34" i="46"/>
  <c r="D34" i="46" s="1"/>
  <c r="L35" i="46"/>
  <c r="N35" i="46" s="1"/>
  <c r="B37" i="46"/>
  <c r="D37" i="46" s="1"/>
  <c r="L38" i="46"/>
  <c r="N38" i="46" s="1"/>
  <c r="B40" i="46"/>
  <c r="D40" i="46" s="1"/>
  <c r="L41" i="46"/>
  <c r="N41" i="46" s="1"/>
  <c r="B43" i="46"/>
  <c r="D43" i="46" s="1"/>
  <c r="L44" i="46"/>
  <c r="N44" i="46" s="1"/>
  <c r="B46" i="46"/>
  <c r="D46" i="46" s="1"/>
  <c r="L47" i="46"/>
  <c r="N47" i="46" s="1"/>
  <c r="B49" i="46"/>
  <c r="D49" i="46" s="1"/>
  <c r="L50" i="46"/>
  <c r="N50" i="46" s="1"/>
  <c r="B52" i="46"/>
  <c r="D52" i="46" s="1"/>
  <c r="L53" i="46"/>
  <c r="N53" i="46" s="1"/>
  <c r="L55" i="46"/>
  <c r="N55" i="46" s="1"/>
  <c r="L58" i="46"/>
  <c r="N58" i="46" s="1"/>
  <c r="L61" i="46"/>
  <c r="N61" i="46" s="1"/>
  <c r="L64" i="46"/>
  <c r="N64" i="46" s="1"/>
  <c r="G10" i="46"/>
  <c r="Q11" i="46"/>
  <c r="S11" i="46" s="1"/>
  <c r="G13" i="46"/>
  <c r="I13" i="46" s="1"/>
  <c r="Q14" i="46"/>
  <c r="S14" i="46" s="1"/>
  <c r="G16" i="46"/>
  <c r="I16" i="46" s="1"/>
  <c r="Q17" i="46"/>
  <c r="S17" i="46" s="1"/>
  <c r="G19" i="46"/>
  <c r="I19" i="46" s="1"/>
  <c r="Q20" i="46"/>
  <c r="S20" i="46" s="1"/>
  <c r="G22" i="46"/>
  <c r="I22" i="46" s="1"/>
  <c r="Q23" i="46"/>
  <c r="S23" i="46" s="1"/>
  <c r="G25" i="46"/>
  <c r="I25" i="46" s="1"/>
  <c r="Q26" i="46"/>
  <c r="S26" i="46" s="1"/>
  <c r="G28" i="46"/>
  <c r="I28" i="46" s="1"/>
  <c r="Q29" i="46"/>
  <c r="S29" i="46" s="1"/>
  <c r="G31" i="46"/>
  <c r="I31" i="46" s="1"/>
  <c r="Q32" i="46"/>
  <c r="S32" i="46" s="1"/>
  <c r="G34" i="46"/>
  <c r="I34" i="46" s="1"/>
  <c r="Q35" i="46"/>
  <c r="S35" i="46" s="1"/>
  <c r="G37" i="46"/>
  <c r="I37" i="46" s="1"/>
  <c r="Q38" i="46"/>
  <c r="S38" i="46" s="1"/>
  <c r="G40" i="46"/>
  <c r="I40" i="46" s="1"/>
  <c r="Q41" i="46"/>
  <c r="S41" i="46" s="1"/>
  <c r="G43" i="46"/>
  <c r="I43" i="46" s="1"/>
  <c r="Q44" i="46"/>
  <c r="S44" i="46" s="1"/>
  <c r="G46" i="46"/>
  <c r="I46" i="46" s="1"/>
  <c r="Q47" i="46"/>
  <c r="S47" i="46" s="1"/>
  <c r="G49" i="46"/>
  <c r="I49" i="46" s="1"/>
  <c r="Q50" i="46"/>
  <c r="S50" i="46" s="1"/>
  <c r="G52" i="46"/>
  <c r="I52" i="46" s="1"/>
  <c r="Q53" i="46"/>
  <c r="S53" i="46" s="1"/>
  <c r="Q55" i="46"/>
  <c r="S55" i="46" s="1"/>
  <c r="Q58" i="46"/>
  <c r="S58" i="46" s="1"/>
  <c r="Q61" i="46"/>
  <c r="S61" i="46" s="1"/>
  <c r="G2" i="43"/>
  <c r="H3" i="43" s="1"/>
  <c r="N4" i="45"/>
  <c r="D6" i="45"/>
  <c r="G2" i="45"/>
  <c r="H3" i="45" s="1"/>
  <c r="M4" i="45"/>
  <c r="G4" i="45"/>
  <c r="M5" i="45"/>
  <c r="N5" i="45"/>
  <c r="E6" i="45"/>
  <c r="F6" i="45"/>
  <c r="Q64" i="45"/>
  <c r="S64" i="45" s="1"/>
  <c r="Q61" i="45"/>
  <c r="S61" i="45" s="1"/>
  <c r="Q58" i="45"/>
  <c r="S58" i="45" s="1"/>
  <c r="Q55" i="45"/>
  <c r="S55" i="45" s="1"/>
  <c r="Q53" i="45"/>
  <c r="S53" i="45" s="1"/>
  <c r="G52" i="45"/>
  <c r="I52" i="45" s="1"/>
  <c r="Q50" i="45"/>
  <c r="S50" i="45" s="1"/>
  <c r="G49" i="45"/>
  <c r="I49" i="45" s="1"/>
  <c r="Q47" i="45"/>
  <c r="S47" i="45" s="1"/>
  <c r="G46" i="45"/>
  <c r="I46" i="45" s="1"/>
  <c r="Q44" i="45"/>
  <c r="S44" i="45" s="1"/>
  <c r="G43" i="45"/>
  <c r="I43" i="45" s="1"/>
  <c r="Q41" i="45"/>
  <c r="S41" i="45" s="1"/>
  <c r="G40" i="45"/>
  <c r="I40" i="45" s="1"/>
  <c r="Q38" i="45"/>
  <c r="S38" i="45" s="1"/>
  <c r="G37" i="45"/>
  <c r="I37" i="45" s="1"/>
  <c r="Q35" i="45"/>
  <c r="S35" i="45" s="1"/>
  <c r="G34" i="45"/>
  <c r="I34" i="45" s="1"/>
  <c r="Q32" i="45"/>
  <c r="S32" i="45" s="1"/>
  <c r="G31" i="45"/>
  <c r="I31" i="45" s="1"/>
  <c r="Q29" i="45"/>
  <c r="S29" i="45" s="1"/>
  <c r="G28" i="45"/>
  <c r="I28" i="45" s="1"/>
  <c r="Q26" i="45"/>
  <c r="S26" i="45" s="1"/>
  <c r="G25" i="45"/>
  <c r="I25" i="45" s="1"/>
  <c r="Q23" i="45"/>
  <c r="S23" i="45" s="1"/>
  <c r="G22" i="45"/>
  <c r="I22" i="45" s="1"/>
  <c r="Q20" i="45"/>
  <c r="S20" i="45" s="1"/>
  <c r="G19" i="45"/>
  <c r="I19" i="45" s="1"/>
  <c r="Q17" i="45"/>
  <c r="S17" i="45" s="1"/>
  <c r="G16" i="45"/>
  <c r="I16" i="45" s="1"/>
  <c r="Q14" i="45"/>
  <c r="S14" i="45" s="1"/>
  <c r="G13" i="45"/>
  <c r="I13" i="45" s="1"/>
  <c r="Q11" i="45"/>
  <c r="S11" i="45" s="1"/>
  <c r="G10" i="45"/>
  <c r="S10" i="45"/>
  <c r="L45" i="45"/>
  <c r="N45" i="45" s="1"/>
  <c r="L51" i="45"/>
  <c r="N51" i="45" s="1"/>
  <c r="L60" i="45"/>
  <c r="N60" i="45" s="1"/>
  <c r="B11" i="45"/>
  <c r="D11" i="45" s="1"/>
  <c r="Q12" i="45"/>
  <c r="S12" i="45" s="1"/>
  <c r="L14" i="45"/>
  <c r="N14" i="45" s="1"/>
  <c r="L16" i="45"/>
  <c r="N16" i="45" s="1"/>
  <c r="G18" i="45"/>
  <c r="I18" i="45" s="1"/>
  <c r="B20" i="45"/>
  <c r="D20" i="45" s="1"/>
  <c r="Q21" i="45"/>
  <c r="S21" i="45" s="1"/>
  <c r="L23" i="45"/>
  <c r="N23" i="45" s="1"/>
  <c r="L25" i="45"/>
  <c r="N25" i="45" s="1"/>
  <c r="G27" i="45"/>
  <c r="I27" i="45" s="1"/>
  <c r="B29" i="45"/>
  <c r="D29" i="45" s="1"/>
  <c r="Q30" i="45"/>
  <c r="S30" i="45" s="1"/>
  <c r="L32" i="45"/>
  <c r="N32" i="45" s="1"/>
  <c r="L34" i="45"/>
  <c r="N34" i="45" s="1"/>
  <c r="G36" i="45"/>
  <c r="I36" i="45" s="1"/>
  <c r="B38" i="45"/>
  <c r="D38" i="45" s="1"/>
  <c r="Q39" i="45"/>
  <c r="S39" i="45" s="1"/>
  <c r="L41" i="45"/>
  <c r="N41" i="45" s="1"/>
  <c r="Q43" i="45"/>
  <c r="S43" i="45" s="1"/>
  <c r="L47" i="45"/>
  <c r="N47" i="45" s="1"/>
  <c r="Q49" i="45"/>
  <c r="S49" i="45" s="1"/>
  <c r="L53" i="45"/>
  <c r="N53" i="45" s="1"/>
  <c r="Q56" i="45"/>
  <c r="S56" i="45" s="1"/>
  <c r="L64" i="45"/>
  <c r="N64" i="45" s="1"/>
  <c r="C6" i="44"/>
  <c r="M4" i="44"/>
  <c r="G4" i="44"/>
  <c r="M5" i="44"/>
  <c r="N5" i="44"/>
  <c r="G2" i="44"/>
  <c r="H3" i="44" s="1"/>
  <c r="L64" i="44"/>
  <c r="N64" i="44" s="1"/>
  <c r="L61" i="44"/>
  <c r="N61" i="44" s="1"/>
  <c r="L58" i="44"/>
  <c r="N58" i="44" s="1"/>
  <c r="L55" i="44"/>
  <c r="N55" i="44" s="1"/>
  <c r="L53" i="44"/>
  <c r="N53" i="44" s="1"/>
  <c r="B52" i="44"/>
  <c r="D52" i="44" s="1"/>
  <c r="L50" i="44"/>
  <c r="N50" i="44" s="1"/>
  <c r="B49" i="44"/>
  <c r="D49" i="44" s="1"/>
  <c r="L47" i="44"/>
  <c r="N47" i="44" s="1"/>
  <c r="B46" i="44"/>
  <c r="D46" i="44" s="1"/>
  <c r="L44" i="44"/>
  <c r="N44" i="44" s="1"/>
  <c r="B43" i="44"/>
  <c r="D43" i="44" s="1"/>
  <c r="L41" i="44"/>
  <c r="N41" i="44" s="1"/>
  <c r="B40" i="44"/>
  <c r="D40" i="44" s="1"/>
  <c r="Q64" i="44"/>
  <c r="S64" i="44" s="1"/>
  <c r="Q61" i="44"/>
  <c r="S61" i="44" s="1"/>
  <c r="Q58" i="44"/>
  <c r="S58" i="44" s="1"/>
  <c r="Q55" i="44"/>
  <c r="S55" i="44" s="1"/>
  <c r="Q53" i="44"/>
  <c r="S53" i="44" s="1"/>
  <c r="G52" i="44"/>
  <c r="I52" i="44" s="1"/>
  <c r="Q50" i="44"/>
  <c r="S50" i="44" s="1"/>
  <c r="G49" i="44"/>
  <c r="I49" i="44" s="1"/>
  <c r="Q47" i="44"/>
  <c r="S47" i="44" s="1"/>
  <c r="G46" i="44"/>
  <c r="I46" i="44" s="1"/>
  <c r="Q44" i="44"/>
  <c r="S44" i="44" s="1"/>
  <c r="G43" i="44"/>
  <c r="I43" i="44" s="1"/>
  <c r="Q41" i="44"/>
  <c r="S41" i="44" s="1"/>
  <c r="G40" i="44"/>
  <c r="I40" i="44" s="1"/>
  <c r="Q38" i="44"/>
  <c r="S38" i="44" s="1"/>
  <c r="G37" i="44"/>
  <c r="I37" i="44" s="1"/>
  <c r="Q35" i="44"/>
  <c r="S35" i="44" s="1"/>
  <c r="G34" i="44"/>
  <c r="I34" i="44" s="1"/>
  <c r="Q32" i="44"/>
  <c r="S32" i="44" s="1"/>
  <c r="G31" i="44"/>
  <c r="I31" i="44" s="1"/>
  <c r="Q29" i="44"/>
  <c r="S29" i="44" s="1"/>
  <c r="G28" i="44"/>
  <c r="I28" i="44" s="1"/>
  <c r="Q26" i="44"/>
  <c r="S26" i="44" s="1"/>
  <c r="G25" i="44"/>
  <c r="I25" i="44" s="1"/>
  <c r="Q23" i="44"/>
  <c r="S23" i="44" s="1"/>
  <c r="G22" i="44"/>
  <c r="I22" i="44" s="1"/>
  <c r="Q20" i="44"/>
  <c r="S20" i="44" s="1"/>
  <c r="G19" i="44"/>
  <c r="I19" i="44" s="1"/>
  <c r="Q17" i="44"/>
  <c r="S17" i="44" s="1"/>
  <c r="G16" i="44"/>
  <c r="I16" i="44" s="1"/>
  <c r="Q14" i="44"/>
  <c r="S14" i="44" s="1"/>
  <c r="G13" i="44"/>
  <c r="I13" i="44" s="1"/>
  <c r="Q11" i="44"/>
  <c r="S11" i="44" s="1"/>
  <c r="G10" i="44"/>
  <c r="B13" i="44"/>
  <c r="D13" i="44" s="1"/>
  <c r="G15" i="44"/>
  <c r="I15" i="44" s="1"/>
  <c r="B19" i="44"/>
  <c r="D19" i="44" s="1"/>
  <c r="G21" i="44"/>
  <c r="I21" i="44" s="1"/>
  <c r="B25" i="44"/>
  <c r="D25" i="44" s="1"/>
  <c r="G27" i="44"/>
  <c r="I27" i="44" s="1"/>
  <c r="B31" i="44"/>
  <c r="D31" i="44" s="1"/>
  <c r="G33" i="44"/>
  <c r="I33" i="44" s="1"/>
  <c r="B37" i="44"/>
  <c r="D37" i="44" s="1"/>
  <c r="G39" i="44"/>
  <c r="I39" i="44" s="1"/>
  <c r="G41" i="44"/>
  <c r="I41" i="44" s="1"/>
  <c r="Q43" i="44"/>
  <c r="S43" i="44" s="1"/>
  <c r="Q45" i="44"/>
  <c r="S45" i="44" s="1"/>
  <c r="G48" i="44"/>
  <c r="I48" i="44" s="1"/>
  <c r="G50" i="44"/>
  <c r="I50" i="44" s="1"/>
  <c r="Q52" i="44"/>
  <c r="S52" i="44" s="1"/>
  <c r="Q54" i="44"/>
  <c r="S54" i="44" s="1"/>
  <c r="Q59" i="44"/>
  <c r="S59" i="44" s="1"/>
  <c r="Q63" i="44"/>
  <c r="S63" i="44" s="1"/>
  <c r="S10" i="44"/>
  <c r="G11" i="44"/>
  <c r="I11" i="44" s="1"/>
  <c r="L13" i="44"/>
  <c r="N13" i="44" s="1"/>
  <c r="G17" i="44"/>
  <c r="I17" i="44" s="1"/>
  <c r="L19" i="44"/>
  <c r="N19" i="44" s="1"/>
  <c r="G23" i="44"/>
  <c r="I23" i="44" s="1"/>
  <c r="L25" i="44"/>
  <c r="N25" i="44" s="1"/>
  <c r="G29" i="44"/>
  <c r="I29" i="44" s="1"/>
  <c r="L31" i="44"/>
  <c r="N31" i="44" s="1"/>
  <c r="G35" i="44"/>
  <c r="I35" i="44" s="1"/>
  <c r="L37" i="44"/>
  <c r="N37" i="44" s="1"/>
  <c r="B13" i="43"/>
  <c r="D13" i="43" s="1"/>
  <c r="Q48" i="43"/>
  <c r="S48" i="43" s="1"/>
  <c r="B33" i="43"/>
  <c r="D33" i="43" s="1"/>
  <c r="B42" i="43"/>
  <c r="D42" i="43" s="1"/>
  <c r="G15" i="43"/>
  <c r="I15" i="43" s="1"/>
  <c r="G24" i="43"/>
  <c r="I24" i="43" s="1"/>
  <c r="G42" i="43"/>
  <c r="I42" i="43" s="1"/>
  <c r="B26" i="43"/>
  <c r="D26" i="43" s="1"/>
  <c r="Q64" i="43"/>
  <c r="S64" i="43" s="1"/>
  <c r="Q61" i="43"/>
  <c r="S61" i="43" s="1"/>
  <c r="Q58" i="43"/>
  <c r="S58" i="43" s="1"/>
  <c r="Q55" i="43"/>
  <c r="S55" i="43" s="1"/>
  <c r="Q53" i="43"/>
  <c r="S53" i="43" s="1"/>
  <c r="G52" i="43"/>
  <c r="I52" i="43" s="1"/>
  <c r="Q50" i="43"/>
  <c r="S50" i="43" s="1"/>
  <c r="G49" i="43"/>
  <c r="I49" i="43" s="1"/>
  <c r="Q47" i="43"/>
  <c r="S47" i="43" s="1"/>
  <c r="G46" i="43"/>
  <c r="I46" i="43" s="1"/>
  <c r="Q44" i="43"/>
  <c r="S44" i="43" s="1"/>
  <c r="G43" i="43"/>
  <c r="I43" i="43" s="1"/>
  <c r="Q41" i="43"/>
  <c r="S41" i="43" s="1"/>
  <c r="G40" i="43"/>
  <c r="I40" i="43" s="1"/>
  <c r="Q38" i="43"/>
  <c r="S38" i="43" s="1"/>
  <c r="G37" i="43"/>
  <c r="I37" i="43" s="1"/>
  <c r="Q35" i="43"/>
  <c r="S35" i="43" s="1"/>
  <c r="G34" i="43"/>
  <c r="I34" i="43" s="1"/>
  <c r="Q32" i="43"/>
  <c r="S32" i="43" s="1"/>
  <c r="G31" i="43"/>
  <c r="I31" i="43" s="1"/>
  <c r="Q29" i="43"/>
  <c r="S29" i="43" s="1"/>
  <c r="G28" i="43"/>
  <c r="I28" i="43" s="1"/>
  <c r="Q26" i="43"/>
  <c r="S26" i="43" s="1"/>
  <c r="G25" i="43"/>
  <c r="I25" i="43" s="1"/>
  <c r="Q23" i="43"/>
  <c r="S23" i="43" s="1"/>
  <c r="G22" i="43"/>
  <c r="I22" i="43" s="1"/>
  <c r="Q20" i="43"/>
  <c r="S20" i="43" s="1"/>
  <c r="G19" i="43"/>
  <c r="I19" i="43" s="1"/>
  <c r="Q17" i="43"/>
  <c r="S17" i="43" s="1"/>
  <c r="G16" i="43"/>
  <c r="I16" i="43" s="1"/>
  <c r="Q14" i="43"/>
  <c r="S14" i="43" s="1"/>
  <c r="G13" i="43"/>
  <c r="I13" i="43" s="1"/>
  <c r="Q11" i="43"/>
  <c r="S11" i="43" s="1"/>
  <c r="G10" i="43"/>
  <c r="L61" i="43"/>
  <c r="N61" i="43" s="1"/>
  <c r="L58" i="43"/>
  <c r="N58" i="43" s="1"/>
  <c r="L53" i="43"/>
  <c r="N53" i="43" s="1"/>
  <c r="L50" i="43"/>
  <c r="N50" i="43" s="1"/>
  <c r="B49" i="43"/>
  <c r="D49" i="43" s="1"/>
  <c r="L47" i="43"/>
  <c r="N47" i="43" s="1"/>
  <c r="L44" i="43"/>
  <c r="N44" i="43" s="1"/>
  <c r="L41" i="43"/>
  <c r="N41" i="43" s="1"/>
  <c r="L38" i="43"/>
  <c r="N38" i="43" s="1"/>
  <c r="L35" i="43"/>
  <c r="N35" i="43" s="1"/>
  <c r="L32" i="43"/>
  <c r="N32" i="43" s="1"/>
  <c r="L29" i="43"/>
  <c r="N29" i="43" s="1"/>
  <c r="L26" i="43"/>
  <c r="N26" i="43" s="1"/>
  <c r="L64" i="43"/>
  <c r="N64" i="43" s="1"/>
  <c r="L55" i="43"/>
  <c r="N55" i="43" s="1"/>
  <c r="B52" i="43"/>
  <c r="D52" i="43" s="1"/>
  <c r="B46" i="43"/>
  <c r="D46" i="43" s="1"/>
  <c r="B43" i="43"/>
  <c r="D43" i="43" s="1"/>
  <c r="B40" i="43"/>
  <c r="D40" i="43" s="1"/>
  <c r="B37" i="43"/>
  <c r="D37" i="43" s="1"/>
  <c r="B34" i="43"/>
  <c r="D34" i="43" s="1"/>
  <c r="B31" i="43"/>
  <c r="D31" i="43" s="1"/>
  <c r="B28" i="43"/>
  <c r="D28" i="43" s="1"/>
  <c r="B25" i="43"/>
  <c r="D25" i="43" s="1"/>
  <c r="B22" i="43"/>
  <c r="D22" i="43" s="1"/>
  <c r="L20" i="43"/>
  <c r="N20" i="43" s="1"/>
  <c r="B19" i="43"/>
  <c r="D19" i="43" s="1"/>
  <c r="L17" i="43"/>
  <c r="N17" i="43" s="1"/>
  <c r="B16" i="43"/>
  <c r="D16" i="43" s="1"/>
  <c r="L23" i="43"/>
  <c r="N23" i="43" s="1"/>
  <c r="L21" i="43"/>
  <c r="N21" i="43" s="1"/>
  <c r="L19" i="43"/>
  <c r="N19" i="43" s="1"/>
  <c r="B17" i="43"/>
  <c r="D17" i="43" s="1"/>
  <c r="B15" i="43"/>
  <c r="D15" i="43" s="1"/>
  <c r="Q12" i="43"/>
  <c r="S12" i="43" s="1"/>
  <c r="G23" i="43"/>
  <c r="I23" i="43" s="1"/>
  <c r="G21" i="43"/>
  <c r="I21" i="43" s="1"/>
  <c r="Q18" i="43"/>
  <c r="S18" i="43" s="1"/>
  <c r="Q16" i="43"/>
  <c r="S16" i="43" s="1"/>
  <c r="L12" i="43"/>
  <c r="N12" i="43" s="1"/>
  <c r="L63" i="43"/>
  <c r="N63" i="43" s="1"/>
  <c r="L52" i="43"/>
  <c r="N52" i="43" s="1"/>
  <c r="B48" i="43"/>
  <c r="D48" i="43" s="1"/>
  <c r="L43" i="43"/>
  <c r="N43" i="43" s="1"/>
  <c r="B39" i="43"/>
  <c r="D39" i="43" s="1"/>
  <c r="L34" i="43"/>
  <c r="N34" i="43" s="1"/>
  <c r="B30" i="43"/>
  <c r="D30" i="43" s="1"/>
  <c r="L25" i="43"/>
  <c r="N25" i="43" s="1"/>
  <c r="B23" i="43"/>
  <c r="D23" i="43" s="1"/>
  <c r="L18" i="43"/>
  <c r="N18" i="43" s="1"/>
  <c r="B10" i="43"/>
  <c r="Q62" i="43"/>
  <c r="S62" i="43" s="1"/>
  <c r="Q51" i="43"/>
  <c r="S51" i="43" s="1"/>
  <c r="G47" i="43"/>
  <c r="I47" i="43" s="1"/>
  <c r="Q42" i="43"/>
  <c r="S42" i="43" s="1"/>
  <c r="G38" i="43"/>
  <c r="I38" i="43" s="1"/>
  <c r="Q33" i="43"/>
  <c r="S33" i="43" s="1"/>
  <c r="G29" i="43"/>
  <c r="I29" i="43" s="1"/>
  <c r="Q24" i="43"/>
  <c r="S24" i="43" s="1"/>
  <c r="F4" i="43"/>
  <c r="L62" i="43"/>
  <c r="N62" i="43" s="1"/>
  <c r="L57" i="43"/>
  <c r="N57" i="43" s="1"/>
  <c r="B54" i="43"/>
  <c r="D54" i="43" s="1"/>
  <c r="L51" i="43"/>
  <c r="N51" i="43" s="1"/>
  <c r="L49" i="43"/>
  <c r="N49" i="43" s="1"/>
  <c r="B47" i="43"/>
  <c r="D47" i="43" s="1"/>
  <c r="B45" i="43"/>
  <c r="D45" i="43" s="1"/>
  <c r="L42" i="43"/>
  <c r="N42" i="43" s="1"/>
  <c r="L40" i="43"/>
  <c r="N40" i="43" s="1"/>
  <c r="B38" i="43"/>
  <c r="D38" i="43" s="1"/>
  <c r="B36" i="43"/>
  <c r="D36" i="43" s="1"/>
  <c r="L33" i="43"/>
  <c r="N33" i="43" s="1"/>
  <c r="L31" i="43"/>
  <c r="N31" i="43" s="1"/>
  <c r="B29" i="43"/>
  <c r="D29" i="43" s="1"/>
  <c r="B27" i="43"/>
  <c r="D27" i="43" s="1"/>
  <c r="L24" i="43"/>
  <c r="N24" i="43" s="1"/>
  <c r="Q13" i="43"/>
  <c r="S13" i="43" s="1"/>
  <c r="L11" i="43"/>
  <c r="N11" i="43" s="1"/>
  <c r="D4" i="43"/>
  <c r="L22" i="43"/>
  <c r="N22" i="43" s="1"/>
  <c r="B20" i="43"/>
  <c r="D20" i="43" s="1"/>
  <c r="B18" i="43"/>
  <c r="D18" i="43" s="1"/>
  <c r="L15" i="43"/>
  <c r="N15" i="43" s="1"/>
  <c r="C4" i="43"/>
  <c r="Q63" i="43"/>
  <c r="S63" i="43" s="1"/>
  <c r="Q59" i="43"/>
  <c r="S59" i="43" s="1"/>
  <c r="Q54" i="43"/>
  <c r="S54" i="43" s="1"/>
  <c r="Q52" i="43"/>
  <c r="S52" i="43" s="1"/>
  <c r="G50" i="43"/>
  <c r="I50" i="43" s="1"/>
  <c r="G48" i="43"/>
  <c r="I48" i="43" s="1"/>
  <c r="Q45" i="43"/>
  <c r="S45" i="43" s="1"/>
  <c r="Q43" i="43"/>
  <c r="S43" i="43" s="1"/>
  <c r="G41" i="43"/>
  <c r="I41" i="43" s="1"/>
  <c r="G39" i="43"/>
  <c r="I39" i="43" s="1"/>
  <c r="Q36" i="43"/>
  <c r="S36" i="43" s="1"/>
  <c r="Q34" i="43"/>
  <c r="S34" i="43" s="1"/>
  <c r="G32" i="43"/>
  <c r="I32" i="43" s="1"/>
  <c r="G30" i="43"/>
  <c r="I30" i="43" s="1"/>
  <c r="Q27" i="43"/>
  <c r="S27" i="43" s="1"/>
  <c r="Q25" i="43"/>
  <c r="S25" i="43" s="1"/>
  <c r="L14" i="43"/>
  <c r="N14" i="43" s="1"/>
  <c r="Q10" i="43"/>
  <c r="L59" i="43"/>
  <c r="N59" i="43" s="1"/>
  <c r="L54" i="43"/>
  <c r="N54" i="43" s="1"/>
  <c r="B50" i="43"/>
  <c r="D50" i="43" s="1"/>
  <c r="L45" i="43"/>
  <c r="N45" i="43" s="1"/>
  <c r="B41" i="43"/>
  <c r="D41" i="43" s="1"/>
  <c r="L36" i="43"/>
  <c r="N36" i="43" s="1"/>
  <c r="B32" i="43"/>
  <c r="D32" i="43" s="1"/>
  <c r="L27" i="43"/>
  <c r="N27" i="43" s="1"/>
  <c r="G14" i="43"/>
  <c r="I14" i="43" s="1"/>
  <c r="L10" i="43"/>
  <c r="B21" i="43"/>
  <c r="D21" i="43" s="1"/>
  <c r="L16" i="43"/>
  <c r="N16" i="43" s="1"/>
  <c r="G12" i="43"/>
  <c r="I12" i="43" s="1"/>
  <c r="Q57" i="43"/>
  <c r="S57" i="43" s="1"/>
  <c r="G54" i="43"/>
  <c r="I54" i="43" s="1"/>
  <c r="Q49" i="43"/>
  <c r="S49" i="43" s="1"/>
  <c r="G45" i="43"/>
  <c r="I45" i="43" s="1"/>
  <c r="Q40" i="43"/>
  <c r="S40" i="43" s="1"/>
  <c r="G36" i="43"/>
  <c r="I36" i="43" s="1"/>
  <c r="Q31" i="43"/>
  <c r="S31" i="43" s="1"/>
  <c r="G27" i="43"/>
  <c r="I27" i="43" s="1"/>
  <c r="B14" i="43"/>
  <c r="D14" i="43" s="1"/>
  <c r="Q22" i="43"/>
  <c r="S22" i="43" s="1"/>
  <c r="G20" i="43"/>
  <c r="I20" i="43" s="1"/>
  <c r="G18" i="43"/>
  <c r="I18" i="43" s="1"/>
  <c r="Q15" i="43"/>
  <c r="S15" i="43" s="1"/>
  <c r="B12" i="43"/>
  <c r="D12" i="43" s="1"/>
  <c r="E4" i="43"/>
  <c r="Q60" i="43"/>
  <c r="S60" i="43" s="1"/>
  <c r="Q56" i="43"/>
  <c r="S56" i="43" s="1"/>
  <c r="Q21" i="43"/>
  <c r="S21" i="43" s="1"/>
  <c r="L13" i="43"/>
  <c r="N13" i="43" s="1"/>
  <c r="Q30" i="43"/>
  <c r="S30" i="43" s="1"/>
  <c r="Q39" i="43"/>
  <c r="S39" i="43" s="1"/>
  <c r="B24" i="43"/>
  <c r="D24" i="43" s="1"/>
  <c r="B51" i="43"/>
  <c r="D51" i="43" s="1"/>
  <c r="G33" i="43"/>
  <c r="I33" i="43" s="1"/>
  <c r="G51" i="43"/>
  <c r="I51" i="43" s="1"/>
  <c r="B35" i="43"/>
  <c r="D35" i="43" s="1"/>
  <c r="B44" i="43"/>
  <c r="D44" i="43" s="1"/>
  <c r="G17" i="43"/>
  <c r="I17" i="43" s="1"/>
  <c r="G26" i="43"/>
  <c r="I26" i="43" s="1"/>
  <c r="G35" i="43"/>
  <c r="I35" i="43" s="1"/>
  <c r="G44" i="43"/>
  <c r="I44" i="43" s="1"/>
  <c r="G53" i="43"/>
  <c r="I53" i="43" s="1"/>
  <c r="B11" i="43"/>
  <c r="D11" i="43" s="1"/>
  <c r="L28" i="43"/>
  <c r="N28" i="43" s="1"/>
  <c r="L37" i="43"/>
  <c r="N37" i="43" s="1"/>
  <c r="L46" i="43"/>
  <c r="N46" i="43" s="1"/>
  <c r="L56" i="43"/>
  <c r="N56" i="43" s="1"/>
  <c r="Q19" i="43"/>
  <c r="S19" i="43" s="1"/>
  <c r="G11" i="43"/>
  <c r="I11" i="43" s="1"/>
  <c r="Q28" i="43"/>
  <c r="S28" i="43" s="1"/>
  <c r="Q37" i="43"/>
  <c r="S37" i="43" s="1"/>
  <c r="Q46" i="43"/>
  <c r="S46" i="43" s="1"/>
  <c r="L60" i="43"/>
  <c r="N60" i="43" s="1"/>
  <c r="L30" i="43"/>
  <c r="N30" i="43" s="1"/>
  <c r="L39" i="43"/>
  <c r="N39" i="43" s="1"/>
  <c r="L48" i="43"/>
  <c r="N48" i="43" s="1"/>
  <c r="G2" i="42"/>
  <c r="H3" i="42" s="1"/>
  <c r="L10" i="42"/>
  <c r="B12" i="42"/>
  <c r="D12" i="42" s="1"/>
  <c r="L13" i="42"/>
  <c r="N13" i="42" s="1"/>
  <c r="B15" i="42"/>
  <c r="D15" i="42" s="1"/>
  <c r="L16" i="42"/>
  <c r="N16" i="42" s="1"/>
  <c r="B18" i="42"/>
  <c r="D18" i="42" s="1"/>
  <c r="L19" i="42"/>
  <c r="N19" i="42" s="1"/>
  <c r="B21" i="42"/>
  <c r="D21" i="42" s="1"/>
  <c r="L22" i="42"/>
  <c r="N22" i="42" s="1"/>
  <c r="B24" i="42"/>
  <c r="D24" i="42" s="1"/>
  <c r="L25" i="42"/>
  <c r="N25" i="42" s="1"/>
  <c r="B27" i="42"/>
  <c r="D27" i="42" s="1"/>
  <c r="L28" i="42"/>
  <c r="N28" i="42" s="1"/>
  <c r="B30" i="42"/>
  <c r="D30" i="42" s="1"/>
  <c r="L31" i="42"/>
  <c r="N31" i="42" s="1"/>
  <c r="B33" i="42"/>
  <c r="D33" i="42" s="1"/>
  <c r="L34" i="42"/>
  <c r="N34" i="42" s="1"/>
  <c r="B36" i="42"/>
  <c r="D36" i="42" s="1"/>
  <c r="L37" i="42"/>
  <c r="N37" i="42" s="1"/>
  <c r="B39" i="42"/>
  <c r="D39" i="42" s="1"/>
  <c r="L40" i="42"/>
  <c r="N40" i="42" s="1"/>
  <c r="B42" i="42"/>
  <c r="D42" i="42" s="1"/>
  <c r="L43" i="42"/>
  <c r="N43" i="42" s="1"/>
  <c r="B45" i="42"/>
  <c r="D45" i="42" s="1"/>
  <c r="L46" i="42"/>
  <c r="N46" i="42" s="1"/>
  <c r="B48" i="42"/>
  <c r="D48" i="42" s="1"/>
  <c r="L49" i="42"/>
  <c r="N49" i="42" s="1"/>
  <c r="B51" i="42"/>
  <c r="D51" i="42" s="1"/>
  <c r="L52" i="42"/>
  <c r="N52" i="42" s="1"/>
  <c r="B54" i="42"/>
  <c r="D54" i="42" s="1"/>
  <c r="L56" i="42"/>
  <c r="N56" i="42" s="1"/>
  <c r="L59" i="42"/>
  <c r="N59" i="42" s="1"/>
  <c r="L62" i="42"/>
  <c r="N62" i="42" s="1"/>
  <c r="Q62" i="42"/>
  <c r="S62" i="42" s="1"/>
  <c r="C4" i="42"/>
  <c r="M5" i="42" s="1"/>
  <c r="S10" i="42"/>
  <c r="D6" i="42"/>
  <c r="L63" i="42"/>
  <c r="N63" i="42" s="1"/>
  <c r="F4" i="42"/>
  <c r="G11" i="42"/>
  <c r="I11" i="42" s="1"/>
  <c r="Q12" i="42"/>
  <c r="S12" i="42" s="1"/>
  <c r="G14" i="42"/>
  <c r="I14" i="42" s="1"/>
  <c r="Q15" i="42"/>
  <c r="S15" i="42" s="1"/>
  <c r="G17" i="42"/>
  <c r="I17" i="42" s="1"/>
  <c r="Q18" i="42"/>
  <c r="S18" i="42" s="1"/>
  <c r="G20" i="42"/>
  <c r="I20" i="42" s="1"/>
  <c r="Q21" i="42"/>
  <c r="S21" i="42" s="1"/>
  <c r="G23" i="42"/>
  <c r="I23" i="42" s="1"/>
  <c r="Q24" i="42"/>
  <c r="S24" i="42" s="1"/>
  <c r="G26" i="42"/>
  <c r="I26" i="42" s="1"/>
  <c r="Q27" i="42"/>
  <c r="S27" i="42" s="1"/>
  <c r="G29" i="42"/>
  <c r="I29" i="42" s="1"/>
  <c r="Q30" i="42"/>
  <c r="S30" i="42" s="1"/>
  <c r="G32" i="42"/>
  <c r="I32" i="42" s="1"/>
  <c r="Q33" i="42"/>
  <c r="S33" i="42" s="1"/>
  <c r="G35" i="42"/>
  <c r="I35" i="42" s="1"/>
  <c r="Q36" i="42"/>
  <c r="S36" i="42" s="1"/>
  <c r="G38" i="42"/>
  <c r="I38" i="42" s="1"/>
  <c r="Q39" i="42"/>
  <c r="S39" i="42" s="1"/>
  <c r="G41" i="42"/>
  <c r="I41" i="42" s="1"/>
  <c r="Q42" i="42"/>
  <c r="S42" i="42" s="1"/>
  <c r="G44" i="42"/>
  <c r="I44" i="42" s="1"/>
  <c r="Q45" i="42"/>
  <c r="S45" i="42" s="1"/>
  <c r="G47" i="42"/>
  <c r="I47" i="42" s="1"/>
  <c r="Q48" i="42"/>
  <c r="S48" i="42" s="1"/>
  <c r="G50" i="42"/>
  <c r="I50" i="42" s="1"/>
  <c r="Q51" i="42"/>
  <c r="S51" i="42" s="1"/>
  <c r="G53" i="42"/>
  <c r="I53" i="42" s="1"/>
  <c r="Q54" i="42"/>
  <c r="S54" i="42" s="1"/>
  <c r="Q57" i="42"/>
  <c r="S57" i="42" s="1"/>
  <c r="Q60" i="42"/>
  <c r="S60" i="42" s="1"/>
  <c r="Q63" i="42"/>
  <c r="S63" i="42" s="1"/>
  <c r="B10" i="42"/>
  <c r="L11" i="42"/>
  <c r="N11" i="42" s="1"/>
  <c r="B13" i="42"/>
  <c r="D13" i="42" s="1"/>
  <c r="L14" i="42"/>
  <c r="N14" i="42" s="1"/>
  <c r="B16" i="42"/>
  <c r="D16" i="42" s="1"/>
  <c r="L17" i="42"/>
  <c r="N17" i="42" s="1"/>
  <c r="B19" i="42"/>
  <c r="D19" i="42" s="1"/>
  <c r="L20" i="42"/>
  <c r="N20" i="42" s="1"/>
  <c r="B22" i="42"/>
  <c r="D22" i="42" s="1"/>
  <c r="L23" i="42"/>
  <c r="N23" i="42" s="1"/>
  <c r="B25" i="42"/>
  <c r="D25" i="42" s="1"/>
  <c r="L26" i="42"/>
  <c r="N26" i="42" s="1"/>
  <c r="B28" i="42"/>
  <c r="D28" i="42" s="1"/>
  <c r="L29" i="42"/>
  <c r="N29" i="42" s="1"/>
  <c r="B31" i="42"/>
  <c r="D31" i="42" s="1"/>
  <c r="L32" i="42"/>
  <c r="N32" i="42" s="1"/>
  <c r="B34" i="42"/>
  <c r="D34" i="42" s="1"/>
  <c r="L35" i="42"/>
  <c r="N35" i="42" s="1"/>
  <c r="B37" i="42"/>
  <c r="D37" i="42" s="1"/>
  <c r="L38" i="42"/>
  <c r="N38" i="42" s="1"/>
  <c r="B40" i="42"/>
  <c r="D40" i="42" s="1"/>
  <c r="L41" i="42"/>
  <c r="N41" i="42" s="1"/>
  <c r="B43" i="42"/>
  <c r="D43" i="42" s="1"/>
  <c r="L44" i="42"/>
  <c r="N44" i="42" s="1"/>
  <c r="B46" i="42"/>
  <c r="D46" i="42" s="1"/>
  <c r="L47" i="42"/>
  <c r="N47" i="42" s="1"/>
  <c r="B49" i="42"/>
  <c r="D49" i="42" s="1"/>
  <c r="L50" i="42"/>
  <c r="N50" i="42" s="1"/>
  <c r="B52" i="42"/>
  <c r="D52" i="42" s="1"/>
  <c r="L53" i="42"/>
  <c r="N53" i="42" s="1"/>
  <c r="L55" i="42"/>
  <c r="N55" i="42" s="1"/>
  <c r="L58" i="42"/>
  <c r="N58" i="42" s="1"/>
  <c r="L61" i="42"/>
  <c r="N61" i="42" s="1"/>
  <c r="L64" i="42"/>
  <c r="N64" i="42" s="1"/>
  <c r="G10" i="42"/>
  <c r="Q11" i="42"/>
  <c r="S11" i="42" s="1"/>
  <c r="G13" i="42"/>
  <c r="I13" i="42" s="1"/>
  <c r="Q14" i="42"/>
  <c r="S14" i="42" s="1"/>
  <c r="G16" i="42"/>
  <c r="I16" i="42" s="1"/>
  <c r="Q17" i="42"/>
  <c r="S17" i="42" s="1"/>
  <c r="G19" i="42"/>
  <c r="I19" i="42" s="1"/>
  <c r="Q20" i="42"/>
  <c r="S20" i="42" s="1"/>
  <c r="G22" i="42"/>
  <c r="I22" i="42" s="1"/>
  <c r="Q23" i="42"/>
  <c r="S23" i="42" s="1"/>
  <c r="G25" i="42"/>
  <c r="I25" i="42" s="1"/>
  <c r="Q26" i="42"/>
  <c r="S26" i="42" s="1"/>
  <c r="G28" i="42"/>
  <c r="I28" i="42" s="1"/>
  <c r="Q29" i="42"/>
  <c r="S29" i="42" s="1"/>
  <c r="G31" i="42"/>
  <c r="I31" i="42" s="1"/>
  <c r="Q32" i="42"/>
  <c r="S32" i="42" s="1"/>
  <c r="G34" i="42"/>
  <c r="I34" i="42" s="1"/>
  <c r="Q35" i="42"/>
  <c r="S35" i="42" s="1"/>
  <c r="G37" i="42"/>
  <c r="I37" i="42" s="1"/>
  <c r="Q38" i="42"/>
  <c r="S38" i="42" s="1"/>
  <c r="G40" i="42"/>
  <c r="I40" i="42" s="1"/>
  <c r="Q41" i="42"/>
  <c r="S41" i="42" s="1"/>
  <c r="G43" i="42"/>
  <c r="I43" i="42" s="1"/>
  <c r="Q44" i="42"/>
  <c r="S44" i="42" s="1"/>
  <c r="G46" i="42"/>
  <c r="I46" i="42" s="1"/>
  <c r="Q47" i="42"/>
  <c r="S47" i="42" s="1"/>
  <c r="G49" i="42"/>
  <c r="I49" i="42" s="1"/>
  <c r="Q50" i="42"/>
  <c r="S50" i="42" s="1"/>
  <c r="G52" i="42"/>
  <c r="I52" i="42" s="1"/>
  <c r="Q53" i="42"/>
  <c r="S53" i="42" s="1"/>
  <c r="Q55" i="42"/>
  <c r="S55" i="42" s="1"/>
  <c r="Q58" i="42"/>
  <c r="S58" i="42" s="1"/>
  <c r="Q61" i="42"/>
  <c r="S61" i="42" s="1"/>
  <c r="G2" i="41"/>
  <c r="H3" i="41" s="1"/>
  <c r="L14" i="41"/>
  <c r="N14" i="41" s="1"/>
  <c r="Q64" i="41"/>
  <c r="S64" i="41" s="1"/>
  <c r="Q61" i="41"/>
  <c r="S61" i="41" s="1"/>
  <c r="Q58" i="41"/>
  <c r="S58" i="41" s="1"/>
  <c r="Q55" i="41"/>
  <c r="S55" i="41" s="1"/>
  <c r="Q53" i="41"/>
  <c r="S53" i="41" s="1"/>
  <c r="G52" i="41"/>
  <c r="I52" i="41" s="1"/>
  <c r="Q50" i="41"/>
  <c r="S50" i="41" s="1"/>
  <c r="G49" i="41"/>
  <c r="I49" i="41" s="1"/>
  <c r="Q47" i="41"/>
  <c r="S47" i="41" s="1"/>
  <c r="G46" i="41"/>
  <c r="I46" i="41" s="1"/>
  <c r="Q44" i="41"/>
  <c r="S44" i="41" s="1"/>
  <c r="G43" i="41"/>
  <c r="I43" i="41" s="1"/>
  <c r="Q41" i="41"/>
  <c r="S41" i="41" s="1"/>
  <c r="G40" i="41"/>
  <c r="I40" i="41" s="1"/>
  <c r="Q38" i="41"/>
  <c r="S38" i="41" s="1"/>
  <c r="G37" i="41"/>
  <c r="I37" i="41" s="1"/>
  <c r="Q35" i="41"/>
  <c r="S35" i="41" s="1"/>
  <c r="G34" i="41"/>
  <c r="I34" i="41" s="1"/>
  <c r="Q32" i="41"/>
  <c r="S32" i="41" s="1"/>
  <c r="G31" i="41"/>
  <c r="I31" i="41" s="1"/>
  <c r="Q29" i="41"/>
  <c r="S29" i="41" s="1"/>
  <c r="G28" i="41"/>
  <c r="I28" i="41" s="1"/>
  <c r="Q26" i="41"/>
  <c r="S26" i="41" s="1"/>
  <c r="G25" i="41"/>
  <c r="I25" i="41" s="1"/>
  <c r="Q23" i="41"/>
  <c r="S23" i="41" s="1"/>
  <c r="G22" i="41"/>
  <c r="I22" i="41" s="1"/>
  <c r="Q20" i="41"/>
  <c r="S20" i="41" s="1"/>
  <c r="G19" i="41"/>
  <c r="I19" i="41" s="1"/>
  <c r="Q17" i="41"/>
  <c r="S17" i="41" s="1"/>
  <c r="G16" i="41"/>
  <c r="I16" i="41" s="1"/>
  <c r="Q14" i="41"/>
  <c r="S14" i="41" s="1"/>
  <c r="G13" i="41"/>
  <c r="I13" i="41" s="1"/>
  <c r="Q11" i="41"/>
  <c r="S11" i="41" s="1"/>
  <c r="G10" i="41"/>
  <c r="L64" i="41"/>
  <c r="N64" i="41" s="1"/>
  <c r="L61" i="41"/>
  <c r="N61" i="41" s="1"/>
  <c r="L58" i="41"/>
  <c r="N58" i="41" s="1"/>
  <c r="L55" i="41"/>
  <c r="N55" i="41" s="1"/>
  <c r="L53" i="41"/>
  <c r="N53" i="41" s="1"/>
  <c r="B52" i="41"/>
  <c r="D52" i="41" s="1"/>
  <c r="L50" i="41"/>
  <c r="N50" i="41" s="1"/>
  <c r="B49" i="41"/>
  <c r="D49" i="41" s="1"/>
  <c r="L47" i="41"/>
  <c r="N47" i="41" s="1"/>
  <c r="B46" i="41"/>
  <c r="D46" i="41" s="1"/>
  <c r="L44" i="41"/>
  <c r="N44" i="41" s="1"/>
  <c r="B43" i="41"/>
  <c r="D43" i="41" s="1"/>
  <c r="L41" i="41"/>
  <c r="N41" i="41" s="1"/>
  <c r="B40" i="41"/>
  <c r="D40" i="41" s="1"/>
  <c r="L38" i="41"/>
  <c r="N38" i="41" s="1"/>
  <c r="B37" i="41"/>
  <c r="D37" i="41" s="1"/>
  <c r="L35" i="41"/>
  <c r="N35" i="41" s="1"/>
  <c r="B34" i="41"/>
  <c r="D34" i="41" s="1"/>
  <c r="L32" i="41"/>
  <c r="N32" i="41" s="1"/>
  <c r="B31" i="41"/>
  <c r="D31" i="41" s="1"/>
  <c r="L29" i="41"/>
  <c r="N29" i="41" s="1"/>
  <c r="B28" i="41"/>
  <c r="D28" i="41" s="1"/>
  <c r="L26" i="41"/>
  <c r="N26" i="41" s="1"/>
  <c r="B25" i="41"/>
  <c r="D25" i="41" s="1"/>
  <c r="L23" i="41"/>
  <c r="N23" i="41" s="1"/>
  <c r="B22" i="41"/>
  <c r="D22" i="41" s="1"/>
  <c r="L20" i="41"/>
  <c r="N20" i="41" s="1"/>
  <c r="B19" i="41"/>
  <c r="D19" i="41" s="1"/>
  <c r="L17" i="41"/>
  <c r="N17" i="41" s="1"/>
  <c r="B16" i="41"/>
  <c r="D16" i="41" s="1"/>
  <c r="B13" i="41"/>
  <c r="D13" i="41" s="1"/>
  <c r="L11" i="41"/>
  <c r="N11" i="41" s="1"/>
  <c r="B10" i="41"/>
  <c r="Q63" i="41"/>
  <c r="S63" i="41" s="1"/>
  <c r="L49" i="41"/>
  <c r="N49" i="41" s="1"/>
  <c r="Q46" i="41"/>
  <c r="S46" i="41" s="1"/>
  <c r="B44" i="41"/>
  <c r="D44" i="41" s="1"/>
  <c r="E4" i="41"/>
  <c r="L59" i="41"/>
  <c r="N59" i="41" s="1"/>
  <c r="G54" i="41"/>
  <c r="I54" i="41" s="1"/>
  <c r="L51" i="41"/>
  <c r="N51" i="41" s="1"/>
  <c r="Q48" i="41"/>
  <c r="S48" i="41" s="1"/>
  <c r="G41" i="41"/>
  <c r="I41" i="41" s="1"/>
  <c r="G39" i="41"/>
  <c r="I39" i="41" s="1"/>
  <c r="Q36" i="41"/>
  <c r="S36" i="41" s="1"/>
  <c r="Q34" i="41"/>
  <c r="S34" i="41" s="1"/>
  <c r="G32" i="41"/>
  <c r="I32" i="41" s="1"/>
  <c r="G30" i="41"/>
  <c r="I30" i="41" s="1"/>
  <c r="Q27" i="41"/>
  <c r="S27" i="41" s="1"/>
  <c r="Q25" i="41"/>
  <c r="S25" i="41" s="1"/>
  <c r="G23" i="41"/>
  <c r="I23" i="41" s="1"/>
  <c r="G21" i="41"/>
  <c r="I21" i="41" s="1"/>
  <c r="Q18" i="41"/>
  <c r="S18" i="41" s="1"/>
  <c r="Q16" i="41"/>
  <c r="S16" i="41" s="1"/>
  <c r="G14" i="41"/>
  <c r="I14" i="41" s="1"/>
  <c r="G12" i="41"/>
  <c r="I12" i="41" s="1"/>
  <c r="D4" i="41"/>
  <c r="L63" i="41"/>
  <c r="N63" i="41" s="1"/>
  <c r="Q57" i="41"/>
  <c r="S57" i="41" s="1"/>
  <c r="L46" i="41"/>
  <c r="N46" i="41" s="1"/>
  <c r="Q43" i="41"/>
  <c r="S43" i="41" s="1"/>
  <c r="C4" i="41"/>
  <c r="B54" i="41"/>
  <c r="D54" i="41" s="1"/>
  <c r="G51" i="41"/>
  <c r="I51" i="41" s="1"/>
  <c r="L48" i="41"/>
  <c r="N48" i="41" s="1"/>
  <c r="Q45" i="41"/>
  <c r="S45" i="41" s="1"/>
  <c r="B41" i="41"/>
  <c r="D41" i="41" s="1"/>
  <c r="B39" i="41"/>
  <c r="D39" i="41" s="1"/>
  <c r="L36" i="41"/>
  <c r="N36" i="41" s="1"/>
  <c r="L34" i="41"/>
  <c r="N34" i="41" s="1"/>
  <c r="B32" i="41"/>
  <c r="D32" i="41" s="1"/>
  <c r="B30" i="41"/>
  <c r="D30" i="41" s="1"/>
  <c r="L27" i="41"/>
  <c r="N27" i="41" s="1"/>
  <c r="L25" i="41"/>
  <c r="N25" i="41" s="1"/>
  <c r="B23" i="41"/>
  <c r="D23" i="41" s="1"/>
  <c r="B21" i="41"/>
  <c r="D21" i="41" s="1"/>
  <c r="L18" i="41"/>
  <c r="N18" i="41" s="1"/>
  <c r="L16" i="41"/>
  <c r="N16" i="41" s="1"/>
  <c r="B14" i="41"/>
  <c r="D14" i="41" s="1"/>
  <c r="B12" i="41"/>
  <c r="D12" i="41" s="1"/>
  <c r="Q62" i="41"/>
  <c r="S62" i="41" s="1"/>
  <c r="L57" i="41"/>
  <c r="N57" i="41" s="1"/>
  <c r="G53" i="41"/>
  <c r="I53" i="41" s="1"/>
  <c r="L43" i="41"/>
  <c r="N43" i="41" s="1"/>
  <c r="Q31" i="41"/>
  <c r="S31" i="41" s="1"/>
  <c r="B36" i="41"/>
  <c r="D36" i="41" s="1"/>
  <c r="Q52" i="41"/>
  <c r="S52" i="41" s="1"/>
  <c r="Q13" i="41"/>
  <c r="S13" i="41" s="1"/>
  <c r="G20" i="41"/>
  <c r="I20" i="41" s="1"/>
  <c r="Q28" i="41"/>
  <c r="S28" i="41" s="1"/>
  <c r="G44" i="41"/>
  <c r="I44" i="41" s="1"/>
  <c r="L60" i="41"/>
  <c r="N60" i="41" s="1"/>
  <c r="F4" i="41"/>
  <c r="L21" i="41"/>
  <c r="N21" i="41" s="1"/>
  <c r="G36" i="41"/>
  <c r="I36" i="41" s="1"/>
  <c r="B45" i="41"/>
  <c r="D45" i="41" s="1"/>
  <c r="B11" i="41"/>
  <c r="D11" i="41" s="1"/>
  <c r="B15" i="41"/>
  <c r="D15" i="41" s="1"/>
  <c r="B18" i="41"/>
  <c r="D18" i="41" s="1"/>
  <c r="Q24" i="41"/>
  <c r="S24" i="41" s="1"/>
  <c r="B29" i="41"/>
  <c r="D29" i="41" s="1"/>
  <c r="G33" i="41"/>
  <c r="I33" i="41" s="1"/>
  <c r="L37" i="41"/>
  <c r="N37" i="41" s="1"/>
  <c r="Q60" i="41"/>
  <c r="S60" i="41" s="1"/>
  <c r="Q21" i="41"/>
  <c r="S21" i="41" s="1"/>
  <c r="B26" i="41"/>
  <c r="D26" i="41" s="1"/>
  <c r="Q40" i="41"/>
  <c r="S40" i="41" s="1"/>
  <c r="G45" i="41"/>
  <c r="I45" i="41" s="1"/>
  <c r="L54" i="41"/>
  <c r="N54" i="41" s="1"/>
  <c r="L62" i="41"/>
  <c r="N62" i="41" s="1"/>
  <c r="Q39" i="41"/>
  <c r="S39" i="41" s="1"/>
  <c r="Q10" i="41"/>
  <c r="G17" i="41"/>
  <c r="I17" i="41" s="1"/>
  <c r="L24" i="41"/>
  <c r="N24" i="41" s="1"/>
  <c r="B33" i="41"/>
  <c r="D33" i="41" s="1"/>
  <c r="G48" i="41"/>
  <c r="I48" i="41" s="1"/>
  <c r="L40" i="41"/>
  <c r="N40" i="41" s="1"/>
  <c r="B53" i="41"/>
  <c r="D53" i="41" s="1"/>
  <c r="Q49" i="41"/>
  <c r="S49" i="41" s="1"/>
  <c r="G11" i="41"/>
  <c r="I11" i="41" s="1"/>
  <c r="G15" i="41"/>
  <c r="I15" i="41" s="1"/>
  <c r="G18" i="41"/>
  <c r="I18" i="41" s="1"/>
  <c r="G29" i="41"/>
  <c r="I29" i="41" s="1"/>
  <c r="L33" i="41"/>
  <c r="N33" i="41" s="1"/>
  <c r="Q37" i="41"/>
  <c r="S37" i="41" s="1"/>
  <c r="B42" i="41"/>
  <c r="D42" i="41" s="1"/>
  <c r="B50" i="41"/>
  <c r="D50" i="41" s="1"/>
  <c r="Q61" i="40"/>
  <c r="S61" i="40" s="1"/>
  <c r="Q58" i="40"/>
  <c r="S58" i="40" s="1"/>
  <c r="Q55" i="40"/>
  <c r="S55" i="40" s="1"/>
  <c r="Q53" i="40"/>
  <c r="S53" i="40" s="1"/>
  <c r="G52" i="40"/>
  <c r="I52" i="40" s="1"/>
  <c r="Q50" i="40"/>
  <c r="S50" i="40" s="1"/>
  <c r="G49" i="40"/>
  <c r="I49" i="40" s="1"/>
  <c r="Q47" i="40"/>
  <c r="S47" i="40" s="1"/>
  <c r="G46" i="40"/>
  <c r="I46" i="40" s="1"/>
  <c r="Q44" i="40"/>
  <c r="S44" i="40" s="1"/>
  <c r="G43" i="40"/>
  <c r="I43" i="40" s="1"/>
  <c r="Q41" i="40"/>
  <c r="S41" i="40" s="1"/>
  <c r="G40" i="40"/>
  <c r="I40" i="40" s="1"/>
  <c r="Q38" i="40"/>
  <c r="S38" i="40" s="1"/>
  <c r="G37" i="40"/>
  <c r="I37" i="40" s="1"/>
  <c r="Q35" i="40"/>
  <c r="S35" i="40" s="1"/>
  <c r="G34" i="40"/>
  <c r="I34" i="40" s="1"/>
  <c r="Q32" i="40"/>
  <c r="S32" i="40" s="1"/>
  <c r="G31" i="40"/>
  <c r="I31" i="40" s="1"/>
  <c r="Q29" i="40"/>
  <c r="S29" i="40" s="1"/>
  <c r="G28" i="40"/>
  <c r="I28" i="40" s="1"/>
  <c r="Q26" i="40"/>
  <c r="S26" i="40" s="1"/>
  <c r="G25" i="40"/>
  <c r="I25" i="40" s="1"/>
  <c r="Q23" i="40"/>
  <c r="S23" i="40" s="1"/>
  <c r="G22" i="40"/>
  <c r="I22" i="40" s="1"/>
  <c r="Q20" i="40"/>
  <c r="S20" i="40" s="1"/>
  <c r="G19" i="40"/>
  <c r="I19" i="40" s="1"/>
  <c r="Q17" i="40"/>
  <c r="S17" i="40" s="1"/>
  <c r="G16" i="40"/>
  <c r="I16" i="40" s="1"/>
  <c r="Q14" i="40"/>
  <c r="S14" i="40" s="1"/>
  <c r="G13" i="40"/>
  <c r="I13" i="40" s="1"/>
  <c r="Q11" i="40"/>
  <c r="S11" i="40" s="1"/>
  <c r="G10" i="40"/>
  <c r="Q64" i="40"/>
  <c r="S64" i="40" s="1"/>
  <c r="L64" i="40"/>
  <c r="N64" i="40" s="1"/>
  <c r="Q63" i="40"/>
  <c r="S63" i="40" s="1"/>
  <c r="Q60" i="40"/>
  <c r="S60" i="40" s="1"/>
  <c r="Q57" i="40"/>
  <c r="S57" i="40" s="1"/>
  <c r="Q54" i="40"/>
  <c r="S54" i="40" s="1"/>
  <c r="G53" i="40"/>
  <c r="I53" i="40" s="1"/>
  <c r="Q51" i="40"/>
  <c r="S51" i="40" s="1"/>
  <c r="G50" i="40"/>
  <c r="I50" i="40" s="1"/>
  <c r="Q48" i="40"/>
  <c r="S48" i="40" s="1"/>
  <c r="G47" i="40"/>
  <c r="I47" i="40" s="1"/>
  <c r="Q45" i="40"/>
  <c r="S45" i="40" s="1"/>
  <c r="G44" i="40"/>
  <c r="I44" i="40" s="1"/>
  <c r="Q42" i="40"/>
  <c r="S42" i="40" s="1"/>
  <c r="G41" i="40"/>
  <c r="I41" i="40" s="1"/>
  <c r="Q39" i="40"/>
  <c r="S39" i="40" s="1"/>
  <c r="G38" i="40"/>
  <c r="I38" i="40" s="1"/>
  <c r="Q36" i="40"/>
  <c r="S36" i="40" s="1"/>
  <c r="G35" i="40"/>
  <c r="I35" i="40" s="1"/>
  <c r="Q33" i="40"/>
  <c r="S33" i="40" s="1"/>
  <c r="G32" i="40"/>
  <c r="I32" i="40" s="1"/>
  <c r="Q30" i="40"/>
  <c r="S30" i="40" s="1"/>
  <c r="G29" i="40"/>
  <c r="I29" i="40" s="1"/>
  <c r="Q27" i="40"/>
  <c r="S27" i="40" s="1"/>
  <c r="G26" i="40"/>
  <c r="I26" i="40" s="1"/>
  <c r="Q24" i="40"/>
  <c r="S24" i="40" s="1"/>
  <c r="G23" i="40"/>
  <c r="I23" i="40" s="1"/>
  <c r="Q21" i="40"/>
  <c r="S21" i="40" s="1"/>
  <c r="G20" i="40"/>
  <c r="I20" i="40" s="1"/>
  <c r="Q18" i="40"/>
  <c r="S18" i="40" s="1"/>
  <c r="G17" i="40"/>
  <c r="I17" i="40" s="1"/>
  <c r="Q15" i="40"/>
  <c r="S15" i="40" s="1"/>
  <c r="G14" i="40"/>
  <c r="I14" i="40" s="1"/>
  <c r="Q12" i="40"/>
  <c r="S12" i="40" s="1"/>
  <c r="G11" i="40"/>
  <c r="I11" i="40" s="1"/>
  <c r="F4" i="40"/>
  <c r="E4" i="40"/>
  <c r="L60" i="40"/>
  <c r="N60" i="40" s="1"/>
  <c r="L57" i="40"/>
  <c r="N57" i="40" s="1"/>
  <c r="L54" i="40"/>
  <c r="N54" i="40" s="1"/>
  <c r="B53" i="40"/>
  <c r="D53" i="40" s="1"/>
  <c r="L51" i="40"/>
  <c r="N51" i="40" s="1"/>
  <c r="B50" i="40"/>
  <c r="D50" i="40" s="1"/>
  <c r="L48" i="40"/>
  <c r="N48" i="40" s="1"/>
  <c r="B47" i="40"/>
  <c r="D47" i="40" s="1"/>
  <c r="L45" i="40"/>
  <c r="N45" i="40" s="1"/>
  <c r="B44" i="40"/>
  <c r="D44" i="40" s="1"/>
  <c r="L42" i="40"/>
  <c r="N42" i="40" s="1"/>
  <c r="B41" i="40"/>
  <c r="D41" i="40" s="1"/>
  <c r="L39" i="40"/>
  <c r="N39" i="40" s="1"/>
  <c r="B38" i="40"/>
  <c r="D38" i="40" s="1"/>
  <c r="L36" i="40"/>
  <c r="N36" i="40" s="1"/>
  <c r="L63" i="40"/>
  <c r="N63" i="40" s="1"/>
  <c r="Q62" i="40"/>
  <c r="S62" i="40" s="1"/>
  <c r="L62" i="40"/>
  <c r="N62" i="40" s="1"/>
  <c r="L50" i="40"/>
  <c r="N50" i="40" s="1"/>
  <c r="B48" i="40"/>
  <c r="D48" i="40" s="1"/>
  <c r="G45" i="40"/>
  <c r="I45" i="40" s="1"/>
  <c r="B35" i="40"/>
  <c r="D35" i="40" s="1"/>
  <c r="B33" i="40"/>
  <c r="D33" i="40" s="1"/>
  <c r="L30" i="40"/>
  <c r="N30" i="40" s="1"/>
  <c r="L28" i="40"/>
  <c r="N28" i="40" s="1"/>
  <c r="B26" i="40"/>
  <c r="D26" i="40" s="1"/>
  <c r="B24" i="40"/>
  <c r="D24" i="40" s="1"/>
  <c r="L21" i="40"/>
  <c r="N21" i="40" s="1"/>
  <c r="L19" i="40"/>
  <c r="N19" i="40" s="1"/>
  <c r="B17" i="40"/>
  <c r="D17" i="40" s="1"/>
  <c r="B15" i="40"/>
  <c r="D15" i="40" s="1"/>
  <c r="L12" i="40"/>
  <c r="N12" i="40" s="1"/>
  <c r="L10" i="40"/>
  <c r="L61" i="40"/>
  <c r="N61" i="40" s="1"/>
  <c r="L56" i="40"/>
  <c r="N56" i="40" s="1"/>
  <c r="Q52" i="40"/>
  <c r="S52" i="40" s="1"/>
  <c r="B40" i="40"/>
  <c r="D40" i="40" s="1"/>
  <c r="L37" i="40"/>
  <c r="N37" i="40" s="1"/>
  <c r="L47" i="40"/>
  <c r="N47" i="40" s="1"/>
  <c r="B45" i="40"/>
  <c r="D45" i="40" s="1"/>
  <c r="G42" i="40"/>
  <c r="I42" i="40" s="1"/>
  <c r="Q34" i="40"/>
  <c r="S34" i="40" s="1"/>
  <c r="L32" i="40"/>
  <c r="N32" i="40" s="1"/>
  <c r="G30" i="40"/>
  <c r="I30" i="40" s="1"/>
  <c r="B28" i="40"/>
  <c r="D28" i="40" s="1"/>
  <c r="Q25" i="40"/>
  <c r="S25" i="40" s="1"/>
  <c r="L23" i="40"/>
  <c r="N23" i="40" s="1"/>
  <c r="G21" i="40"/>
  <c r="I21" i="40" s="1"/>
  <c r="B19" i="40"/>
  <c r="D19" i="40" s="1"/>
  <c r="Q16" i="40"/>
  <c r="S16" i="40" s="1"/>
  <c r="L14" i="40"/>
  <c r="N14" i="40" s="1"/>
  <c r="G12" i="40"/>
  <c r="I12" i="40" s="1"/>
  <c r="B10" i="40"/>
  <c r="D4" i="40"/>
  <c r="L55" i="40"/>
  <c r="N55" i="40" s="1"/>
  <c r="L52" i="40"/>
  <c r="N52" i="40" s="1"/>
  <c r="Q49" i="40"/>
  <c r="S49" i="40" s="1"/>
  <c r="B37" i="40"/>
  <c r="D37" i="40" s="1"/>
  <c r="L13" i="40"/>
  <c r="N13" i="40" s="1"/>
  <c r="L16" i="40"/>
  <c r="N16" i="40" s="1"/>
  <c r="B20" i="40"/>
  <c r="D20" i="40" s="1"/>
  <c r="B23" i="40"/>
  <c r="D23" i="40" s="1"/>
  <c r="B27" i="40"/>
  <c r="D27" i="40" s="1"/>
  <c r="B30" i="40"/>
  <c r="D30" i="40" s="1"/>
  <c r="L33" i="40"/>
  <c r="N33" i="40" s="1"/>
  <c r="L44" i="40"/>
  <c r="N44" i="40" s="1"/>
  <c r="L58" i="40"/>
  <c r="N58" i="40" s="1"/>
  <c r="Q10" i="40"/>
  <c r="Q37" i="40"/>
  <c r="S37" i="40" s="1"/>
  <c r="B49" i="40"/>
  <c r="D49" i="40" s="1"/>
  <c r="C4" i="40"/>
  <c r="Q13" i="40"/>
  <c r="S13" i="40" s="1"/>
  <c r="L17" i="40"/>
  <c r="N17" i="40" s="1"/>
  <c r="L20" i="40"/>
  <c r="N20" i="40" s="1"/>
  <c r="G24" i="40"/>
  <c r="I24" i="40" s="1"/>
  <c r="G27" i="40"/>
  <c r="I27" i="40" s="1"/>
  <c r="B31" i="40"/>
  <c r="D31" i="40" s="1"/>
  <c r="B34" i="40"/>
  <c r="D34" i="40" s="1"/>
  <c r="L41" i="40"/>
  <c r="N41" i="40" s="1"/>
  <c r="L53" i="40"/>
  <c r="N53" i="40" s="1"/>
  <c r="L59" i="40"/>
  <c r="N59" i="40" s="1"/>
  <c r="B11" i="40"/>
  <c r="D11" i="40" s="1"/>
  <c r="B46" i="40"/>
  <c r="D46" i="40" s="1"/>
  <c r="L49" i="40"/>
  <c r="N49" i="40" s="1"/>
  <c r="B14" i="40"/>
  <c r="D14" i="40" s="1"/>
  <c r="B18" i="40"/>
  <c r="D18" i="40" s="1"/>
  <c r="B21" i="40"/>
  <c r="D21" i="40" s="1"/>
  <c r="L24" i="40"/>
  <c r="N24" i="40" s="1"/>
  <c r="L27" i="40"/>
  <c r="N27" i="40" s="1"/>
  <c r="L31" i="40"/>
  <c r="N31" i="40" s="1"/>
  <c r="L34" i="40"/>
  <c r="N34" i="40" s="1"/>
  <c r="L38" i="40"/>
  <c r="N38" i="40" s="1"/>
  <c r="B42" i="40"/>
  <c r="D42" i="40" s="1"/>
  <c r="B54" i="40"/>
  <c r="D54" i="40" s="1"/>
  <c r="Q59" i="40"/>
  <c r="S59" i="40" s="1"/>
  <c r="G2" i="39"/>
  <c r="H3" i="39" s="1"/>
  <c r="L64" i="39"/>
  <c r="N64" i="39" s="1"/>
  <c r="L62" i="39"/>
  <c r="N62" i="39" s="1"/>
  <c r="L60" i="39"/>
  <c r="N60" i="39" s="1"/>
  <c r="L58" i="39"/>
  <c r="N58" i="39" s="1"/>
  <c r="L56" i="39"/>
  <c r="N56" i="39" s="1"/>
  <c r="L54" i="39"/>
  <c r="N54" i="39" s="1"/>
  <c r="L53" i="39"/>
  <c r="N53" i="39" s="1"/>
  <c r="L52" i="39"/>
  <c r="N52" i="39" s="1"/>
  <c r="L51" i="39"/>
  <c r="N51" i="39" s="1"/>
  <c r="L50" i="39"/>
  <c r="N50" i="39" s="1"/>
  <c r="L49" i="39"/>
  <c r="N49" i="39" s="1"/>
  <c r="L48" i="39"/>
  <c r="N48" i="39" s="1"/>
  <c r="L47" i="39"/>
  <c r="N47" i="39" s="1"/>
  <c r="L46" i="39"/>
  <c r="N46" i="39" s="1"/>
  <c r="L45" i="39"/>
  <c r="N45" i="39" s="1"/>
  <c r="L44" i="39"/>
  <c r="N44" i="39" s="1"/>
  <c r="L43" i="39"/>
  <c r="N43" i="39" s="1"/>
  <c r="L42" i="39"/>
  <c r="N42" i="39" s="1"/>
  <c r="L41" i="39"/>
  <c r="N41" i="39" s="1"/>
  <c r="L40" i="39"/>
  <c r="N40" i="39" s="1"/>
  <c r="L39" i="39"/>
  <c r="N39" i="39" s="1"/>
  <c r="L38" i="39"/>
  <c r="N38" i="39" s="1"/>
  <c r="L37" i="39"/>
  <c r="N37" i="39" s="1"/>
  <c r="L36" i="39"/>
  <c r="N36" i="39" s="1"/>
  <c r="L35" i="39"/>
  <c r="N35" i="39" s="1"/>
  <c r="L34" i="39"/>
  <c r="N34" i="39" s="1"/>
  <c r="L33" i="39"/>
  <c r="N33" i="39" s="1"/>
  <c r="L32" i="39"/>
  <c r="N32" i="39" s="1"/>
  <c r="L31" i="39"/>
  <c r="N31" i="39" s="1"/>
  <c r="L30" i="39"/>
  <c r="N30" i="39" s="1"/>
  <c r="L29" i="39"/>
  <c r="N29" i="39" s="1"/>
  <c r="L28" i="39"/>
  <c r="N28" i="39" s="1"/>
  <c r="L27" i="39"/>
  <c r="N27" i="39" s="1"/>
  <c r="L26" i="39"/>
  <c r="N26" i="39" s="1"/>
  <c r="L25" i="39"/>
  <c r="N25" i="39" s="1"/>
  <c r="L24" i="39"/>
  <c r="N24" i="39" s="1"/>
  <c r="L23" i="39"/>
  <c r="N23" i="39" s="1"/>
  <c r="L22" i="39"/>
  <c r="N22" i="39" s="1"/>
  <c r="L21" i="39"/>
  <c r="N21" i="39" s="1"/>
  <c r="L20" i="39"/>
  <c r="N20" i="39" s="1"/>
  <c r="L19" i="39"/>
  <c r="N19" i="39" s="1"/>
  <c r="L18" i="39"/>
  <c r="N18" i="39" s="1"/>
  <c r="L17" i="39"/>
  <c r="N17" i="39" s="1"/>
  <c r="L16" i="39"/>
  <c r="N16" i="39" s="1"/>
  <c r="L15" i="39"/>
  <c r="N15" i="39" s="1"/>
  <c r="L14" i="39"/>
  <c r="N14" i="39" s="1"/>
  <c r="L13" i="39"/>
  <c r="N13" i="39" s="1"/>
  <c r="L12" i="39"/>
  <c r="N12" i="39" s="1"/>
  <c r="L11" i="39"/>
  <c r="N11" i="39" s="1"/>
  <c r="L10" i="39"/>
  <c r="E4" i="39"/>
  <c r="G14" i="39"/>
  <c r="I14" i="39" s="1"/>
  <c r="G18" i="39"/>
  <c r="I18" i="39" s="1"/>
  <c r="B28" i="39"/>
  <c r="D28" i="39" s="1"/>
  <c r="B36" i="39"/>
  <c r="D36" i="39" s="1"/>
  <c r="G47" i="39"/>
  <c r="I47" i="39" s="1"/>
  <c r="B52" i="39"/>
  <c r="D52" i="39" s="1"/>
  <c r="Q11" i="39"/>
  <c r="S11" i="39" s="1"/>
  <c r="B13" i="39"/>
  <c r="D13" i="39" s="1"/>
  <c r="Q15" i="39"/>
  <c r="S15" i="39" s="1"/>
  <c r="B17" i="39"/>
  <c r="D17" i="39" s="1"/>
  <c r="Q19" i="39"/>
  <c r="S19" i="39" s="1"/>
  <c r="B21" i="39"/>
  <c r="D21" i="39" s="1"/>
  <c r="Q23" i="39"/>
  <c r="S23" i="39" s="1"/>
  <c r="B25" i="39"/>
  <c r="D25" i="39" s="1"/>
  <c r="Q26" i="39"/>
  <c r="S26" i="39" s="1"/>
  <c r="G28" i="39"/>
  <c r="I28" i="39" s="1"/>
  <c r="B33" i="39"/>
  <c r="D33" i="39" s="1"/>
  <c r="Q34" i="39"/>
  <c r="S34" i="39" s="1"/>
  <c r="G36" i="39"/>
  <c r="I36" i="39" s="1"/>
  <c r="B41" i="39"/>
  <c r="D41" i="39" s="1"/>
  <c r="Q42" i="39"/>
  <c r="S42" i="39" s="1"/>
  <c r="G44" i="39"/>
  <c r="I44" i="39" s="1"/>
  <c r="B49" i="39"/>
  <c r="D49" i="39" s="1"/>
  <c r="Q50" i="39"/>
  <c r="S50" i="39" s="1"/>
  <c r="G52" i="39"/>
  <c r="I52" i="39" s="1"/>
  <c r="L59" i="39"/>
  <c r="N59" i="39" s="1"/>
  <c r="Q62" i="39"/>
  <c r="S62" i="39" s="1"/>
  <c r="G22" i="39"/>
  <c r="I22" i="39" s="1"/>
  <c r="Q29" i="39"/>
  <c r="S29" i="39" s="1"/>
  <c r="G39" i="39"/>
  <c r="I39" i="39" s="1"/>
  <c r="B44" i="39"/>
  <c r="D44" i="39" s="1"/>
  <c r="Q53" i="39"/>
  <c r="S53" i="39" s="1"/>
  <c r="C4" i="39"/>
  <c r="G13" i="39"/>
  <c r="I13" i="39" s="1"/>
  <c r="G17" i="39"/>
  <c r="I17" i="39" s="1"/>
  <c r="G21" i="39"/>
  <c r="I21" i="39" s="1"/>
  <c r="G25" i="39"/>
  <c r="I25" i="39" s="1"/>
  <c r="B30" i="39"/>
  <c r="D30" i="39" s="1"/>
  <c r="Q31" i="39"/>
  <c r="S31" i="39" s="1"/>
  <c r="G33" i="39"/>
  <c r="I33" i="39" s="1"/>
  <c r="B38" i="39"/>
  <c r="D38" i="39" s="1"/>
  <c r="Q39" i="39"/>
  <c r="S39" i="39" s="1"/>
  <c r="G41" i="39"/>
  <c r="I41" i="39" s="1"/>
  <c r="B46" i="39"/>
  <c r="D46" i="39" s="1"/>
  <c r="Q47" i="39"/>
  <c r="S47" i="39" s="1"/>
  <c r="G49" i="39"/>
  <c r="I49" i="39" s="1"/>
  <c r="B54" i="39"/>
  <c r="D54" i="39" s="1"/>
  <c r="Q56" i="39"/>
  <c r="S56" i="39" s="1"/>
  <c r="Q59" i="39"/>
  <c r="S59" i="39" s="1"/>
  <c r="G10" i="39"/>
  <c r="G31" i="39"/>
  <c r="I31" i="39" s="1"/>
  <c r="Q37" i="39"/>
  <c r="S37" i="39" s="1"/>
  <c r="Q45" i="39"/>
  <c r="S45" i="39" s="1"/>
  <c r="Q55" i="39"/>
  <c r="S55" i="39" s="1"/>
  <c r="D4" i="39"/>
  <c r="Q10" i="39"/>
  <c r="B12" i="39"/>
  <c r="D12" i="39" s="1"/>
  <c r="Q14" i="39"/>
  <c r="S14" i="39" s="1"/>
  <c r="B16" i="39"/>
  <c r="D16" i="39" s="1"/>
  <c r="Q18" i="39"/>
  <c r="S18" i="39" s="1"/>
  <c r="B20" i="39"/>
  <c r="D20" i="39" s="1"/>
  <c r="Q22" i="39"/>
  <c r="S22" i="39" s="1"/>
  <c r="B24" i="39"/>
  <c r="D24" i="39" s="1"/>
  <c r="B27" i="39"/>
  <c r="D27" i="39" s="1"/>
  <c r="Q28" i="39"/>
  <c r="S28" i="39" s="1"/>
  <c r="G30" i="39"/>
  <c r="I30" i="39" s="1"/>
  <c r="B35" i="39"/>
  <c r="D35" i="39" s="1"/>
  <c r="Q36" i="39"/>
  <c r="S36" i="39" s="1"/>
  <c r="G38" i="39"/>
  <c r="I38" i="39" s="1"/>
  <c r="B43" i="39"/>
  <c r="D43" i="39" s="1"/>
  <c r="Q44" i="39"/>
  <c r="S44" i="39" s="1"/>
  <c r="G46" i="39"/>
  <c r="I46" i="39" s="1"/>
  <c r="B51" i="39"/>
  <c r="D51" i="39" s="1"/>
  <c r="Q52" i="39"/>
  <c r="S52" i="39" s="1"/>
  <c r="G54" i="39"/>
  <c r="I54" i="39" s="1"/>
  <c r="L63" i="39"/>
  <c r="N63" i="39" s="1"/>
  <c r="N5" i="39"/>
  <c r="G24" i="39"/>
  <c r="I24" i="39" s="1"/>
  <c r="Q25" i="39"/>
  <c r="S25" i="39" s="1"/>
  <c r="G27" i="39"/>
  <c r="I27" i="39" s="1"/>
  <c r="B32" i="39"/>
  <c r="D32" i="39" s="1"/>
  <c r="Q33" i="39"/>
  <c r="S33" i="39" s="1"/>
  <c r="G35" i="39"/>
  <c r="I35" i="39" s="1"/>
  <c r="B40" i="39"/>
  <c r="D40" i="39" s="1"/>
  <c r="Q41" i="39"/>
  <c r="S41" i="39" s="1"/>
  <c r="G43" i="39"/>
  <c r="I43" i="39" s="1"/>
  <c r="B48" i="39"/>
  <c r="D48" i="39" s="1"/>
  <c r="Q49" i="39"/>
  <c r="S49" i="39" s="1"/>
  <c r="G51" i="39"/>
  <c r="I51" i="39" s="1"/>
  <c r="L57" i="39"/>
  <c r="N57" i="39" s="1"/>
  <c r="Q60" i="39"/>
  <c r="S60" i="39" s="1"/>
  <c r="Q63" i="39"/>
  <c r="S63" i="39" s="1"/>
  <c r="F6" i="39"/>
  <c r="B11" i="39"/>
  <c r="D11" i="39" s="1"/>
  <c r="Q13" i="39"/>
  <c r="S13" i="39" s="1"/>
  <c r="B15" i="39"/>
  <c r="D15" i="39" s="1"/>
  <c r="Q17" i="39"/>
  <c r="S17" i="39" s="1"/>
  <c r="B19" i="39"/>
  <c r="D19" i="39" s="1"/>
  <c r="Q21" i="39"/>
  <c r="S21" i="39" s="1"/>
  <c r="B23" i="39"/>
  <c r="D23" i="39" s="1"/>
  <c r="B29" i="39"/>
  <c r="D29" i="39" s="1"/>
  <c r="Q30" i="39"/>
  <c r="S30" i="39" s="1"/>
  <c r="G32" i="39"/>
  <c r="I32" i="39" s="1"/>
  <c r="B37" i="39"/>
  <c r="D37" i="39" s="1"/>
  <c r="Q38" i="39"/>
  <c r="S38" i="39" s="1"/>
  <c r="G40" i="39"/>
  <c r="I40" i="39" s="1"/>
  <c r="B45" i="39"/>
  <c r="D45" i="39" s="1"/>
  <c r="Q46" i="39"/>
  <c r="S46" i="39" s="1"/>
  <c r="G48" i="39"/>
  <c r="I48" i="39" s="1"/>
  <c r="B53" i="39"/>
  <c r="D53" i="39" s="1"/>
  <c r="Q54" i="39"/>
  <c r="S54" i="39" s="1"/>
  <c r="Q57" i="39"/>
  <c r="S57" i="39" s="1"/>
  <c r="G23" i="39"/>
  <c r="I23" i="39" s="1"/>
  <c r="B26" i="39"/>
  <c r="D26" i="39" s="1"/>
  <c r="Q27" i="39"/>
  <c r="S27" i="39" s="1"/>
  <c r="G29" i="39"/>
  <c r="I29" i="39" s="1"/>
  <c r="B34" i="39"/>
  <c r="D34" i="39" s="1"/>
  <c r="Q35" i="39"/>
  <c r="S35" i="39" s="1"/>
  <c r="G37" i="39"/>
  <c r="I37" i="39" s="1"/>
  <c r="B42" i="39"/>
  <c r="D42" i="39" s="1"/>
  <c r="Q43" i="39"/>
  <c r="S43" i="39" s="1"/>
  <c r="G45" i="39"/>
  <c r="I45" i="39" s="1"/>
  <c r="B50" i="39"/>
  <c r="D50" i="39" s="1"/>
  <c r="Q51" i="39"/>
  <c r="S51" i="39" s="1"/>
  <c r="G53" i="39"/>
  <c r="I53" i="39" s="1"/>
  <c r="L61" i="39"/>
  <c r="N61" i="39" s="1"/>
  <c r="Q64" i="39"/>
  <c r="S64" i="39" s="1"/>
  <c r="B10" i="39"/>
  <c r="Q12" i="39"/>
  <c r="S12" i="39" s="1"/>
  <c r="B14" i="39"/>
  <c r="D14" i="39" s="1"/>
  <c r="Q16" i="39"/>
  <c r="S16" i="39" s="1"/>
  <c r="B18" i="39"/>
  <c r="D18" i="39" s="1"/>
  <c r="Q20" i="39"/>
  <c r="S20" i="39" s="1"/>
  <c r="B22" i="39"/>
  <c r="D22" i="39" s="1"/>
  <c r="Q24" i="39"/>
  <c r="S24" i="39" s="1"/>
  <c r="G26" i="39"/>
  <c r="I26" i="39" s="1"/>
  <c r="B31" i="39"/>
  <c r="D31" i="39" s="1"/>
  <c r="Q32" i="39"/>
  <c r="S32" i="39" s="1"/>
  <c r="G34" i="39"/>
  <c r="I34" i="39" s="1"/>
  <c r="B39" i="39"/>
  <c r="D39" i="39" s="1"/>
  <c r="Q40" i="39"/>
  <c r="S40" i="39" s="1"/>
  <c r="G42" i="39"/>
  <c r="I42" i="39" s="1"/>
  <c r="B47" i="39"/>
  <c r="D47" i="39" s="1"/>
  <c r="Q48" i="39"/>
  <c r="S48" i="39" s="1"/>
  <c r="G50" i="39"/>
  <c r="I50" i="39" s="1"/>
  <c r="L55" i="39"/>
  <c r="N55" i="39" s="1"/>
  <c r="Q58" i="39"/>
  <c r="S58" i="39" s="1"/>
  <c r="Q61" i="39"/>
  <c r="S61" i="39" s="1"/>
  <c r="N5" i="38"/>
  <c r="G2" i="38"/>
  <c r="H3" i="38" s="1"/>
  <c r="B40" i="38"/>
  <c r="B41" i="38"/>
  <c r="D41" i="38" s="1"/>
  <c r="B42" i="38"/>
  <c r="D42" i="38" s="1"/>
  <c r="B43" i="38"/>
  <c r="D43" i="38" s="1"/>
  <c r="B44" i="38"/>
  <c r="D44" i="38" s="1"/>
  <c r="B45" i="38"/>
  <c r="D45" i="38" s="1"/>
  <c r="B46" i="38"/>
  <c r="D46" i="38" s="1"/>
  <c r="B47" i="38"/>
  <c r="D47" i="38" s="1"/>
  <c r="B48" i="38"/>
  <c r="D48" i="38" s="1"/>
  <c r="B49" i="38"/>
  <c r="D49" i="38" s="1"/>
  <c r="B50" i="38"/>
  <c r="D50" i="38" s="1"/>
  <c r="B51" i="38"/>
  <c r="D51" i="38" s="1"/>
  <c r="B52" i="38"/>
  <c r="D52" i="38" s="1"/>
  <c r="B53" i="38"/>
  <c r="D53" i="38" s="1"/>
  <c r="B54" i="38"/>
  <c r="D54" i="38" s="1"/>
  <c r="L55" i="38"/>
  <c r="N55" i="38" s="1"/>
  <c r="L57" i="38"/>
  <c r="N57" i="38" s="1"/>
  <c r="L59" i="38"/>
  <c r="N59" i="38" s="1"/>
  <c r="L61" i="38"/>
  <c r="N61" i="38" s="1"/>
  <c r="L63" i="38"/>
  <c r="N63" i="38" s="1"/>
  <c r="E4" i="38"/>
  <c r="G4" i="38" s="1"/>
  <c r="Q63" i="38"/>
  <c r="C6" i="38"/>
  <c r="L31" i="38"/>
  <c r="L32" i="38"/>
  <c r="N32" i="38" s="1"/>
  <c r="L33" i="38"/>
  <c r="N33" i="38" s="1"/>
  <c r="L34" i="38"/>
  <c r="N34" i="38" s="1"/>
  <c r="L35" i="38"/>
  <c r="N35" i="38" s="1"/>
  <c r="L36" i="38"/>
  <c r="N36" i="38" s="1"/>
  <c r="L37" i="38"/>
  <c r="N37" i="38" s="1"/>
  <c r="L38" i="38"/>
  <c r="N38" i="38" s="1"/>
  <c r="L39" i="38"/>
  <c r="N39" i="38" s="1"/>
  <c r="L40" i="38"/>
  <c r="N40" i="38" s="1"/>
  <c r="L41" i="38"/>
  <c r="N41" i="38" s="1"/>
  <c r="L42" i="38"/>
  <c r="N42" i="38" s="1"/>
  <c r="L43" i="38"/>
  <c r="N43" i="38" s="1"/>
  <c r="L44" i="38"/>
  <c r="N44" i="38" s="1"/>
  <c r="L45" i="38"/>
  <c r="N45" i="38" s="1"/>
  <c r="L46" i="38"/>
  <c r="N46" i="38" s="1"/>
  <c r="L47" i="38"/>
  <c r="N47" i="38" s="1"/>
  <c r="L48" i="38"/>
  <c r="N48" i="38" s="1"/>
  <c r="L49" i="38"/>
  <c r="N49" i="38" s="1"/>
  <c r="L50" i="38"/>
  <c r="N50" i="38" s="1"/>
  <c r="L51" i="38"/>
  <c r="N51" i="38" s="1"/>
  <c r="L52" i="38"/>
  <c r="N52" i="38" s="1"/>
  <c r="L53" i="38"/>
  <c r="N53" i="38" s="1"/>
  <c r="L54" i="38"/>
  <c r="N54" i="38" s="1"/>
  <c r="L56" i="38"/>
  <c r="N56" i="38" s="1"/>
  <c r="L58" i="38"/>
  <c r="N58" i="38" s="1"/>
  <c r="L60" i="38"/>
  <c r="N60" i="38" s="1"/>
  <c r="L62" i="38"/>
  <c r="N62" i="38" s="1"/>
  <c r="D6" i="38"/>
  <c r="Q64" i="36"/>
  <c r="S64" i="36" s="1"/>
  <c r="L63" i="36"/>
  <c r="N63" i="36" s="1"/>
  <c r="Q62" i="36"/>
  <c r="S62" i="36" s="1"/>
  <c r="L61" i="36"/>
  <c r="N61" i="36" s="1"/>
  <c r="Q60" i="36"/>
  <c r="S60" i="36" s="1"/>
  <c r="L59" i="36"/>
  <c r="N59" i="36" s="1"/>
  <c r="Q58" i="36"/>
  <c r="S58" i="36" s="1"/>
  <c r="L57" i="36"/>
  <c r="N57" i="36" s="1"/>
  <c r="Q56" i="36"/>
  <c r="S56" i="36" s="1"/>
  <c r="L55" i="36"/>
  <c r="N55" i="36" s="1"/>
  <c r="Q54" i="36"/>
  <c r="S54" i="36" s="1"/>
  <c r="B54" i="36"/>
  <c r="D54" i="36" s="1"/>
  <c r="Q53" i="36"/>
  <c r="S53" i="36" s="1"/>
  <c r="B53" i="36"/>
  <c r="D53" i="36" s="1"/>
  <c r="Q52" i="36"/>
  <c r="S52" i="36" s="1"/>
  <c r="B52" i="36"/>
  <c r="D52" i="36" s="1"/>
  <c r="Q51" i="36"/>
  <c r="S51" i="36" s="1"/>
  <c r="B51" i="36"/>
  <c r="D51" i="36" s="1"/>
  <c r="Q50" i="36"/>
  <c r="S50" i="36" s="1"/>
  <c r="B50" i="36"/>
  <c r="D50" i="36" s="1"/>
  <c r="Q49" i="36"/>
  <c r="S49" i="36" s="1"/>
  <c r="B49" i="36"/>
  <c r="D49" i="36" s="1"/>
  <c r="Q48" i="36"/>
  <c r="S48" i="36" s="1"/>
  <c r="B48" i="36"/>
  <c r="D48" i="36" s="1"/>
  <c r="Q47" i="36"/>
  <c r="S47" i="36" s="1"/>
  <c r="B47" i="36"/>
  <c r="D47" i="36" s="1"/>
  <c r="Q46" i="36"/>
  <c r="S46" i="36" s="1"/>
  <c r="B46" i="36"/>
  <c r="D46" i="36" s="1"/>
  <c r="Q45" i="36"/>
  <c r="S45" i="36" s="1"/>
  <c r="B45" i="36"/>
  <c r="D45" i="36" s="1"/>
  <c r="Q44" i="36"/>
  <c r="S44" i="36" s="1"/>
  <c r="B44" i="36"/>
  <c r="D44" i="36" s="1"/>
  <c r="Q43" i="36"/>
  <c r="S43" i="36" s="1"/>
  <c r="B43" i="36"/>
  <c r="D43" i="36" s="1"/>
  <c r="Q42" i="36"/>
  <c r="S42" i="36" s="1"/>
  <c r="B42" i="36"/>
  <c r="D42" i="36" s="1"/>
  <c r="Q41" i="36"/>
  <c r="S41" i="36" s="1"/>
  <c r="B41" i="36"/>
  <c r="D41" i="36" s="1"/>
  <c r="Q40" i="36"/>
  <c r="S40" i="36" s="1"/>
  <c r="B40" i="36"/>
  <c r="D40" i="36" s="1"/>
  <c r="Q39" i="36"/>
  <c r="S39" i="36" s="1"/>
  <c r="B39" i="36"/>
  <c r="D39" i="36" s="1"/>
  <c r="Q38" i="36"/>
  <c r="S38" i="36" s="1"/>
  <c r="B38" i="36"/>
  <c r="D38" i="36" s="1"/>
  <c r="Q37" i="36"/>
  <c r="S37" i="36" s="1"/>
  <c r="B37" i="36"/>
  <c r="D37" i="36" s="1"/>
  <c r="Q36" i="36"/>
  <c r="S36" i="36" s="1"/>
  <c r="B36" i="36"/>
  <c r="D36" i="36" s="1"/>
  <c r="Q35" i="36"/>
  <c r="S35" i="36" s="1"/>
  <c r="B35" i="36"/>
  <c r="D35" i="36" s="1"/>
  <c r="Q34" i="36"/>
  <c r="S34" i="36" s="1"/>
  <c r="B34" i="36"/>
  <c r="D34" i="36" s="1"/>
  <c r="Q33" i="36"/>
  <c r="S33" i="36" s="1"/>
  <c r="B33" i="36"/>
  <c r="D33" i="36" s="1"/>
  <c r="Q32" i="36"/>
  <c r="S32" i="36" s="1"/>
  <c r="B32" i="36"/>
  <c r="D32" i="36" s="1"/>
  <c r="Q31" i="36"/>
  <c r="S31" i="36" s="1"/>
  <c r="B31" i="36"/>
  <c r="D31" i="36" s="1"/>
  <c r="Q30" i="36"/>
  <c r="S30" i="36" s="1"/>
  <c r="B30" i="36"/>
  <c r="D30" i="36" s="1"/>
  <c r="Q29" i="36"/>
  <c r="S29" i="36" s="1"/>
  <c r="B29" i="36"/>
  <c r="D29" i="36" s="1"/>
  <c r="Q28" i="36"/>
  <c r="S28" i="36" s="1"/>
  <c r="B28" i="36"/>
  <c r="D28" i="36" s="1"/>
  <c r="Q27" i="36"/>
  <c r="S27" i="36" s="1"/>
  <c r="B27" i="36"/>
  <c r="D27" i="36" s="1"/>
  <c r="Q26" i="36"/>
  <c r="S26" i="36" s="1"/>
  <c r="B26" i="36"/>
  <c r="D26" i="36" s="1"/>
  <c r="Q25" i="36"/>
  <c r="S25" i="36" s="1"/>
  <c r="B25" i="36"/>
  <c r="D25" i="36" s="1"/>
  <c r="Q24" i="36"/>
  <c r="S24" i="36" s="1"/>
  <c r="B24" i="36"/>
  <c r="D24" i="36" s="1"/>
  <c r="Q23" i="36"/>
  <c r="S23" i="36" s="1"/>
  <c r="B23" i="36"/>
  <c r="D23" i="36" s="1"/>
  <c r="Q22" i="36"/>
  <c r="S22" i="36" s="1"/>
  <c r="B22" i="36"/>
  <c r="D22" i="36" s="1"/>
  <c r="Q21" i="36"/>
  <c r="S21" i="36" s="1"/>
  <c r="B21" i="36"/>
  <c r="D21" i="36" s="1"/>
  <c r="Q20" i="36"/>
  <c r="S20" i="36" s="1"/>
  <c r="B20" i="36"/>
  <c r="D20" i="36" s="1"/>
  <c r="Q19" i="36"/>
  <c r="S19" i="36" s="1"/>
  <c r="B19" i="36"/>
  <c r="D19" i="36" s="1"/>
  <c r="Q18" i="36"/>
  <c r="S18" i="36" s="1"/>
  <c r="B18" i="36"/>
  <c r="D18" i="36" s="1"/>
  <c r="Q17" i="36"/>
  <c r="S17" i="36" s="1"/>
  <c r="B17" i="36"/>
  <c r="D17" i="36" s="1"/>
  <c r="Q16" i="36"/>
  <c r="S16" i="36" s="1"/>
  <c r="B16" i="36"/>
  <c r="D16" i="36" s="1"/>
  <c r="Q15" i="36"/>
  <c r="S15" i="36" s="1"/>
  <c r="B15" i="36"/>
  <c r="D15" i="36" s="1"/>
  <c r="Q14" i="36"/>
  <c r="S14" i="36" s="1"/>
  <c r="B14" i="36"/>
  <c r="D14" i="36" s="1"/>
  <c r="Q13" i="36"/>
  <c r="S13" i="36" s="1"/>
  <c r="B13" i="36"/>
  <c r="D13" i="36" s="1"/>
  <c r="Q12" i="36"/>
  <c r="S12" i="36" s="1"/>
  <c r="B12" i="36"/>
  <c r="D12" i="36" s="1"/>
  <c r="Q11" i="36"/>
  <c r="S11" i="36" s="1"/>
  <c r="B11" i="36"/>
  <c r="D11" i="36" s="1"/>
  <c r="Q10" i="36"/>
  <c r="S10" i="36" s="1"/>
  <c r="B10" i="36"/>
  <c r="C3" i="36" s="1"/>
  <c r="G5" i="36"/>
  <c r="S4" i="36"/>
  <c r="T6" i="36" s="1"/>
  <c r="D4" i="36"/>
  <c r="S3" i="36"/>
  <c r="T5" i="36" s="1"/>
  <c r="J3" i="36"/>
  <c r="C4" i="36" s="1"/>
  <c r="Q2" i="36"/>
  <c r="S2" i="36" s="1"/>
  <c r="T2" i="36" s="1"/>
  <c r="F2" i="36"/>
  <c r="E2" i="36"/>
  <c r="D2" i="36"/>
  <c r="C2" i="36"/>
  <c r="Q1" i="36"/>
  <c r="S1" i="36" s="1"/>
  <c r="T1" i="36" s="1"/>
  <c r="L63" i="35"/>
  <c r="N63" i="35" s="1"/>
  <c r="Q61" i="35"/>
  <c r="S61" i="35" s="1"/>
  <c r="L61" i="35"/>
  <c r="N61" i="35" s="1"/>
  <c r="Q59" i="35"/>
  <c r="S59" i="35" s="1"/>
  <c r="L59" i="35"/>
  <c r="N59" i="35" s="1"/>
  <c r="Q57" i="35"/>
  <c r="S57" i="35" s="1"/>
  <c r="L57" i="35"/>
  <c r="N57" i="35" s="1"/>
  <c r="Q55" i="35"/>
  <c r="S55" i="35" s="1"/>
  <c r="L55" i="35"/>
  <c r="N55" i="35" s="1"/>
  <c r="G54" i="35"/>
  <c r="I54" i="35" s="1"/>
  <c r="B54" i="35"/>
  <c r="D54" i="35" s="1"/>
  <c r="G53" i="35"/>
  <c r="I53" i="35" s="1"/>
  <c r="B53" i="35"/>
  <c r="D53" i="35" s="1"/>
  <c r="G52" i="35"/>
  <c r="I52" i="35" s="1"/>
  <c r="B52" i="35"/>
  <c r="D52" i="35" s="1"/>
  <c r="G51" i="35"/>
  <c r="I51" i="35" s="1"/>
  <c r="B51" i="35"/>
  <c r="D51" i="35" s="1"/>
  <c r="G50" i="35"/>
  <c r="I50" i="35" s="1"/>
  <c r="B50" i="35"/>
  <c r="D50" i="35" s="1"/>
  <c r="G49" i="35"/>
  <c r="I49" i="35" s="1"/>
  <c r="B49" i="35"/>
  <c r="D49" i="35" s="1"/>
  <c r="G48" i="35"/>
  <c r="I48" i="35" s="1"/>
  <c r="B48" i="35"/>
  <c r="D48" i="35" s="1"/>
  <c r="G47" i="35"/>
  <c r="I47" i="35" s="1"/>
  <c r="B47" i="35"/>
  <c r="D47" i="35" s="1"/>
  <c r="G46" i="35"/>
  <c r="I46" i="35" s="1"/>
  <c r="B46" i="35"/>
  <c r="D46" i="35" s="1"/>
  <c r="G45" i="35"/>
  <c r="I45" i="35" s="1"/>
  <c r="B45" i="35"/>
  <c r="D45" i="35" s="1"/>
  <c r="G44" i="35"/>
  <c r="I44" i="35" s="1"/>
  <c r="B44" i="35"/>
  <c r="D44" i="35" s="1"/>
  <c r="G43" i="35"/>
  <c r="I43" i="35" s="1"/>
  <c r="B43" i="35"/>
  <c r="D43" i="35" s="1"/>
  <c r="G42" i="35"/>
  <c r="I42" i="35" s="1"/>
  <c r="B42" i="35"/>
  <c r="D42" i="35" s="1"/>
  <c r="G41" i="35"/>
  <c r="I41" i="35" s="1"/>
  <c r="B41" i="35"/>
  <c r="D41" i="35" s="1"/>
  <c r="G40" i="35"/>
  <c r="I40" i="35" s="1"/>
  <c r="B40" i="35"/>
  <c r="D40" i="35" s="1"/>
  <c r="G39" i="35"/>
  <c r="I39" i="35" s="1"/>
  <c r="B39" i="35"/>
  <c r="D39" i="35" s="1"/>
  <c r="G38" i="35"/>
  <c r="I38" i="35" s="1"/>
  <c r="B38" i="35"/>
  <c r="D38" i="35" s="1"/>
  <c r="G37" i="35"/>
  <c r="I37" i="35" s="1"/>
  <c r="B37" i="35"/>
  <c r="D37" i="35" s="1"/>
  <c r="G36" i="35"/>
  <c r="I36" i="35" s="1"/>
  <c r="B36" i="35"/>
  <c r="D36" i="35" s="1"/>
  <c r="G35" i="35"/>
  <c r="I35" i="35" s="1"/>
  <c r="B35" i="35"/>
  <c r="D35" i="35" s="1"/>
  <c r="G34" i="35"/>
  <c r="I34" i="35" s="1"/>
  <c r="B34" i="35"/>
  <c r="D34" i="35" s="1"/>
  <c r="G33" i="35"/>
  <c r="I33" i="35" s="1"/>
  <c r="B33" i="35"/>
  <c r="D33" i="35" s="1"/>
  <c r="G32" i="35"/>
  <c r="I32" i="35" s="1"/>
  <c r="B32" i="35"/>
  <c r="D32" i="35" s="1"/>
  <c r="G31" i="35"/>
  <c r="I31" i="35" s="1"/>
  <c r="B31" i="35"/>
  <c r="D31" i="35" s="1"/>
  <c r="G30" i="35"/>
  <c r="I30" i="35" s="1"/>
  <c r="B30" i="35"/>
  <c r="D30" i="35" s="1"/>
  <c r="G29" i="35"/>
  <c r="I29" i="35" s="1"/>
  <c r="B29" i="35"/>
  <c r="D29" i="35" s="1"/>
  <c r="G28" i="35"/>
  <c r="I28" i="35" s="1"/>
  <c r="B28" i="35"/>
  <c r="D28" i="35" s="1"/>
  <c r="G27" i="35"/>
  <c r="I27" i="35" s="1"/>
  <c r="B27" i="35"/>
  <c r="D27" i="35" s="1"/>
  <c r="G26" i="35"/>
  <c r="I26" i="35" s="1"/>
  <c r="B26" i="35"/>
  <c r="D26" i="35" s="1"/>
  <c r="G25" i="35"/>
  <c r="I25" i="35" s="1"/>
  <c r="B25" i="35"/>
  <c r="D25" i="35" s="1"/>
  <c r="G24" i="35"/>
  <c r="I24" i="35" s="1"/>
  <c r="B24" i="35"/>
  <c r="D24" i="35" s="1"/>
  <c r="G23" i="35"/>
  <c r="I23" i="35" s="1"/>
  <c r="B23" i="35"/>
  <c r="D23" i="35" s="1"/>
  <c r="G22" i="35"/>
  <c r="I22" i="35" s="1"/>
  <c r="B22" i="35"/>
  <c r="D22" i="35" s="1"/>
  <c r="G21" i="35"/>
  <c r="I21" i="35" s="1"/>
  <c r="B21" i="35"/>
  <c r="D21" i="35" s="1"/>
  <c r="G20" i="35"/>
  <c r="I20" i="35" s="1"/>
  <c r="B20" i="35"/>
  <c r="D20" i="35" s="1"/>
  <c r="G19" i="35"/>
  <c r="I19" i="35" s="1"/>
  <c r="B19" i="35"/>
  <c r="D19" i="35" s="1"/>
  <c r="G18" i="35"/>
  <c r="I18" i="35" s="1"/>
  <c r="B18" i="35"/>
  <c r="D18" i="35" s="1"/>
  <c r="G17" i="35"/>
  <c r="I17" i="35" s="1"/>
  <c r="B17" i="35"/>
  <c r="D17" i="35" s="1"/>
  <c r="G16" i="35"/>
  <c r="I16" i="35" s="1"/>
  <c r="B16" i="35"/>
  <c r="D16" i="35" s="1"/>
  <c r="G15" i="35"/>
  <c r="I15" i="35" s="1"/>
  <c r="B15" i="35"/>
  <c r="D15" i="35" s="1"/>
  <c r="G14" i="35"/>
  <c r="I14" i="35" s="1"/>
  <c r="B14" i="35"/>
  <c r="D14" i="35" s="1"/>
  <c r="G13" i="35"/>
  <c r="I13" i="35" s="1"/>
  <c r="B13" i="35"/>
  <c r="D13" i="35" s="1"/>
  <c r="G12" i="35"/>
  <c r="I12" i="35" s="1"/>
  <c r="B12" i="35"/>
  <c r="D12" i="35" s="1"/>
  <c r="G11" i="35"/>
  <c r="I11" i="35" s="1"/>
  <c r="B11" i="35"/>
  <c r="D11" i="35" s="1"/>
  <c r="G10" i="35"/>
  <c r="I10" i="35" s="1"/>
  <c r="B10" i="35"/>
  <c r="D10" i="35" s="1"/>
  <c r="T6" i="35"/>
  <c r="T5" i="35"/>
  <c r="G5" i="35"/>
  <c r="S4" i="35"/>
  <c r="F4" i="35"/>
  <c r="F6" i="35" s="1"/>
  <c r="D4" i="35"/>
  <c r="C4" i="35"/>
  <c r="S3" i="35"/>
  <c r="J3" i="35"/>
  <c r="Q64" i="35" s="1"/>
  <c r="S64" i="35" s="1"/>
  <c r="D3" i="35"/>
  <c r="C3" i="35"/>
  <c r="Q2" i="35"/>
  <c r="S2" i="35" s="1"/>
  <c r="T2" i="35" s="1"/>
  <c r="F2" i="35"/>
  <c r="E2" i="35"/>
  <c r="D2" i="35"/>
  <c r="C2" i="35"/>
  <c r="S1" i="35"/>
  <c r="T1" i="35" s="1"/>
  <c r="Q1" i="35"/>
  <c r="K10" i="34"/>
  <c r="T2" i="33"/>
  <c r="L63" i="33"/>
  <c r="N63" i="33" s="1"/>
  <c r="L61" i="33"/>
  <c r="N61" i="33" s="1"/>
  <c r="L59" i="33"/>
  <c r="N59" i="33" s="1"/>
  <c r="L57" i="33"/>
  <c r="N57" i="33" s="1"/>
  <c r="L55" i="33"/>
  <c r="N55" i="33" s="1"/>
  <c r="B54" i="33"/>
  <c r="D54" i="33" s="1"/>
  <c r="B53" i="33"/>
  <c r="D53" i="33" s="1"/>
  <c r="B52" i="33"/>
  <c r="D52" i="33" s="1"/>
  <c r="B51" i="33"/>
  <c r="D51" i="33" s="1"/>
  <c r="B50" i="33"/>
  <c r="D50" i="33" s="1"/>
  <c r="B49" i="33"/>
  <c r="D49" i="33" s="1"/>
  <c r="B48" i="33"/>
  <c r="D48" i="33" s="1"/>
  <c r="B47" i="33"/>
  <c r="D47" i="33" s="1"/>
  <c r="B46" i="33"/>
  <c r="D46" i="33" s="1"/>
  <c r="B45" i="33"/>
  <c r="D45" i="33" s="1"/>
  <c r="B44" i="33"/>
  <c r="D44" i="33" s="1"/>
  <c r="B43" i="33"/>
  <c r="D43" i="33" s="1"/>
  <c r="B42" i="33"/>
  <c r="D42" i="33" s="1"/>
  <c r="B41" i="33"/>
  <c r="D41" i="33" s="1"/>
  <c r="B40" i="33"/>
  <c r="D40" i="33" s="1"/>
  <c r="B39" i="33"/>
  <c r="D39" i="33" s="1"/>
  <c r="B38" i="33"/>
  <c r="D38" i="33" s="1"/>
  <c r="B37" i="33"/>
  <c r="D37" i="33" s="1"/>
  <c r="B36" i="33"/>
  <c r="D36" i="33" s="1"/>
  <c r="B35" i="33"/>
  <c r="D35" i="33" s="1"/>
  <c r="B34" i="33"/>
  <c r="D34" i="33" s="1"/>
  <c r="B33" i="33"/>
  <c r="D33" i="33" s="1"/>
  <c r="B32" i="33"/>
  <c r="D32" i="33" s="1"/>
  <c r="B31" i="33"/>
  <c r="D31" i="33" s="1"/>
  <c r="B30" i="33"/>
  <c r="D30" i="33" s="1"/>
  <c r="B29" i="33"/>
  <c r="D29" i="33" s="1"/>
  <c r="B28" i="33"/>
  <c r="D28" i="33" s="1"/>
  <c r="B27" i="33"/>
  <c r="D27" i="33" s="1"/>
  <c r="B26" i="33"/>
  <c r="D26" i="33" s="1"/>
  <c r="B25" i="33"/>
  <c r="D25" i="33" s="1"/>
  <c r="B24" i="33"/>
  <c r="D24" i="33" s="1"/>
  <c r="B23" i="33"/>
  <c r="D23" i="33" s="1"/>
  <c r="B22" i="33"/>
  <c r="D22" i="33" s="1"/>
  <c r="B21" i="33"/>
  <c r="D21" i="33" s="1"/>
  <c r="B20" i="33"/>
  <c r="D20" i="33" s="1"/>
  <c r="B19" i="33"/>
  <c r="D19" i="33" s="1"/>
  <c r="B18" i="33"/>
  <c r="D18" i="33" s="1"/>
  <c r="B17" i="33"/>
  <c r="D17" i="33" s="1"/>
  <c r="B16" i="33"/>
  <c r="D16" i="33" s="1"/>
  <c r="B15" i="33"/>
  <c r="D15" i="33" s="1"/>
  <c r="B14" i="33"/>
  <c r="D14" i="33" s="1"/>
  <c r="B13" i="33"/>
  <c r="D13" i="33" s="1"/>
  <c r="B12" i="33"/>
  <c r="D12" i="33" s="1"/>
  <c r="B11" i="33"/>
  <c r="D11" i="33" s="1"/>
  <c r="B10" i="33"/>
  <c r="C3" i="33" s="1"/>
  <c r="T6" i="33"/>
  <c r="G5" i="33"/>
  <c r="S4" i="33"/>
  <c r="D4" i="33"/>
  <c r="C4" i="33"/>
  <c r="S3" i="33"/>
  <c r="T5" i="33" s="1"/>
  <c r="J3" i="33"/>
  <c r="Q64" i="33" s="1"/>
  <c r="S64" i="33" s="1"/>
  <c r="Q2" i="33"/>
  <c r="S2" i="33" s="1"/>
  <c r="F2" i="33"/>
  <c r="E2" i="33"/>
  <c r="D2" i="33"/>
  <c r="C2" i="33"/>
  <c r="Q1" i="33"/>
  <c r="S1" i="33" s="1"/>
  <c r="T1" i="33" s="1"/>
  <c r="Q63" i="31"/>
  <c r="S63" i="31" s="1"/>
  <c r="L63" i="31"/>
  <c r="N63" i="31" s="1"/>
  <c r="Q61" i="31"/>
  <c r="S61" i="31" s="1"/>
  <c r="L61" i="31"/>
  <c r="N61" i="31" s="1"/>
  <c r="Q59" i="31"/>
  <c r="S59" i="31" s="1"/>
  <c r="L59" i="31"/>
  <c r="N59" i="31" s="1"/>
  <c r="Q57" i="31"/>
  <c r="S57" i="31" s="1"/>
  <c r="L57" i="31"/>
  <c r="N57" i="31" s="1"/>
  <c r="Q55" i="31"/>
  <c r="S55" i="31" s="1"/>
  <c r="L55" i="31"/>
  <c r="N55" i="31" s="1"/>
  <c r="G54" i="31"/>
  <c r="I54" i="31" s="1"/>
  <c r="B54" i="31"/>
  <c r="D54" i="31" s="1"/>
  <c r="G53" i="31"/>
  <c r="I53" i="31" s="1"/>
  <c r="B53" i="31"/>
  <c r="D53" i="31" s="1"/>
  <c r="G52" i="31"/>
  <c r="I52" i="31" s="1"/>
  <c r="B52" i="31"/>
  <c r="D52" i="31" s="1"/>
  <c r="G51" i="31"/>
  <c r="I51" i="31" s="1"/>
  <c r="B51" i="31"/>
  <c r="D51" i="31" s="1"/>
  <c r="G50" i="31"/>
  <c r="I50" i="31" s="1"/>
  <c r="B50" i="31"/>
  <c r="D50" i="31" s="1"/>
  <c r="G49" i="31"/>
  <c r="I49" i="31" s="1"/>
  <c r="B49" i="31"/>
  <c r="D49" i="31" s="1"/>
  <c r="G48" i="31"/>
  <c r="I48" i="31" s="1"/>
  <c r="B48" i="31"/>
  <c r="D48" i="31" s="1"/>
  <c r="G47" i="31"/>
  <c r="I47" i="31" s="1"/>
  <c r="B47" i="31"/>
  <c r="D47" i="31" s="1"/>
  <c r="G46" i="31"/>
  <c r="I46" i="31" s="1"/>
  <c r="B46" i="31"/>
  <c r="D46" i="31" s="1"/>
  <c r="G45" i="31"/>
  <c r="I45" i="31" s="1"/>
  <c r="B45" i="31"/>
  <c r="D45" i="31" s="1"/>
  <c r="G44" i="31"/>
  <c r="I44" i="31" s="1"/>
  <c r="B44" i="31"/>
  <c r="D44" i="31" s="1"/>
  <c r="G43" i="31"/>
  <c r="I43" i="31" s="1"/>
  <c r="B43" i="31"/>
  <c r="D43" i="31" s="1"/>
  <c r="G42" i="31"/>
  <c r="I42" i="31" s="1"/>
  <c r="B42" i="31"/>
  <c r="D42" i="31" s="1"/>
  <c r="G41" i="31"/>
  <c r="I41" i="31" s="1"/>
  <c r="B41" i="31"/>
  <c r="D41" i="31" s="1"/>
  <c r="G40" i="31"/>
  <c r="I40" i="31" s="1"/>
  <c r="B40" i="31"/>
  <c r="D40" i="31" s="1"/>
  <c r="G39" i="31"/>
  <c r="I39" i="31" s="1"/>
  <c r="B39" i="31"/>
  <c r="D39" i="31" s="1"/>
  <c r="G38" i="31"/>
  <c r="I38" i="31" s="1"/>
  <c r="B38" i="31"/>
  <c r="D38" i="31" s="1"/>
  <c r="G37" i="31"/>
  <c r="I37" i="31" s="1"/>
  <c r="B37" i="31"/>
  <c r="D37" i="31" s="1"/>
  <c r="G36" i="31"/>
  <c r="I36" i="31" s="1"/>
  <c r="B36" i="31"/>
  <c r="D36" i="31" s="1"/>
  <c r="G35" i="31"/>
  <c r="I35" i="31" s="1"/>
  <c r="B35" i="31"/>
  <c r="D35" i="31" s="1"/>
  <c r="G34" i="31"/>
  <c r="I34" i="31" s="1"/>
  <c r="B34" i="31"/>
  <c r="D34" i="31" s="1"/>
  <c r="G33" i="31"/>
  <c r="I33" i="31" s="1"/>
  <c r="B33" i="31"/>
  <c r="D33" i="31" s="1"/>
  <c r="G32" i="31"/>
  <c r="I32" i="31" s="1"/>
  <c r="B32" i="31"/>
  <c r="D32" i="31" s="1"/>
  <c r="G31" i="31"/>
  <c r="I31" i="31" s="1"/>
  <c r="B31" i="31"/>
  <c r="D31" i="31" s="1"/>
  <c r="Q30" i="31"/>
  <c r="S30" i="31" s="1"/>
  <c r="G30" i="31"/>
  <c r="I30" i="31" s="1"/>
  <c r="B30" i="31"/>
  <c r="D30" i="31" s="1"/>
  <c r="Q29" i="31"/>
  <c r="S29" i="31" s="1"/>
  <c r="G29" i="31"/>
  <c r="I29" i="31" s="1"/>
  <c r="B29" i="31"/>
  <c r="D29" i="31" s="1"/>
  <c r="Q28" i="31"/>
  <c r="S28" i="31" s="1"/>
  <c r="G28" i="31"/>
  <c r="I28" i="31" s="1"/>
  <c r="B28" i="31"/>
  <c r="D28" i="31" s="1"/>
  <c r="Q27" i="31"/>
  <c r="S27" i="31" s="1"/>
  <c r="G27" i="31"/>
  <c r="I27" i="31" s="1"/>
  <c r="B27" i="31"/>
  <c r="D27" i="31" s="1"/>
  <c r="Q26" i="31"/>
  <c r="S26" i="31" s="1"/>
  <c r="G26" i="31"/>
  <c r="I26" i="31" s="1"/>
  <c r="B26" i="31"/>
  <c r="D26" i="31" s="1"/>
  <c r="Q25" i="31"/>
  <c r="S25" i="31" s="1"/>
  <c r="G25" i="31"/>
  <c r="I25" i="31" s="1"/>
  <c r="B25" i="31"/>
  <c r="D25" i="31" s="1"/>
  <c r="Q24" i="31"/>
  <c r="S24" i="31" s="1"/>
  <c r="G24" i="31"/>
  <c r="I24" i="31" s="1"/>
  <c r="B24" i="31"/>
  <c r="D24" i="31" s="1"/>
  <c r="Q23" i="31"/>
  <c r="S23" i="31" s="1"/>
  <c r="G23" i="31"/>
  <c r="I23" i="31" s="1"/>
  <c r="B23" i="31"/>
  <c r="D23" i="31" s="1"/>
  <c r="Q22" i="31"/>
  <c r="S22" i="31" s="1"/>
  <c r="G22" i="31"/>
  <c r="I22" i="31" s="1"/>
  <c r="B22" i="31"/>
  <c r="D22" i="31" s="1"/>
  <c r="Q21" i="31"/>
  <c r="S21" i="31" s="1"/>
  <c r="G21" i="31"/>
  <c r="I21" i="31" s="1"/>
  <c r="B21" i="31"/>
  <c r="D21" i="31" s="1"/>
  <c r="Q20" i="31"/>
  <c r="S20" i="31" s="1"/>
  <c r="G20" i="31"/>
  <c r="I20" i="31" s="1"/>
  <c r="B20" i="31"/>
  <c r="D20" i="31" s="1"/>
  <c r="Q19" i="31"/>
  <c r="S19" i="31" s="1"/>
  <c r="G19" i="31"/>
  <c r="I19" i="31" s="1"/>
  <c r="B19" i="31"/>
  <c r="D19" i="31" s="1"/>
  <c r="Q18" i="31"/>
  <c r="S18" i="31" s="1"/>
  <c r="G18" i="31"/>
  <c r="I18" i="31" s="1"/>
  <c r="B18" i="31"/>
  <c r="D18" i="31" s="1"/>
  <c r="Q17" i="31"/>
  <c r="S17" i="31" s="1"/>
  <c r="G17" i="31"/>
  <c r="I17" i="31" s="1"/>
  <c r="B17" i="31"/>
  <c r="D17" i="31" s="1"/>
  <c r="Q16" i="31"/>
  <c r="S16" i="31" s="1"/>
  <c r="G16" i="31"/>
  <c r="I16" i="31" s="1"/>
  <c r="B16" i="31"/>
  <c r="D16" i="31" s="1"/>
  <c r="Q15" i="31"/>
  <c r="S15" i="31" s="1"/>
  <c r="G15" i="31"/>
  <c r="I15" i="31" s="1"/>
  <c r="B15" i="31"/>
  <c r="D15" i="31" s="1"/>
  <c r="Q14" i="31"/>
  <c r="S14" i="31" s="1"/>
  <c r="G14" i="31"/>
  <c r="I14" i="31" s="1"/>
  <c r="B14" i="31"/>
  <c r="D14" i="31" s="1"/>
  <c r="Q13" i="31"/>
  <c r="S13" i="31" s="1"/>
  <c r="G13" i="31"/>
  <c r="I13" i="31" s="1"/>
  <c r="B13" i="31"/>
  <c r="D13" i="31" s="1"/>
  <c r="Q12" i="31"/>
  <c r="S12" i="31" s="1"/>
  <c r="G12" i="31"/>
  <c r="I12" i="31" s="1"/>
  <c r="B12" i="31"/>
  <c r="D12" i="31" s="1"/>
  <c r="Q11" i="31"/>
  <c r="S11" i="31" s="1"/>
  <c r="G11" i="31"/>
  <c r="I11" i="31" s="1"/>
  <c r="B11" i="31"/>
  <c r="D11" i="31" s="1"/>
  <c r="Q10" i="31"/>
  <c r="S10" i="31" s="1"/>
  <c r="G10" i="31"/>
  <c r="I10" i="31" s="1"/>
  <c r="B10" i="31"/>
  <c r="C3" i="31" s="1"/>
  <c r="T5" i="31"/>
  <c r="G5" i="31"/>
  <c r="S4" i="31"/>
  <c r="T6" i="31" s="1"/>
  <c r="F4" i="31"/>
  <c r="F6" i="31" s="1"/>
  <c r="D4" i="31"/>
  <c r="N4" i="31" s="1"/>
  <c r="C4" i="31"/>
  <c r="S3" i="31"/>
  <c r="J3" i="31"/>
  <c r="Q64" i="31" s="1"/>
  <c r="S64" i="31" s="1"/>
  <c r="D3" i="31"/>
  <c r="Q2" i="31"/>
  <c r="S2" i="31" s="1"/>
  <c r="T2" i="31" s="1"/>
  <c r="F2" i="31"/>
  <c r="E2" i="31"/>
  <c r="D2" i="31"/>
  <c r="C2" i="31"/>
  <c r="T1" i="31"/>
  <c r="S1" i="31"/>
  <c r="Q1" i="31"/>
  <c r="K10" i="30"/>
  <c r="K9" i="30"/>
  <c r="T2" i="29"/>
  <c r="T2" i="28"/>
  <c r="L63" i="29"/>
  <c r="N63" i="29" s="1"/>
  <c r="L61" i="29"/>
  <c r="N61" i="29" s="1"/>
  <c r="L59" i="29"/>
  <c r="N59" i="29" s="1"/>
  <c r="L57" i="29"/>
  <c r="N57" i="29" s="1"/>
  <c r="L55" i="29"/>
  <c r="N55" i="29" s="1"/>
  <c r="B54" i="29"/>
  <c r="D54" i="29" s="1"/>
  <c r="B53" i="29"/>
  <c r="D53" i="29" s="1"/>
  <c r="B52" i="29"/>
  <c r="D52" i="29" s="1"/>
  <c r="B51" i="29"/>
  <c r="D51" i="29" s="1"/>
  <c r="B50" i="29"/>
  <c r="D50" i="29" s="1"/>
  <c r="B49" i="29"/>
  <c r="D49" i="29" s="1"/>
  <c r="B48" i="29"/>
  <c r="D48" i="29" s="1"/>
  <c r="B47" i="29"/>
  <c r="D47" i="29" s="1"/>
  <c r="B46" i="29"/>
  <c r="D46" i="29" s="1"/>
  <c r="B45" i="29"/>
  <c r="D45" i="29" s="1"/>
  <c r="B44" i="29"/>
  <c r="D44" i="29" s="1"/>
  <c r="B43" i="29"/>
  <c r="D43" i="29" s="1"/>
  <c r="B42" i="29"/>
  <c r="D42" i="29" s="1"/>
  <c r="B41" i="29"/>
  <c r="D41" i="29" s="1"/>
  <c r="B40" i="29"/>
  <c r="D40" i="29" s="1"/>
  <c r="B39" i="29"/>
  <c r="D39" i="29" s="1"/>
  <c r="B38" i="29"/>
  <c r="D38" i="29" s="1"/>
  <c r="B37" i="29"/>
  <c r="D37" i="29" s="1"/>
  <c r="B36" i="29"/>
  <c r="D36" i="29" s="1"/>
  <c r="B35" i="29"/>
  <c r="D35" i="29" s="1"/>
  <c r="B34" i="29"/>
  <c r="D34" i="29" s="1"/>
  <c r="B33" i="29"/>
  <c r="D33" i="29" s="1"/>
  <c r="B32" i="29"/>
  <c r="D32" i="29" s="1"/>
  <c r="B31" i="29"/>
  <c r="D31" i="29" s="1"/>
  <c r="B30" i="29"/>
  <c r="D30" i="29" s="1"/>
  <c r="B29" i="29"/>
  <c r="D29" i="29" s="1"/>
  <c r="B28" i="29"/>
  <c r="D28" i="29" s="1"/>
  <c r="B27" i="29"/>
  <c r="D27" i="29" s="1"/>
  <c r="B26" i="29"/>
  <c r="D26" i="29" s="1"/>
  <c r="B25" i="29"/>
  <c r="D25" i="29" s="1"/>
  <c r="B24" i="29"/>
  <c r="D24" i="29" s="1"/>
  <c r="B23" i="29"/>
  <c r="D23" i="29" s="1"/>
  <c r="B22" i="29"/>
  <c r="D22" i="29" s="1"/>
  <c r="B21" i="29"/>
  <c r="D21" i="29" s="1"/>
  <c r="B20" i="29"/>
  <c r="D20" i="29" s="1"/>
  <c r="B19" i="29"/>
  <c r="D19" i="29" s="1"/>
  <c r="B18" i="29"/>
  <c r="D18" i="29" s="1"/>
  <c r="B17" i="29"/>
  <c r="D17" i="29" s="1"/>
  <c r="B16" i="29"/>
  <c r="D16" i="29" s="1"/>
  <c r="B15" i="29"/>
  <c r="D15" i="29" s="1"/>
  <c r="B14" i="29"/>
  <c r="D14" i="29" s="1"/>
  <c r="B13" i="29"/>
  <c r="D13" i="29" s="1"/>
  <c r="B12" i="29"/>
  <c r="D12" i="29" s="1"/>
  <c r="B11" i="29"/>
  <c r="D11" i="29" s="1"/>
  <c r="B10" i="29"/>
  <c r="C3" i="29" s="1"/>
  <c r="T6" i="29"/>
  <c r="G5" i="29"/>
  <c r="S4" i="29"/>
  <c r="D4" i="29"/>
  <c r="C4" i="29"/>
  <c r="S3" i="29"/>
  <c r="T5" i="29" s="1"/>
  <c r="J3" i="29"/>
  <c r="Q64" i="29" s="1"/>
  <c r="S64" i="29" s="1"/>
  <c r="Q2" i="29"/>
  <c r="S2" i="29" s="1"/>
  <c r="F2" i="29"/>
  <c r="E2" i="29"/>
  <c r="D2" i="29"/>
  <c r="C2" i="29"/>
  <c r="Q1" i="29"/>
  <c r="S1" i="29" s="1"/>
  <c r="T1" i="29" s="1"/>
  <c r="L63" i="28"/>
  <c r="N63" i="28" s="1"/>
  <c r="L61" i="28"/>
  <c r="N61" i="28" s="1"/>
  <c r="L59" i="28"/>
  <c r="N59" i="28" s="1"/>
  <c r="L57" i="28"/>
  <c r="N57" i="28" s="1"/>
  <c r="L55" i="28"/>
  <c r="N55" i="28" s="1"/>
  <c r="B54" i="28"/>
  <c r="D54" i="28" s="1"/>
  <c r="B53" i="28"/>
  <c r="D53" i="28" s="1"/>
  <c r="B52" i="28"/>
  <c r="D52" i="28" s="1"/>
  <c r="B51" i="28"/>
  <c r="D51" i="28" s="1"/>
  <c r="B50" i="28"/>
  <c r="D50" i="28" s="1"/>
  <c r="B49" i="28"/>
  <c r="D49" i="28" s="1"/>
  <c r="B48" i="28"/>
  <c r="D48" i="28" s="1"/>
  <c r="B47" i="28"/>
  <c r="D47" i="28" s="1"/>
  <c r="B46" i="28"/>
  <c r="D46" i="28" s="1"/>
  <c r="B45" i="28"/>
  <c r="D45" i="28" s="1"/>
  <c r="B44" i="28"/>
  <c r="D44" i="28" s="1"/>
  <c r="B43" i="28"/>
  <c r="D43" i="28" s="1"/>
  <c r="B42" i="28"/>
  <c r="D42" i="28" s="1"/>
  <c r="B41" i="28"/>
  <c r="D41" i="28" s="1"/>
  <c r="B40" i="28"/>
  <c r="D40" i="28" s="1"/>
  <c r="B39" i="28"/>
  <c r="D39" i="28" s="1"/>
  <c r="B38" i="28"/>
  <c r="D38" i="28" s="1"/>
  <c r="B37" i="28"/>
  <c r="D37" i="28" s="1"/>
  <c r="B36" i="28"/>
  <c r="D36" i="28" s="1"/>
  <c r="B35" i="28"/>
  <c r="D35" i="28" s="1"/>
  <c r="B34" i="28"/>
  <c r="D34" i="28" s="1"/>
  <c r="B33" i="28"/>
  <c r="D33" i="28" s="1"/>
  <c r="B32" i="28"/>
  <c r="D32" i="28" s="1"/>
  <c r="B31" i="28"/>
  <c r="D31" i="28" s="1"/>
  <c r="B30" i="28"/>
  <c r="D30" i="28" s="1"/>
  <c r="B29" i="28"/>
  <c r="D29" i="28" s="1"/>
  <c r="B28" i="28"/>
  <c r="D28" i="28" s="1"/>
  <c r="B27" i="28"/>
  <c r="D27" i="28" s="1"/>
  <c r="B26" i="28"/>
  <c r="D26" i="28" s="1"/>
  <c r="B25" i="28"/>
  <c r="D25" i="28" s="1"/>
  <c r="B24" i="28"/>
  <c r="D24" i="28" s="1"/>
  <c r="B23" i="28"/>
  <c r="D23" i="28" s="1"/>
  <c r="B22" i="28"/>
  <c r="D22" i="28" s="1"/>
  <c r="B21" i="28"/>
  <c r="D21" i="28" s="1"/>
  <c r="B20" i="28"/>
  <c r="D20" i="28" s="1"/>
  <c r="B19" i="28"/>
  <c r="D19" i="28" s="1"/>
  <c r="B18" i="28"/>
  <c r="D18" i="28" s="1"/>
  <c r="B17" i="28"/>
  <c r="D17" i="28" s="1"/>
  <c r="G15" i="28"/>
  <c r="I15" i="28" s="1"/>
  <c r="G14" i="28"/>
  <c r="I14" i="28" s="1"/>
  <c r="G13" i="28"/>
  <c r="I13" i="28" s="1"/>
  <c r="G12" i="28"/>
  <c r="I12" i="28" s="1"/>
  <c r="G11" i="28"/>
  <c r="I11" i="28" s="1"/>
  <c r="G10" i="28"/>
  <c r="I10" i="28" s="1"/>
  <c r="T5" i="28"/>
  <c r="G5" i="28"/>
  <c r="S4" i="28"/>
  <c r="T6" i="28" s="1"/>
  <c r="F4" i="28"/>
  <c r="F6" i="28" s="1"/>
  <c r="E4" i="28"/>
  <c r="C4" i="28"/>
  <c r="M4" i="28" s="1"/>
  <c r="S3" i="28"/>
  <c r="J3" i="28"/>
  <c r="B16" i="28" s="1"/>
  <c r="D16" i="28" s="1"/>
  <c r="Q2" i="28"/>
  <c r="S2" i="28" s="1"/>
  <c r="F2" i="28"/>
  <c r="E2" i="28"/>
  <c r="D2" i="28"/>
  <c r="C2" i="28"/>
  <c r="Q1" i="28"/>
  <c r="S1" i="28" s="1"/>
  <c r="T1" i="28" s="1"/>
  <c r="L3" i="27"/>
  <c r="F3" i="48" l="1"/>
  <c r="C3" i="48"/>
  <c r="I10" i="48"/>
  <c r="D3" i="48"/>
  <c r="E3" i="48"/>
  <c r="C3" i="47"/>
  <c r="I10" i="47"/>
  <c r="D3" i="47"/>
  <c r="E3" i="47"/>
  <c r="F3" i="47"/>
  <c r="S10" i="47"/>
  <c r="F3" i="46"/>
  <c r="S10" i="46"/>
  <c r="N4" i="46"/>
  <c r="D6" i="46"/>
  <c r="F6" i="46"/>
  <c r="N5" i="46"/>
  <c r="M4" i="46"/>
  <c r="G4" i="46"/>
  <c r="C6" i="46"/>
  <c r="E6" i="46"/>
  <c r="M5" i="46"/>
  <c r="D10" i="46"/>
  <c r="C3" i="46"/>
  <c r="I10" i="46"/>
  <c r="D3" i="46"/>
  <c r="E3" i="46"/>
  <c r="N10" i="46"/>
  <c r="F3" i="45"/>
  <c r="E3" i="45"/>
  <c r="I10" i="45"/>
  <c r="D3" i="45"/>
  <c r="C3" i="45"/>
  <c r="I10" i="44"/>
  <c r="D3" i="44"/>
  <c r="E3" i="44"/>
  <c r="C3" i="44"/>
  <c r="F3" i="44"/>
  <c r="D10" i="43"/>
  <c r="C3" i="43"/>
  <c r="M4" i="43"/>
  <c r="G4" i="43"/>
  <c r="C6" i="43"/>
  <c r="I10" i="43"/>
  <c r="D3" i="43"/>
  <c r="F3" i="43"/>
  <c r="S10" i="43"/>
  <c r="E3" i="43"/>
  <c r="N10" i="43"/>
  <c r="F6" i="43"/>
  <c r="N5" i="43"/>
  <c r="M5" i="43"/>
  <c r="E6" i="43"/>
  <c r="N4" i="43"/>
  <c r="D6" i="43"/>
  <c r="F6" i="42"/>
  <c r="N5" i="42"/>
  <c r="D10" i="42"/>
  <c r="C3" i="42"/>
  <c r="E3" i="42"/>
  <c r="N10" i="42"/>
  <c r="I10" i="42"/>
  <c r="D3" i="42"/>
  <c r="M4" i="42"/>
  <c r="G4" i="42"/>
  <c r="C6" i="42"/>
  <c r="F3" i="42"/>
  <c r="N4" i="42"/>
  <c r="F6" i="41"/>
  <c r="N5" i="41"/>
  <c r="D10" i="41"/>
  <c r="C3" i="41"/>
  <c r="F3" i="41"/>
  <c r="S10" i="41"/>
  <c r="E3" i="41"/>
  <c r="I10" i="41"/>
  <c r="D3" i="41"/>
  <c r="N4" i="41"/>
  <c r="D6" i="41"/>
  <c r="M4" i="41"/>
  <c r="G4" i="41"/>
  <c r="C6" i="41"/>
  <c r="E6" i="41"/>
  <c r="M5" i="41"/>
  <c r="E6" i="40"/>
  <c r="M5" i="40"/>
  <c r="M4" i="40"/>
  <c r="G4" i="40"/>
  <c r="C6" i="40"/>
  <c r="F6" i="40"/>
  <c r="N5" i="40"/>
  <c r="I10" i="40"/>
  <c r="D3" i="40"/>
  <c r="N10" i="40"/>
  <c r="E3" i="40"/>
  <c r="F3" i="40"/>
  <c r="S10" i="40"/>
  <c r="N4" i="40"/>
  <c r="D6" i="40"/>
  <c r="D10" i="40"/>
  <c r="C3" i="40"/>
  <c r="D3" i="39"/>
  <c r="I10" i="39"/>
  <c r="M4" i="39"/>
  <c r="G4" i="39"/>
  <c r="C6" i="39"/>
  <c r="D10" i="39"/>
  <c r="C3" i="39"/>
  <c r="F3" i="39"/>
  <c r="S10" i="39"/>
  <c r="E6" i="39"/>
  <c r="M5" i="39"/>
  <c r="D6" i="39"/>
  <c r="N4" i="39"/>
  <c r="E3" i="39"/>
  <c r="N10" i="39"/>
  <c r="N31" i="38"/>
  <c r="E3" i="38"/>
  <c r="C3" i="38"/>
  <c r="D40" i="38"/>
  <c r="M4" i="38"/>
  <c r="S63" i="38"/>
  <c r="F3" i="38"/>
  <c r="E6" i="38"/>
  <c r="M5" i="38"/>
  <c r="G2" i="36"/>
  <c r="H3" i="36" s="1"/>
  <c r="C6" i="36"/>
  <c r="E4" i="36"/>
  <c r="M4" i="36" s="1"/>
  <c r="D10" i="36"/>
  <c r="F4" i="36"/>
  <c r="N4" i="36" s="1"/>
  <c r="G10" i="36"/>
  <c r="G11" i="36"/>
  <c r="I11" i="36" s="1"/>
  <c r="G12" i="36"/>
  <c r="I12" i="36" s="1"/>
  <c r="G13" i="36"/>
  <c r="I13" i="36" s="1"/>
  <c r="G14" i="36"/>
  <c r="I14" i="36" s="1"/>
  <c r="G15" i="36"/>
  <c r="I15" i="36" s="1"/>
  <c r="G16" i="36"/>
  <c r="I16" i="36" s="1"/>
  <c r="G17" i="36"/>
  <c r="I17" i="36" s="1"/>
  <c r="G18" i="36"/>
  <c r="I18" i="36" s="1"/>
  <c r="G19" i="36"/>
  <c r="I19" i="36" s="1"/>
  <c r="G20" i="36"/>
  <c r="I20" i="36" s="1"/>
  <c r="G21" i="36"/>
  <c r="I21" i="36" s="1"/>
  <c r="G22" i="36"/>
  <c r="I22" i="36" s="1"/>
  <c r="G23" i="36"/>
  <c r="I23" i="36" s="1"/>
  <c r="G24" i="36"/>
  <c r="I24" i="36" s="1"/>
  <c r="G25" i="36"/>
  <c r="I25" i="36" s="1"/>
  <c r="G26" i="36"/>
  <c r="I26" i="36" s="1"/>
  <c r="G27" i="36"/>
  <c r="I27" i="36" s="1"/>
  <c r="G28" i="36"/>
  <c r="I28" i="36" s="1"/>
  <c r="G29" i="36"/>
  <c r="I29" i="36" s="1"/>
  <c r="G30" i="36"/>
  <c r="I30" i="36" s="1"/>
  <c r="G31" i="36"/>
  <c r="I31" i="36" s="1"/>
  <c r="G32" i="36"/>
  <c r="I32" i="36" s="1"/>
  <c r="G33" i="36"/>
  <c r="I33" i="36" s="1"/>
  <c r="G34" i="36"/>
  <c r="I34" i="36" s="1"/>
  <c r="G35" i="36"/>
  <c r="I35" i="36" s="1"/>
  <c r="G36" i="36"/>
  <c r="I36" i="36" s="1"/>
  <c r="G37" i="36"/>
  <c r="I37" i="36" s="1"/>
  <c r="G38" i="36"/>
  <c r="I38" i="36" s="1"/>
  <c r="G39" i="36"/>
  <c r="I39" i="36" s="1"/>
  <c r="G40" i="36"/>
  <c r="I40" i="36" s="1"/>
  <c r="G41" i="36"/>
  <c r="I41" i="36" s="1"/>
  <c r="G42" i="36"/>
  <c r="I42" i="36" s="1"/>
  <c r="G43" i="36"/>
  <c r="I43" i="36" s="1"/>
  <c r="G44" i="36"/>
  <c r="I44" i="36" s="1"/>
  <c r="G45" i="36"/>
  <c r="I45" i="36" s="1"/>
  <c r="G46" i="36"/>
  <c r="I46" i="36" s="1"/>
  <c r="G47" i="36"/>
  <c r="I47" i="36" s="1"/>
  <c r="G48" i="36"/>
  <c r="I48" i="36" s="1"/>
  <c r="G49" i="36"/>
  <c r="I49" i="36" s="1"/>
  <c r="G50" i="36"/>
  <c r="I50" i="36" s="1"/>
  <c r="G51" i="36"/>
  <c r="I51" i="36" s="1"/>
  <c r="G52" i="36"/>
  <c r="I52" i="36" s="1"/>
  <c r="G53" i="36"/>
  <c r="I53" i="36" s="1"/>
  <c r="G54" i="36"/>
  <c r="I54" i="36" s="1"/>
  <c r="Q55" i="36"/>
  <c r="S55" i="36" s="1"/>
  <c r="Q57" i="36"/>
  <c r="S57" i="36" s="1"/>
  <c r="Q59" i="36"/>
  <c r="S59" i="36" s="1"/>
  <c r="Q61" i="36"/>
  <c r="S61" i="36" s="1"/>
  <c r="Q63" i="36"/>
  <c r="S63" i="36" s="1"/>
  <c r="D6" i="36"/>
  <c r="L10" i="36"/>
  <c r="L11" i="36"/>
  <c r="N11" i="36" s="1"/>
  <c r="L12" i="36"/>
  <c r="N12" i="36" s="1"/>
  <c r="L13" i="36"/>
  <c r="N13" i="36" s="1"/>
  <c r="L14" i="36"/>
  <c r="N14" i="36" s="1"/>
  <c r="L15" i="36"/>
  <c r="N15" i="36" s="1"/>
  <c r="L16" i="36"/>
  <c r="N16" i="36" s="1"/>
  <c r="L17" i="36"/>
  <c r="N17" i="36" s="1"/>
  <c r="L18" i="36"/>
  <c r="N18" i="36" s="1"/>
  <c r="L19" i="36"/>
  <c r="N19" i="36" s="1"/>
  <c r="L20" i="36"/>
  <c r="N20" i="36" s="1"/>
  <c r="L21" i="36"/>
  <c r="N21" i="36" s="1"/>
  <c r="L22" i="36"/>
  <c r="N22" i="36" s="1"/>
  <c r="L23" i="36"/>
  <c r="N23" i="36" s="1"/>
  <c r="L24" i="36"/>
  <c r="N24" i="36" s="1"/>
  <c r="L25" i="36"/>
  <c r="N25" i="36" s="1"/>
  <c r="L26" i="36"/>
  <c r="N26" i="36" s="1"/>
  <c r="L27" i="36"/>
  <c r="N27" i="36" s="1"/>
  <c r="L28" i="36"/>
  <c r="N28" i="36" s="1"/>
  <c r="L29" i="36"/>
  <c r="N29" i="36" s="1"/>
  <c r="L30" i="36"/>
  <c r="N30" i="36" s="1"/>
  <c r="L31" i="36"/>
  <c r="N31" i="36" s="1"/>
  <c r="L32" i="36"/>
  <c r="N32" i="36" s="1"/>
  <c r="L33" i="36"/>
  <c r="N33" i="36" s="1"/>
  <c r="L34" i="36"/>
  <c r="N34" i="36" s="1"/>
  <c r="L35" i="36"/>
  <c r="N35" i="36" s="1"/>
  <c r="L36" i="36"/>
  <c r="N36" i="36" s="1"/>
  <c r="L37" i="36"/>
  <c r="N37" i="36" s="1"/>
  <c r="L38" i="36"/>
  <c r="N38" i="36" s="1"/>
  <c r="L39" i="36"/>
  <c r="N39" i="36" s="1"/>
  <c r="L40" i="36"/>
  <c r="N40" i="36" s="1"/>
  <c r="L41" i="36"/>
  <c r="N41" i="36" s="1"/>
  <c r="L42" i="36"/>
  <c r="N42" i="36" s="1"/>
  <c r="L43" i="36"/>
  <c r="N43" i="36" s="1"/>
  <c r="L44" i="36"/>
  <c r="N44" i="36" s="1"/>
  <c r="L45" i="36"/>
  <c r="N45" i="36" s="1"/>
  <c r="L46" i="36"/>
  <c r="N46" i="36" s="1"/>
  <c r="L47" i="36"/>
  <c r="N47" i="36" s="1"/>
  <c r="L48" i="36"/>
  <c r="N48" i="36" s="1"/>
  <c r="L49" i="36"/>
  <c r="N49" i="36" s="1"/>
  <c r="L50" i="36"/>
  <c r="N50" i="36" s="1"/>
  <c r="L51" i="36"/>
  <c r="N51" i="36" s="1"/>
  <c r="L52" i="36"/>
  <c r="N52" i="36" s="1"/>
  <c r="L53" i="36"/>
  <c r="N53" i="36" s="1"/>
  <c r="L54" i="36"/>
  <c r="N54" i="36" s="1"/>
  <c r="L56" i="36"/>
  <c r="N56" i="36" s="1"/>
  <c r="L58" i="36"/>
  <c r="N58" i="36" s="1"/>
  <c r="L60" i="36"/>
  <c r="N60" i="36" s="1"/>
  <c r="L62" i="36"/>
  <c r="N62" i="36" s="1"/>
  <c r="L64" i="36"/>
  <c r="N64" i="36" s="1"/>
  <c r="N4" i="35"/>
  <c r="G2" i="35"/>
  <c r="H3" i="35" s="1"/>
  <c r="E4" i="35"/>
  <c r="N5" i="35"/>
  <c r="Q63" i="35"/>
  <c r="S63" i="35" s="1"/>
  <c r="C6" i="35"/>
  <c r="D6" i="35"/>
  <c r="L10" i="35"/>
  <c r="L11" i="35"/>
  <c r="N11" i="35" s="1"/>
  <c r="L12" i="35"/>
  <c r="N12" i="35" s="1"/>
  <c r="L13" i="35"/>
  <c r="N13" i="35" s="1"/>
  <c r="L14" i="35"/>
  <c r="N14" i="35" s="1"/>
  <c r="L15" i="35"/>
  <c r="N15" i="35" s="1"/>
  <c r="L16" i="35"/>
  <c r="N16" i="35" s="1"/>
  <c r="L17" i="35"/>
  <c r="N17" i="35" s="1"/>
  <c r="L18" i="35"/>
  <c r="N18" i="35" s="1"/>
  <c r="L19" i="35"/>
  <c r="N19" i="35" s="1"/>
  <c r="L20" i="35"/>
  <c r="N20" i="35" s="1"/>
  <c r="L21" i="35"/>
  <c r="N21" i="35" s="1"/>
  <c r="L22" i="35"/>
  <c r="N22" i="35" s="1"/>
  <c r="L23" i="35"/>
  <c r="N23" i="35" s="1"/>
  <c r="L24" i="35"/>
  <c r="N24" i="35" s="1"/>
  <c r="L25" i="35"/>
  <c r="N25" i="35" s="1"/>
  <c r="L26" i="35"/>
  <c r="N26" i="35" s="1"/>
  <c r="L27" i="35"/>
  <c r="N27" i="35" s="1"/>
  <c r="L28" i="35"/>
  <c r="N28" i="35" s="1"/>
  <c r="L29" i="35"/>
  <c r="N29" i="35" s="1"/>
  <c r="L30" i="35"/>
  <c r="N30" i="35" s="1"/>
  <c r="L31" i="35"/>
  <c r="N31" i="35" s="1"/>
  <c r="L32" i="35"/>
  <c r="N32" i="35" s="1"/>
  <c r="L33" i="35"/>
  <c r="N33" i="35" s="1"/>
  <c r="L34" i="35"/>
  <c r="N34" i="35" s="1"/>
  <c r="L35" i="35"/>
  <c r="N35" i="35" s="1"/>
  <c r="L36" i="35"/>
  <c r="N36" i="35" s="1"/>
  <c r="L37" i="35"/>
  <c r="N37" i="35" s="1"/>
  <c r="L38" i="35"/>
  <c r="N38" i="35" s="1"/>
  <c r="L39" i="35"/>
  <c r="N39" i="35" s="1"/>
  <c r="L40" i="35"/>
  <c r="N40" i="35" s="1"/>
  <c r="L41" i="35"/>
  <c r="N41" i="35" s="1"/>
  <c r="L42" i="35"/>
  <c r="N42" i="35" s="1"/>
  <c r="L43" i="35"/>
  <c r="N43" i="35" s="1"/>
  <c r="L44" i="35"/>
  <c r="N44" i="35" s="1"/>
  <c r="L45" i="35"/>
  <c r="N45" i="35" s="1"/>
  <c r="L46" i="35"/>
  <c r="N46" i="35" s="1"/>
  <c r="L47" i="35"/>
  <c r="N47" i="35" s="1"/>
  <c r="L48" i="35"/>
  <c r="N48" i="35" s="1"/>
  <c r="L49" i="35"/>
  <c r="N49" i="35" s="1"/>
  <c r="L50" i="35"/>
  <c r="N50" i="35" s="1"/>
  <c r="L51" i="35"/>
  <c r="N51" i="35" s="1"/>
  <c r="L52" i="35"/>
  <c r="N52" i="35" s="1"/>
  <c r="L53" i="35"/>
  <c r="N53" i="35" s="1"/>
  <c r="L54" i="35"/>
  <c r="N54" i="35" s="1"/>
  <c r="L56" i="35"/>
  <c r="N56" i="35" s="1"/>
  <c r="L58" i="35"/>
  <c r="N58" i="35" s="1"/>
  <c r="L60" i="35"/>
  <c r="N60" i="35" s="1"/>
  <c r="L62" i="35"/>
  <c r="N62" i="35" s="1"/>
  <c r="L64" i="35"/>
  <c r="N64" i="35" s="1"/>
  <c r="Q10" i="35"/>
  <c r="Q11" i="35"/>
  <c r="S11" i="35" s="1"/>
  <c r="Q12" i="35"/>
  <c r="S12" i="35" s="1"/>
  <c r="Q13" i="35"/>
  <c r="S13" i="35" s="1"/>
  <c r="Q14" i="35"/>
  <c r="S14" i="35" s="1"/>
  <c r="Q15" i="35"/>
  <c r="S15" i="35" s="1"/>
  <c r="Q16" i="35"/>
  <c r="S16" i="35" s="1"/>
  <c r="Q17" i="35"/>
  <c r="S17" i="35" s="1"/>
  <c r="Q18" i="35"/>
  <c r="S18" i="35" s="1"/>
  <c r="Q19" i="35"/>
  <c r="S19" i="35" s="1"/>
  <c r="Q20" i="35"/>
  <c r="S20" i="35" s="1"/>
  <c r="Q21" i="35"/>
  <c r="S21" i="35" s="1"/>
  <c r="Q22" i="35"/>
  <c r="S22" i="35" s="1"/>
  <c r="Q23" i="35"/>
  <c r="S23" i="35" s="1"/>
  <c r="Q24" i="35"/>
  <c r="S24" i="35" s="1"/>
  <c r="Q25" i="35"/>
  <c r="S25" i="35" s="1"/>
  <c r="Q26" i="35"/>
  <c r="S26" i="35" s="1"/>
  <c r="Q27" i="35"/>
  <c r="S27" i="35" s="1"/>
  <c r="Q28" i="35"/>
  <c r="S28" i="35" s="1"/>
  <c r="Q29" i="35"/>
  <c r="S29" i="35" s="1"/>
  <c r="Q30" i="35"/>
  <c r="S30" i="35" s="1"/>
  <c r="Q31" i="35"/>
  <c r="S31" i="35" s="1"/>
  <c r="Q32" i="35"/>
  <c r="S32" i="35" s="1"/>
  <c r="Q33" i="35"/>
  <c r="S33" i="35" s="1"/>
  <c r="Q34" i="35"/>
  <c r="S34" i="35" s="1"/>
  <c r="Q35" i="35"/>
  <c r="S35" i="35" s="1"/>
  <c r="Q36" i="35"/>
  <c r="S36" i="35" s="1"/>
  <c r="Q37" i="35"/>
  <c r="S37" i="35" s="1"/>
  <c r="Q38" i="35"/>
  <c r="S38" i="35" s="1"/>
  <c r="Q39" i="35"/>
  <c r="S39" i="35" s="1"/>
  <c r="Q40" i="35"/>
  <c r="S40" i="35" s="1"/>
  <c r="Q41" i="35"/>
  <c r="S41" i="35" s="1"/>
  <c r="Q42" i="35"/>
  <c r="S42" i="35" s="1"/>
  <c r="Q43" i="35"/>
  <c r="S43" i="35" s="1"/>
  <c r="Q44" i="35"/>
  <c r="S44" i="35" s="1"/>
  <c r="Q45" i="35"/>
  <c r="S45" i="35" s="1"/>
  <c r="Q46" i="35"/>
  <c r="S46" i="35" s="1"/>
  <c r="Q47" i="35"/>
  <c r="S47" i="35" s="1"/>
  <c r="Q48" i="35"/>
  <c r="S48" i="35" s="1"/>
  <c r="Q49" i="35"/>
  <c r="S49" i="35" s="1"/>
  <c r="Q50" i="35"/>
  <c r="S50" i="35" s="1"/>
  <c r="Q51" i="35"/>
  <c r="S51" i="35" s="1"/>
  <c r="Q52" i="35"/>
  <c r="S52" i="35" s="1"/>
  <c r="Q53" i="35"/>
  <c r="S53" i="35" s="1"/>
  <c r="Q54" i="35"/>
  <c r="S54" i="35" s="1"/>
  <c r="Q56" i="35"/>
  <c r="S56" i="35" s="1"/>
  <c r="Q58" i="35"/>
  <c r="S58" i="35" s="1"/>
  <c r="Q60" i="35"/>
  <c r="S60" i="35" s="1"/>
  <c r="Q62" i="35"/>
  <c r="S62" i="35" s="1"/>
  <c r="G2" i="33"/>
  <c r="H3" i="33" s="1"/>
  <c r="E4" i="33"/>
  <c r="D10" i="33"/>
  <c r="F4" i="33"/>
  <c r="N4" i="33" s="1"/>
  <c r="G10" i="33"/>
  <c r="G11" i="33"/>
  <c r="I11" i="33" s="1"/>
  <c r="G12" i="33"/>
  <c r="I12" i="33" s="1"/>
  <c r="G13" i="33"/>
  <c r="I13" i="33" s="1"/>
  <c r="G14" i="33"/>
  <c r="I14" i="33" s="1"/>
  <c r="G15" i="33"/>
  <c r="I15" i="33" s="1"/>
  <c r="G16" i="33"/>
  <c r="I16" i="33" s="1"/>
  <c r="G17" i="33"/>
  <c r="I17" i="33" s="1"/>
  <c r="G18" i="33"/>
  <c r="I18" i="33" s="1"/>
  <c r="G19" i="33"/>
  <c r="I19" i="33" s="1"/>
  <c r="G20" i="33"/>
  <c r="I20" i="33" s="1"/>
  <c r="G21" i="33"/>
  <c r="I21" i="33" s="1"/>
  <c r="G22" i="33"/>
  <c r="I22" i="33" s="1"/>
  <c r="G23" i="33"/>
  <c r="I23" i="33" s="1"/>
  <c r="G24" i="33"/>
  <c r="I24" i="33" s="1"/>
  <c r="G25" i="33"/>
  <c r="I25" i="33" s="1"/>
  <c r="G26" i="33"/>
  <c r="I26" i="33" s="1"/>
  <c r="G27" i="33"/>
  <c r="I27" i="33" s="1"/>
  <c r="G28" i="33"/>
  <c r="I28" i="33" s="1"/>
  <c r="G29" i="33"/>
  <c r="I29" i="33" s="1"/>
  <c r="G30" i="33"/>
  <c r="I30" i="33" s="1"/>
  <c r="G31" i="33"/>
  <c r="I31" i="33" s="1"/>
  <c r="G32" i="33"/>
  <c r="I32" i="33" s="1"/>
  <c r="G33" i="33"/>
  <c r="I33" i="33" s="1"/>
  <c r="G34" i="33"/>
  <c r="I34" i="33" s="1"/>
  <c r="G35" i="33"/>
  <c r="I35" i="33" s="1"/>
  <c r="G36" i="33"/>
  <c r="I36" i="33" s="1"/>
  <c r="G37" i="33"/>
  <c r="I37" i="33" s="1"/>
  <c r="G38" i="33"/>
  <c r="I38" i="33" s="1"/>
  <c r="G39" i="33"/>
  <c r="I39" i="33" s="1"/>
  <c r="G40" i="33"/>
  <c r="I40" i="33" s="1"/>
  <c r="G41" i="33"/>
  <c r="I41" i="33" s="1"/>
  <c r="G42" i="33"/>
  <c r="I42" i="33" s="1"/>
  <c r="G43" i="33"/>
  <c r="I43" i="33" s="1"/>
  <c r="G44" i="33"/>
  <c r="I44" i="33" s="1"/>
  <c r="G45" i="33"/>
  <c r="I45" i="33" s="1"/>
  <c r="G46" i="33"/>
  <c r="I46" i="33" s="1"/>
  <c r="G47" i="33"/>
  <c r="I47" i="33" s="1"/>
  <c r="G48" i="33"/>
  <c r="I48" i="33" s="1"/>
  <c r="G49" i="33"/>
  <c r="I49" i="33" s="1"/>
  <c r="G50" i="33"/>
  <c r="I50" i="33" s="1"/>
  <c r="G51" i="33"/>
  <c r="I51" i="33" s="1"/>
  <c r="G52" i="33"/>
  <c r="I52" i="33" s="1"/>
  <c r="G53" i="33"/>
  <c r="I53" i="33" s="1"/>
  <c r="G54" i="33"/>
  <c r="I54" i="33" s="1"/>
  <c r="Q55" i="33"/>
  <c r="S55" i="33" s="1"/>
  <c r="Q57" i="33"/>
  <c r="S57" i="33" s="1"/>
  <c r="Q59" i="33"/>
  <c r="S59" i="33" s="1"/>
  <c r="Q61" i="33"/>
  <c r="S61" i="33" s="1"/>
  <c r="Q63" i="33"/>
  <c r="S63" i="33" s="1"/>
  <c r="C6" i="33"/>
  <c r="D6" i="33"/>
  <c r="L10" i="33"/>
  <c r="L11" i="33"/>
  <c r="N11" i="33" s="1"/>
  <c r="L12" i="33"/>
  <c r="N12" i="33" s="1"/>
  <c r="L13" i="33"/>
  <c r="N13" i="33" s="1"/>
  <c r="L14" i="33"/>
  <c r="N14" i="33" s="1"/>
  <c r="L15" i="33"/>
  <c r="N15" i="33" s="1"/>
  <c r="L16" i="33"/>
  <c r="N16" i="33" s="1"/>
  <c r="L17" i="33"/>
  <c r="N17" i="33" s="1"/>
  <c r="L18" i="33"/>
  <c r="N18" i="33" s="1"/>
  <c r="L19" i="33"/>
  <c r="N19" i="33" s="1"/>
  <c r="L20" i="33"/>
  <c r="N20" i="33" s="1"/>
  <c r="L21" i="33"/>
  <c r="N21" i="33" s="1"/>
  <c r="L22" i="33"/>
  <c r="N22" i="33" s="1"/>
  <c r="L23" i="33"/>
  <c r="N23" i="33" s="1"/>
  <c r="L24" i="33"/>
  <c r="N24" i="33" s="1"/>
  <c r="L25" i="33"/>
  <c r="N25" i="33" s="1"/>
  <c r="L26" i="33"/>
  <c r="N26" i="33" s="1"/>
  <c r="L27" i="33"/>
  <c r="N27" i="33" s="1"/>
  <c r="L28" i="33"/>
  <c r="N28" i="33" s="1"/>
  <c r="L29" i="33"/>
  <c r="N29" i="33" s="1"/>
  <c r="L30" i="33"/>
  <c r="N30" i="33" s="1"/>
  <c r="L31" i="33"/>
  <c r="N31" i="33" s="1"/>
  <c r="L32" i="33"/>
  <c r="N32" i="33" s="1"/>
  <c r="L33" i="33"/>
  <c r="N33" i="33" s="1"/>
  <c r="L34" i="33"/>
  <c r="N34" i="33" s="1"/>
  <c r="L35" i="33"/>
  <c r="N35" i="33" s="1"/>
  <c r="L36" i="33"/>
  <c r="N36" i="33" s="1"/>
  <c r="L37" i="33"/>
  <c r="N37" i="33" s="1"/>
  <c r="L38" i="33"/>
  <c r="N38" i="33" s="1"/>
  <c r="L39" i="33"/>
  <c r="N39" i="33" s="1"/>
  <c r="L40" i="33"/>
  <c r="N40" i="33" s="1"/>
  <c r="L41" i="33"/>
  <c r="N41" i="33" s="1"/>
  <c r="L42" i="33"/>
  <c r="N42" i="33" s="1"/>
  <c r="L43" i="33"/>
  <c r="N43" i="33" s="1"/>
  <c r="L44" i="33"/>
  <c r="N44" i="33" s="1"/>
  <c r="L45" i="33"/>
  <c r="N45" i="33" s="1"/>
  <c r="L46" i="33"/>
  <c r="N46" i="33" s="1"/>
  <c r="L47" i="33"/>
  <c r="N47" i="33" s="1"/>
  <c r="L48" i="33"/>
  <c r="N48" i="33" s="1"/>
  <c r="L49" i="33"/>
  <c r="N49" i="33" s="1"/>
  <c r="L50" i="33"/>
  <c r="N50" i="33" s="1"/>
  <c r="L51" i="33"/>
  <c r="N51" i="33" s="1"/>
  <c r="L52" i="33"/>
  <c r="N52" i="33" s="1"/>
  <c r="L53" i="33"/>
  <c r="N53" i="33" s="1"/>
  <c r="L54" i="33"/>
  <c r="N54" i="33" s="1"/>
  <c r="L56" i="33"/>
  <c r="N56" i="33" s="1"/>
  <c r="L58" i="33"/>
  <c r="N58" i="33" s="1"/>
  <c r="L60" i="33"/>
  <c r="N60" i="33" s="1"/>
  <c r="L62" i="33"/>
  <c r="N62" i="33" s="1"/>
  <c r="L64" i="33"/>
  <c r="N64" i="33" s="1"/>
  <c r="Q10" i="33"/>
  <c r="Q11" i="33"/>
  <c r="S11" i="33" s="1"/>
  <c r="Q12" i="33"/>
  <c r="S12" i="33" s="1"/>
  <c r="Q13" i="33"/>
  <c r="S13" i="33" s="1"/>
  <c r="Q14" i="33"/>
  <c r="S14" i="33" s="1"/>
  <c r="Q15" i="33"/>
  <c r="S15" i="33" s="1"/>
  <c r="Q16" i="33"/>
  <c r="S16" i="33" s="1"/>
  <c r="Q17" i="33"/>
  <c r="S17" i="33" s="1"/>
  <c r="Q18" i="33"/>
  <c r="S18" i="33" s="1"/>
  <c r="Q19" i="33"/>
  <c r="S19" i="33" s="1"/>
  <c r="Q20" i="33"/>
  <c r="S20" i="33" s="1"/>
  <c r="Q21" i="33"/>
  <c r="S21" i="33" s="1"/>
  <c r="Q22" i="33"/>
  <c r="S22" i="33" s="1"/>
  <c r="Q23" i="33"/>
  <c r="S23" i="33" s="1"/>
  <c r="Q24" i="33"/>
  <c r="S24" i="33" s="1"/>
  <c r="Q25" i="33"/>
  <c r="S25" i="33" s="1"/>
  <c r="Q26" i="33"/>
  <c r="S26" i="33" s="1"/>
  <c r="Q27" i="33"/>
  <c r="S27" i="33" s="1"/>
  <c r="Q28" i="33"/>
  <c r="S28" i="33" s="1"/>
  <c r="Q29" i="33"/>
  <c r="S29" i="33" s="1"/>
  <c r="Q30" i="33"/>
  <c r="S30" i="33" s="1"/>
  <c r="Q31" i="33"/>
  <c r="S31" i="33" s="1"/>
  <c r="Q32" i="33"/>
  <c r="S32" i="33" s="1"/>
  <c r="Q33" i="33"/>
  <c r="S33" i="33" s="1"/>
  <c r="Q34" i="33"/>
  <c r="S34" i="33" s="1"/>
  <c r="Q35" i="33"/>
  <c r="S35" i="33" s="1"/>
  <c r="Q36" i="33"/>
  <c r="S36" i="33" s="1"/>
  <c r="Q37" i="33"/>
  <c r="S37" i="33" s="1"/>
  <c r="Q38" i="33"/>
  <c r="S38" i="33" s="1"/>
  <c r="Q39" i="33"/>
  <c r="S39" i="33" s="1"/>
  <c r="Q40" i="33"/>
  <c r="S40" i="33" s="1"/>
  <c r="Q41" i="33"/>
  <c r="S41" i="33" s="1"/>
  <c r="Q42" i="33"/>
  <c r="S42" i="33" s="1"/>
  <c r="Q43" i="33"/>
  <c r="S43" i="33" s="1"/>
  <c r="Q44" i="33"/>
  <c r="S44" i="33" s="1"/>
  <c r="Q45" i="33"/>
  <c r="S45" i="33" s="1"/>
  <c r="Q46" i="33"/>
  <c r="S46" i="33" s="1"/>
  <c r="Q47" i="33"/>
  <c r="S47" i="33" s="1"/>
  <c r="Q48" i="33"/>
  <c r="S48" i="33" s="1"/>
  <c r="Q49" i="33"/>
  <c r="S49" i="33" s="1"/>
  <c r="Q50" i="33"/>
  <c r="S50" i="33" s="1"/>
  <c r="Q51" i="33"/>
  <c r="S51" i="33" s="1"/>
  <c r="Q52" i="33"/>
  <c r="S52" i="33" s="1"/>
  <c r="Q53" i="33"/>
  <c r="S53" i="33" s="1"/>
  <c r="Q54" i="33"/>
  <c r="S54" i="33" s="1"/>
  <c r="Q56" i="33"/>
  <c r="S56" i="33" s="1"/>
  <c r="Q58" i="33"/>
  <c r="S58" i="33" s="1"/>
  <c r="Q60" i="33"/>
  <c r="S60" i="33" s="1"/>
  <c r="Q62" i="33"/>
  <c r="S62" i="33" s="1"/>
  <c r="G2" i="31"/>
  <c r="H3" i="31" s="1"/>
  <c r="E4" i="31"/>
  <c r="G4" i="31" s="1"/>
  <c r="N5" i="31"/>
  <c r="D10" i="31"/>
  <c r="C6" i="31"/>
  <c r="D6" i="31"/>
  <c r="L10" i="31"/>
  <c r="L11" i="31"/>
  <c r="N11" i="31" s="1"/>
  <c r="L12" i="31"/>
  <c r="N12" i="31" s="1"/>
  <c r="L13" i="31"/>
  <c r="N13" i="31" s="1"/>
  <c r="L14" i="31"/>
  <c r="N14" i="31" s="1"/>
  <c r="L15" i="31"/>
  <c r="N15" i="31" s="1"/>
  <c r="L16" i="31"/>
  <c r="N16" i="31" s="1"/>
  <c r="L17" i="31"/>
  <c r="N17" i="31" s="1"/>
  <c r="L18" i="31"/>
  <c r="N18" i="31" s="1"/>
  <c r="L19" i="31"/>
  <c r="N19" i="31" s="1"/>
  <c r="L20" i="31"/>
  <c r="N20" i="31" s="1"/>
  <c r="L21" i="31"/>
  <c r="N21" i="31" s="1"/>
  <c r="L22" i="31"/>
  <c r="N22" i="31" s="1"/>
  <c r="L23" i="31"/>
  <c r="N23" i="31" s="1"/>
  <c r="L24" i="31"/>
  <c r="N24" i="31" s="1"/>
  <c r="L25" i="31"/>
  <c r="N25" i="31" s="1"/>
  <c r="L26" i="31"/>
  <c r="N26" i="31" s="1"/>
  <c r="L27" i="31"/>
  <c r="N27" i="31" s="1"/>
  <c r="L28" i="31"/>
  <c r="N28" i="31" s="1"/>
  <c r="L29" i="31"/>
  <c r="N29" i="31" s="1"/>
  <c r="L30" i="31"/>
  <c r="N30" i="31" s="1"/>
  <c r="L31" i="31"/>
  <c r="N31" i="31" s="1"/>
  <c r="L32" i="31"/>
  <c r="N32" i="31" s="1"/>
  <c r="L33" i="31"/>
  <c r="N33" i="31" s="1"/>
  <c r="L34" i="31"/>
  <c r="N34" i="31" s="1"/>
  <c r="L35" i="31"/>
  <c r="N35" i="31" s="1"/>
  <c r="L36" i="31"/>
  <c r="N36" i="31" s="1"/>
  <c r="L37" i="31"/>
  <c r="N37" i="31" s="1"/>
  <c r="L38" i="31"/>
  <c r="N38" i="31" s="1"/>
  <c r="L39" i="31"/>
  <c r="N39" i="31" s="1"/>
  <c r="L40" i="31"/>
  <c r="N40" i="31" s="1"/>
  <c r="L41" i="31"/>
  <c r="N41" i="31" s="1"/>
  <c r="L42" i="31"/>
  <c r="N42" i="31" s="1"/>
  <c r="L43" i="31"/>
  <c r="N43" i="31" s="1"/>
  <c r="L44" i="31"/>
  <c r="N44" i="31" s="1"/>
  <c r="L45" i="31"/>
  <c r="N45" i="31" s="1"/>
  <c r="L46" i="31"/>
  <c r="N46" i="31" s="1"/>
  <c r="L47" i="31"/>
  <c r="N47" i="31" s="1"/>
  <c r="L48" i="31"/>
  <c r="N48" i="31" s="1"/>
  <c r="L49" i="31"/>
  <c r="N49" i="31" s="1"/>
  <c r="L50" i="31"/>
  <c r="N50" i="31" s="1"/>
  <c r="L51" i="31"/>
  <c r="N51" i="31" s="1"/>
  <c r="L52" i="31"/>
  <c r="N52" i="31" s="1"/>
  <c r="L53" i="31"/>
  <c r="N53" i="31" s="1"/>
  <c r="L54" i="31"/>
  <c r="N54" i="31" s="1"/>
  <c r="L56" i="31"/>
  <c r="N56" i="31" s="1"/>
  <c r="L58" i="31"/>
  <c r="N58" i="31" s="1"/>
  <c r="L60" i="31"/>
  <c r="N60" i="31" s="1"/>
  <c r="L62" i="31"/>
  <c r="N62" i="31" s="1"/>
  <c r="L64" i="31"/>
  <c r="N64" i="31" s="1"/>
  <c r="Q31" i="31"/>
  <c r="Q32" i="31"/>
  <c r="S32" i="31" s="1"/>
  <c r="Q33" i="31"/>
  <c r="S33" i="31" s="1"/>
  <c r="Q34" i="31"/>
  <c r="S34" i="31" s="1"/>
  <c r="Q35" i="31"/>
  <c r="S35" i="31" s="1"/>
  <c r="Q36" i="31"/>
  <c r="S36" i="31" s="1"/>
  <c r="Q37" i="31"/>
  <c r="S37" i="31" s="1"/>
  <c r="Q38" i="31"/>
  <c r="S38" i="31" s="1"/>
  <c r="Q39" i="31"/>
  <c r="S39" i="31" s="1"/>
  <c r="Q40" i="31"/>
  <c r="S40" i="31" s="1"/>
  <c r="Q41" i="31"/>
  <c r="S41" i="31" s="1"/>
  <c r="Q42" i="31"/>
  <c r="S42" i="31" s="1"/>
  <c r="Q43" i="31"/>
  <c r="S43" i="31" s="1"/>
  <c r="Q44" i="31"/>
  <c r="S44" i="31" s="1"/>
  <c r="Q45" i="31"/>
  <c r="S45" i="31" s="1"/>
  <c r="Q46" i="31"/>
  <c r="S46" i="31" s="1"/>
  <c r="Q47" i="31"/>
  <c r="S47" i="31" s="1"/>
  <c r="Q48" i="31"/>
  <c r="S48" i="31" s="1"/>
  <c r="Q49" i="31"/>
  <c r="S49" i="31" s="1"/>
  <c r="Q50" i="31"/>
  <c r="S50" i="31" s="1"/>
  <c r="Q51" i="31"/>
  <c r="S51" i="31" s="1"/>
  <c r="Q52" i="31"/>
  <c r="S52" i="31" s="1"/>
  <c r="Q53" i="31"/>
  <c r="S53" i="31" s="1"/>
  <c r="Q54" i="31"/>
  <c r="S54" i="31" s="1"/>
  <c r="Q56" i="31"/>
  <c r="S56" i="31" s="1"/>
  <c r="Q58" i="31"/>
  <c r="S58" i="31" s="1"/>
  <c r="Q60" i="31"/>
  <c r="S60" i="31" s="1"/>
  <c r="Q62" i="31"/>
  <c r="S62" i="31" s="1"/>
  <c r="G2" i="29"/>
  <c r="H3" i="29" s="1"/>
  <c r="E4" i="29"/>
  <c r="D10" i="29"/>
  <c r="F4" i="29"/>
  <c r="N4" i="29" s="1"/>
  <c r="G10" i="29"/>
  <c r="G11" i="29"/>
  <c r="I11" i="29" s="1"/>
  <c r="G12" i="29"/>
  <c r="I12" i="29" s="1"/>
  <c r="G13" i="29"/>
  <c r="I13" i="29" s="1"/>
  <c r="G14" i="29"/>
  <c r="I14" i="29" s="1"/>
  <c r="G15" i="29"/>
  <c r="I15" i="29" s="1"/>
  <c r="G16" i="29"/>
  <c r="I16" i="29" s="1"/>
  <c r="G17" i="29"/>
  <c r="I17" i="29" s="1"/>
  <c r="G18" i="29"/>
  <c r="I18" i="29" s="1"/>
  <c r="G19" i="29"/>
  <c r="I19" i="29" s="1"/>
  <c r="G20" i="29"/>
  <c r="I20" i="29" s="1"/>
  <c r="G21" i="29"/>
  <c r="I21" i="29" s="1"/>
  <c r="G22" i="29"/>
  <c r="I22" i="29" s="1"/>
  <c r="G23" i="29"/>
  <c r="I23" i="29" s="1"/>
  <c r="G24" i="29"/>
  <c r="I24" i="29" s="1"/>
  <c r="G25" i="29"/>
  <c r="I25" i="29" s="1"/>
  <c r="G26" i="29"/>
  <c r="I26" i="29" s="1"/>
  <c r="G27" i="29"/>
  <c r="I27" i="29" s="1"/>
  <c r="G28" i="29"/>
  <c r="I28" i="29" s="1"/>
  <c r="G29" i="29"/>
  <c r="I29" i="29" s="1"/>
  <c r="G30" i="29"/>
  <c r="I30" i="29" s="1"/>
  <c r="G31" i="29"/>
  <c r="I31" i="29" s="1"/>
  <c r="G32" i="29"/>
  <c r="I32" i="29" s="1"/>
  <c r="G33" i="29"/>
  <c r="I33" i="29" s="1"/>
  <c r="G34" i="29"/>
  <c r="I34" i="29" s="1"/>
  <c r="G35" i="29"/>
  <c r="I35" i="29" s="1"/>
  <c r="G36" i="29"/>
  <c r="I36" i="29" s="1"/>
  <c r="G37" i="29"/>
  <c r="I37" i="29" s="1"/>
  <c r="G38" i="29"/>
  <c r="I38" i="29" s="1"/>
  <c r="G39" i="29"/>
  <c r="I39" i="29" s="1"/>
  <c r="G40" i="29"/>
  <c r="I40" i="29" s="1"/>
  <c r="G41" i="29"/>
  <c r="I41" i="29" s="1"/>
  <c r="G42" i="29"/>
  <c r="I42" i="29" s="1"/>
  <c r="G43" i="29"/>
  <c r="I43" i="29" s="1"/>
  <c r="G44" i="29"/>
  <c r="I44" i="29" s="1"/>
  <c r="G45" i="29"/>
  <c r="I45" i="29" s="1"/>
  <c r="G46" i="29"/>
  <c r="I46" i="29" s="1"/>
  <c r="G47" i="29"/>
  <c r="I47" i="29" s="1"/>
  <c r="G48" i="29"/>
  <c r="I48" i="29" s="1"/>
  <c r="G49" i="29"/>
  <c r="I49" i="29" s="1"/>
  <c r="G50" i="29"/>
  <c r="I50" i="29" s="1"/>
  <c r="G51" i="29"/>
  <c r="I51" i="29" s="1"/>
  <c r="G52" i="29"/>
  <c r="I52" i="29" s="1"/>
  <c r="G53" i="29"/>
  <c r="I53" i="29" s="1"/>
  <c r="G54" i="29"/>
  <c r="I54" i="29" s="1"/>
  <c r="Q55" i="29"/>
  <c r="S55" i="29" s="1"/>
  <c r="Q57" i="29"/>
  <c r="S57" i="29" s="1"/>
  <c r="Q59" i="29"/>
  <c r="S59" i="29" s="1"/>
  <c r="Q61" i="29"/>
  <c r="S61" i="29" s="1"/>
  <c r="Q63" i="29"/>
  <c r="S63" i="29" s="1"/>
  <c r="C6" i="29"/>
  <c r="D6" i="29"/>
  <c r="L10" i="29"/>
  <c r="L11" i="29"/>
  <c r="N11" i="29" s="1"/>
  <c r="L12" i="29"/>
  <c r="N12" i="29" s="1"/>
  <c r="L13" i="29"/>
  <c r="N13" i="29" s="1"/>
  <c r="L14" i="29"/>
  <c r="N14" i="29" s="1"/>
  <c r="L15" i="29"/>
  <c r="N15" i="29" s="1"/>
  <c r="L16" i="29"/>
  <c r="N16" i="29" s="1"/>
  <c r="L17" i="29"/>
  <c r="N17" i="29" s="1"/>
  <c r="L18" i="29"/>
  <c r="N18" i="29" s="1"/>
  <c r="L19" i="29"/>
  <c r="N19" i="29" s="1"/>
  <c r="L20" i="29"/>
  <c r="N20" i="29" s="1"/>
  <c r="L21" i="29"/>
  <c r="N21" i="29" s="1"/>
  <c r="L22" i="29"/>
  <c r="N22" i="29" s="1"/>
  <c r="L23" i="29"/>
  <c r="N23" i="29" s="1"/>
  <c r="L24" i="29"/>
  <c r="N24" i="29" s="1"/>
  <c r="L25" i="29"/>
  <c r="N25" i="29" s="1"/>
  <c r="L26" i="29"/>
  <c r="N26" i="29" s="1"/>
  <c r="L27" i="29"/>
  <c r="N27" i="29" s="1"/>
  <c r="L28" i="29"/>
  <c r="N28" i="29" s="1"/>
  <c r="L29" i="29"/>
  <c r="N29" i="29" s="1"/>
  <c r="L30" i="29"/>
  <c r="N30" i="29" s="1"/>
  <c r="L31" i="29"/>
  <c r="N31" i="29" s="1"/>
  <c r="L32" i="29"/>
  <c r="N32" i="29" s="1"/>
  <c r="L33" i="29"/>
  <c r="N33" i="29" s="1"/>
  <c r="L34" i="29"/>
  <c r="N34" i="29" s="1"/>
  <c r="L35" i="29"/>
  <c r="N35" i="29" s="1"/>
  <c r="L36" i="29"/>
  <c r="N36" i="29" s="1"/>
  <c r="L37" i="29"/>
  <c r="N37" i="29" s="1"/>
  <c r="L38" i="29"/>
  <c r="N38" i="29" s="1"/>
  <c r="L39" i="29"/>
  <c r="N39" i="29" s="1"/>
  <c r="L40" i="29"/>
  <c r="N40" i="29" s="1"/>
  <c r="L41" i="29"/>
  <c r="N41" i="29" s="1"/>
  <c r="L42" i="29"/>
  <c r="N42" i="29" s="1"/>
  <c r="L43" i="29"/>
  <c r="N43" i="29" s="1"/>
  <c r="L44" i="29"/>
  <c r="N44" i="29" s="1"/>
  <c r="L45" i="29"/>
  <c r="N45" i="29" s="1"/>
  <c r="L46" i="29"/>
  <c r="N46" i="29" s="1"/>
  <c r="L47" i="29"/>
  <c r="N47" i="29" s="1"/>
  <c r="L48" i="29"/>
  <c r="N48" i="29" s="1"/>
  <c r="L49" i="29"/>
  <c r="N49" i="29" s="1"/>
  <c r="L50" i="29"/>
  <c r="N50" i="29" s="1"/>
  <c r="L51" i="29"/>
  <c r="N51" i="29" s="1"/>
  <c r="L52" i="29"/>
  <c r="N52" i="29" s="1"/>
  <c r="L53" i="29"/>
  <c r="N53" i="29" s="1"/>
  <c r="L54" i="29"/>
  <c r="N54" i="29" s="1"/>
  <c r="L56" i="29"/>
  <c r="N56" i="29" s="1"/>
  <c r="L58" i="29"/>
  <c r="N58" i="29" s="1"/>
  <c r="L60" i="29"/>
  <c r="N60" i="29" s="1"/>
  <c r="L62" i="29"/>
  <c r="N62" i="29" s="1"/>
  <c r="L64" i="29"/>
  <c r="N64" i="29" s="1"/>
  <c r="Q10" i="29"/>
  <c r="Q11" i="29"/>
  <c r="S11" i="29" s="1"/>
  <c r="Q12" i="29"/>
  <c r="S12" i="29" s="1"/>
  <c r="Q13" i="29"/>
  <c r="S13" i="29" s="1"/>
  <c r="Q14" i="29"/>
  <c r="S14" i="29" s="1"/>
  <c r="Q15" i="29"/>
  <c r="S15" i="29" s="1"/>
  <c r="Q16" i="29"/>
  <c r="S16" i="29" s="1"/>
  <c r="Q17" i="29"/>
  <c r="S17" i="29" s="1"/>
  <c r="Q18" i="29"/>
  <c r="S18" i="29" s="1"/>
  <c r="Q19" i="29"/>
  <c r="S19" i="29" s="1"/>
  <c r="Q20" i="29"/>
  <c r="S20" i="29" s="1"/>
  <c r="Q21" i="29"/>
  <c r="S21" i="29" s="1"/>
  <c r="Q22" i="29"/>
  <c r="S22" i="29" s="1"/>
  <c r="Q23" i="29"/>
  <c r="S23" i="29" s="1"/>
  <c r="Q24" i="29"/>
  <c r="S24" i="29" s="1"/>
  <c r="Q25" i="29"/>
  <c r="S25" i="29" s="1"/>
  <c r="Q26" i="29"/>
  <c r="S26" i="29" s="1"/>
  <c r="Q27" i="29"/>
  <c r="S27" i="29" s="1"/>
  <c r="Q28" i="29"/>
  <c r="S28" i="29" s="1"/>
  <c r="Q29" i="29"/>
  <c r="S29" i="29" s="1"/>
  <c r="Q30" i="29"/>
  <c r="S30" i="29" s="1"/>
  <c r="Q31" i="29"/>
  <c r="S31" i="29" s="1"/>
  <c r="Q32" i="29"/>
  <c r="S32" i="29" s="1"/>
  <c r="Q33" i="29"/>
  <c r="S33" i="29" s="1"/>
  <c r="Q34" i="29"/>
  <c r="S34" i="29" s="1"/>
  <c r="Q35" i="29"/>
  <c r="S35" i="29" s="1"/>
  <c r="Q36" i="29"/>
  <c r="S36" i="29" s="1"/>
  <c r="Q37" i="29"/>
  <c r="S37" i="29" s="1"/>
  <c r="Q38" i="29"/>
  <c r="S38" i="29" s="1"/>
  <c r="Q39" i="29"/>
  <c r="S39" i="29" s="1"/>
  <c r="Q40" i="29"/>
  <c r="S40" i="29" s="1"/>
  <c r="Q41" i="29"/>
  <c r="S41" i="29" s="1"/>
  <c r="Q42" i="29"/>
  <c r="S42" i="29" s="1"/>
  <c r="Q43" i="29"/>
  <c r="S43" i="29" s="1"/>
  <c r="Q44" i="29"/>
  <c r="S44" i="29" s="1"/>
  <c r="Q45" i="29"/>
  <c r="S45" i="29" s="1"/>
  <c r="Q46" i="29"/>
  <c r="S46" i="29" s="1"/>
  <c r="Q47" i="29"/>
  <c r="S47" i="29" s="1"/>
  <c r="Q48" i="29"/>
  <c r="S48" i="29" s="1"/>
  <c r="Q49" i="29"/>
  <c r="S49" i="29" s="1"/>
  <c r="Q50" i="29"/>
  <c r="S50" i="29" s="1"/>
  <c r="Q51" i="29"/>
  <c r="S51" i="29" s="1"/>
  <c r="Q52" i="29"/>
  <c r="S52" i="29" s="1"/>
  <c r="Q53" i="29"/>
  <c r="S53" i="29" s="1"/>
  <c r="Q54" i="29"/>
  <c r="S54" i="29" s="1"/>
  <c r="Q56" i="29"/>
  <c r="S56" i="29" s="1"/>
  <c r="Q58" i="29"/>
  <c r="S58" i="29" s="1"/>
  <c r="Q60" i="29"/>
  <c r="S60" i="29" s="1"/>
  <c r="Q62" i="29"/>
  <c r="S62" i="29" s="1"/>
  <c r="M5" i="28"/>
  <c r="G2" i="28"/>
  <c r="H3" i="28" s="1"/>
  <c r="C6" i="28"/>
  <c r="G16" i="28"/>
  <c r="G17" i="28"/>
  <c r="I17" i="28" s="1"/>
  <c r="G18" i="28"/>
  <c r="I18" i="28" s="1"/>
  <c r="G19" i="28"/>
  <c r="I19" i="28" s="1"/>
  <c r="G20" i="28"/>
  <c r="I20" i="28" s="1"/>
  <c r="G21" i="28"/>
  <c r="I21" i="28" s="1"/>
  <c r="G22" i="28"/>
  <c r="I22" i="28" s="1"/>
  <c r="G23" i="28"/>
  <c r="I23" i="28" s="1"/>
  <c r="G24" i="28"/>
  <c r="I24" i="28" s="1"/>
  <c r="G25" i="28"/>
  <c r="I25" i="28" s="1"/>
  <c r="G26" i="28"/>
  <c r="I26" i="28" s="1"/>
  <c r="G27" i="28"/>
  <c r="I27" i="28" s="1"/>
  <c r="G28" i="28"/>
  <c r="I28" i="28" s="1"/>
  <c r="G29" i="28"/>
  <c r="I29" i="28" s="1"/>
  <c r="G30" i="28"/>
  <c r="I30" i="28" s="1"/>
  <c r="G31" i="28"/>
  <c r="I31" i="28" s="1"/>
  <c r="G32" i="28"/>
  <c r="I32" i="28" s="1"/>
  <c r="G33" i="28"/>
  <c r="I33" i="28" s="1"/>
  <c r="G34" i="28"/>
  <c r="I34" i="28" s="1"/>
  <c r="G35" i="28"/>
  <c r="I35" i="28" s="1"/>
  <c r="G36" i="28"/>
  <c r="I36" i="28" s="1"/>
  <c r="G37" i="28"/>
  <c r="I37" i="28" s="1"/>
  <c r="G38" i="28"/>
  <c r="I38" i="28" s="1"/>
  <c r="G39" i="28"/>
  <c r="I39" i="28" s="1"/>
  <c r="G40" i="28"/>
  <c r="I40" i="28" s="1"/>
  <c r="G41" i="28"/>
  <c r="I41" i="28" s="1"/>
  <c r="G42" i="28"/>
  <c r="I42" i="28" s="1"/>
  <c r="G43" i="28"/>
  <c r="I43" i="28" s="1"/>
  <c r="G44" i="28"/>
  <c r="I44" i="28" s="1"/>
  <c r="G45" i="28"/>
  <c r="I45" i="28" s="1"/>
  <c r="G46" i="28"/>
  <c r="I46" i="28" s="1"/>
  <c r="G47" i="28"/>
  <c r="I47" i="28" s="1"/>
  <c r="G48" i="28"/>
  <c r="I48" i="28" s="1"/>
  <c r="G49" i="28"/>
  <c r="I49" i="28" s="1"/>
  <c r="G50" i="28"/>
  <c r="I50" i="28" s="1"/>
  <c r="G51" i="28"/>
  <c r="I51" i="28" s="1"/>
  <c r="G52" i="28"/>
  <c r="I52" i="28" s="1"/>
  <c r="G53" i="28"/>
  <c r="I53" i="28" s="1"/>
  <c r="G54" i="28"/>
  <c r="I54" i="28" s="1"/>
  <c r="Q55" i="28"/>
  <c r="S55" i="28" s="1"/>
  <c r="Q57" i="28"/>
  <c r="S57" i="28" s="1"/>
  <c r="Q59" i="28"/>
  <c r="S59" i="28" s="1"/>
  <c r="Q61" i="28"/>
  <c r="S61" i="28" s="1"/>
  <c r="Q63" i="28"/>
  <c r="S63" i="28" s="1"/>
  <c r="L10" i="28"/>
  <c r="L11" i="28"/>
  <c r="N11" i="28" s="1"/>
  <c r="L12" i="28"/>
  <c r="N12" i="28" s="1"/>
  <c r="L13" i="28"/>
  <c r="N13" i="28" s="1"/>
  <c r="L14" i="28"/>
  <c r="N14" i="28" s="1"/>
  <c r="L15" i="28"/>
  <c r="N15" i="28" s="1"/>
  <c r="E6" i="28"/>
  <c r="L16" i="28"/>
  <c r="N16" i="28" s="1"/>
  <c r="L17" i="28"/>
  <c r="N17" i="28" s="1"/>
  <c r="L18" i="28"/>
  <c r="N18" i="28" s="1"/>
  <c r="L19" i="28"/>
  <c r="N19" i="28" s="1"/>
  <c r="L20" i="28"/>
  <c r="N20" i="28" s="1"/>
  <c r="L21" i="28"/>
  <c r="N21" i="28" s="1"/>
  <c r="L22" i="28"/>
  <c r="N22" i="28" s="1"/>
  <c r="L23" i="28"/>
  <c r="N23" i="28" s="1"/>
  <c r="L24" i="28"/>
  <c r="N24" i="28" s="1"/>
  <c r="L25" i="28"/>
  <c r="N25" i="28" s="1"/>
  <c r="L26" i="28"/>
  <c r="N26" i="28" s="1"/>
  <c r="L27" i="28"/>
  <c r="N27" i="28" s="1"/>
  <c r="L28" i="28"/>
  <c r="N28" i="28" s="1"/>
  <c r="L29" i="28"/>
  <c r="N29" i="28" s="1"/>
  <c r="L30" i="28"/>
  <c r="N30" i="28" s="1"/>
  <c r="L31" i="28"/>
  <c r="N31" i="28" s="1"/>
  <c r="L32" i="28"/>
  <c r="N32" i="28" s="1"/>
  <c r="L33" i="28"/>
  <c r="N33" i="28" s="1"/>
  <c r="L34" i="28"/>
  <c r="N34" i="28" s="1"/>
  <c r="L35" i="28"/>
  <c r="N35" i="28" s="1"/>
  <c r="L36" i="28"/>
  <c r="N36" i="28" s="1"/>
  <c r="L37" i="28"/>
  <c r="N37" i="28" s="1"/>
  <c r="L38" i="28"/>
  <c r="N38" i="28" s="1"/>
  <c r="L39" i="28"/>
  <c r="N39" i="28" s="1"/>
  <c r="L40" i="28"/>
  <c r="N40" i="28" s="1"/>
  <c r="L41" i="28"/>
  <c r="N41" i="28" s="1"/>
  <c r="L42" i="28"/>
  <c r="N42" i="28" s="1"/>
  <c r="L43" i="28"/>
  <c r="N43" i="28" s="1"/>
  <c r="L44" i="28"/>
  <c r="N44" i="28" s="1"/>
  <c r="L45" i="28"/>
  <c r="N45" i="28" s="1"/>
  <c r="L46" i="28"/>
  <c r="N46" i="28" s="1"/>
  <c r="L47" i="28"/>
  <c r="N47" i="28" s="1"/>
  <c r="L48" i="28"/>
  <c r="N48" i="28" s="1"/>
  <c r="L49" i="28"/>
  <c r="N49" i="28" s="1"/>
  <c r="L50" i="28"/>
  <c r="N50" i="28" s="1"/>
  <c r="L51" i="28"/>
  <c r="N51" i="28" s="1"/>
  <c r="L52" i="28"/>
  <c r="N52" i="28" s="1"/>
  <c r="L53" i="28"/>
  <c r="N53" i="28" s="1"/>
  <c r="L54" i="28"/>
  <c r="N54" i="28" s="1"/>
  <c r="L56" i="28"/>
  <c r="N56" i="28" s="1"/>
  <c r="L58" i="28"/>
  <c r="N58" i="28" s="1"/>
  <c r="L60" i="28"/>
  <c r="N60" i="28" s="1"/>
  <c r="L62" i="28"/>
  <c r="N62" i="28" s="1"/>
  <c r="L64" i="28"/>
  <c r="N64" i="28" s="1"/>
  <c r="Q10" i="28"/>
  <c r="Q11" i="28"/>
  <c r="S11" i="28" s="1"/>
  <c r="Q12" i="28"/>
  <c r="S12" i="28" s="1"/>
  <c r="Q13" i="28"/>
  <c r="S13" i="28" s="1"/>
  <c r="Q14" i="28"/>
  <c r="S14" i="28" s="1"/>
  <c r="Q15" i="28"/>
  <c r="S15" i="28" s="1"/>
  <c r="Q16" i="28"/>
  <c r="S16" i="28" s="1"/>
  <c r="Q17" i="28"/>
  <c r="S17" i="28" s="1"/>
  <c r="Q18" i="28"/>
  <c r="S18" i="28" s="1"/>
  <c r="Q19" i="28"/>
  <c r="S19" i="28" s="1"/>
  <c r="Q20" i="28"/>
  <c r="S20" i="28" s="1"/>
  <c r="Q21" i="28"/>
  <c r="S21" i="28" s="1"/>
  <c r="Q22" i="28"/>
  <c r="S22" i="28" s="1"/>
  <c r="Q23" i="28"/>
  <c r="S23" i="28" s="1"/>
  <c r="Q24" i="28"/>
  <c r="S24" i="28" s="1"/>
  <c r="Q25" i="28"/>
  <c r="S25" i="28" s="1"/>
  <c r="Q26" i="28"/>
  <c r="S26" i="28" s="1"/>
  <c r="Q27" i="28"/>
  <c r="S27" i="28" s="1"/>
  <c r="Q28" i="28"/>
  <c r="S28" i="28" s="1"/>
  <c r="Q29" i="28"/>
  <c r="S29" i="28" s="1"/>
  <c r="Q30" i="28"/>
  <c r="S30" i="28" s="1"/>
  <c r="Q31" i="28"/>
  <c r="S31" i="28" s="1"/>
  <c r="Q32" i="28"/>
  <c r="S32" i="28" s="1"/>
  <c r="Q33" i="28"/>
  <c r="S33" i="28" s="1"/>
  <c r="Q34" i="28"/>
  <c r="S34" i="28" s="1"/>
  <c r="Q35" i="28"/>
  <c r="S35" i="28" s="1"/>
  <c r="Q36" i="28"/>
  <c r="S36" i="28" s="1"/>
  <c r="Q37" i="28"/>
  <c r="S37" i="28" s="1"/>
  <c r="Q38" i="28"/>
  <c r="S38" i="28" s="1"/>
  <c r="Q39" i="28"/>
  <c r="S39" i="28" s="1"/>
  <c r="Q40" i="28"/>
  <c r="S40" i="28" s="1"/>
  <c r="Q41" i="28"/>
  <c r="S41" i="28" s="1"/>
  <c r="Q42" i="28"/>
  <c r="S42" i="28" s="1"/>
  <c r="Q43" i="28"/>
  <c r="S43" i="28" s="1"/>
  <c r="Q44" i="28"/>
  <c r="S44" i="28" s="1"/>
  <c r="Q45" i="28"/>
  <c r="S45" i="28" s="1"/>
  <c r="Q46" i="28"/>
  <c r="S46" i="28" s="1"/>
  <c r="Q47" i="28"/>
  <c r="S47" i="28" s="1"/>
  <c r="Q48" i="28"/>
  <c r="S48" i="28" s="1"/>
  <c r="Q49" i="28"/>
  <c r="S49" i="28" s="1"/>
  <c r="Q50" i="28"/>
  <c r="S50" i="28" s="1"/>
  <c r="Q51" i="28"/>
  <c r="S51" i="28" s="1"/>
  <c r="Q52" i="28"/>
  <c r="S52" i="28" s="1"/>
  <c r="Q53" i="28"/>
  <c r="S53" i="28" s="1"/>
  <c r="Q54" i="28"/>
  <c r="S54" i="28" s="1"/>
  <c r="Q56" i="28"/>
  <c r="S56" i="28" s="1"/>
  <c r="Q58" i="28"/>
  <c r="S58" i="28" s="1"/>
  <c r="Q60" i="28"/>
  <c r="S60" i="28" s="1"/>
  <c r="Q62" i="28"/>
  <c r="S62" i="28" s="1"/>
  <c r="Q64" i="28"/>
  <c r="S64" i="28" s="1"/>
  <c r="D4" i="28"/>
  <c r="B10" i="28"/>
  <c r="B11" i="28"/>
  <c r="D11" i="28" s="1"/>
  <c r="B12" i="28"/>
  <c r="D12" i="28" s="1"/>
  <c r="B13" i="28"/>
  <c r="D13" i="28" s="1"/>
  <c r="B14" i="28"/>
  <c r="D14" i="28" s="1"/>
  <c r="B15" i="28"/>
  <c r="D15" i="28" s="1"/>
  <c r="Q2" i="16"/>
  <c r="S2" i="16" s="1"/>
  <c r="Q1" i="16"/>
  <c r="S1" i="16" s="1"/>
  <c r="T5" i="16"/>
  <c r="S4" i="16"/>
  <c r="S3" i="16"/>
  <c r="G3" i="48" l="1"/>
  <c r="G3" i="47"/>
  <c r="G3" i="46"/>
  <c r="G3" i="45"/>
  <c r="G3" i="44"/>
  <c r="G3" i="43"/>
  <c r="G3" i="42"/>
  <c r="G3" i="41"/>
  <c r="G3" i="40"/>
  <c r="G3" i="39"/>
  <c r="G3" i="38"/>
  <c r="I10" i="36"/>
  <c r="D3" i="36"/>
  <c r="F3" i="36"/>
  <c r="F6" i="36"/>
  <c r="N5" i="36"/>
  <c r="E6" i="36"/>
  <c r="M5" i="36"/>
  <c r="N10" i="36"/>
  <c r="E3" i="36"/>
  <c r="G4" i="36"/>
  <c r="E6" i="35"/>
  <c r="M5" i="35"/>
  <c r="M4" i="35"/>
  <c r="N10" i="35"/>
  <c r="E3" i="35"/>
  <c r="S10" i="35"/>
  <c r="F3" i="35"/>
  <c r="G4" i="35"/>
  <c r="G4" i="33"/>
  <c r="M4" i="33"/>
  <c r="D3" i="33"/>
  <c r="I10" i="33"/>
  <c r="S10" i="33"/>
  <c r="F3" i="33"/>
  <c r="F6" i="33"/>
  <c r="N5" i="33"/>
  <c r="N10" i="33"/>
  <c r="E3" i="33"/>
  <c r="E6" i="33"/>
  <c r="M5" i="33"/>
  <c r="N10" i="31"/>
  <c r="E3" i="31"/>
  <c r="S31" i="31"/>
  <c r="F3" i="31"/>
  <c r="E6" i="31"/>
  <c r="M5" i="31"/>
  <c r="M4" i="31"/>
  <c r="G4" i="29"/>
  <c r="M4" i="29"/>
  <c r="D3" i="29"/>
  <c r="I10" i="29"/>
  <c r="S10" i="29"/>
  <c r="F3" i="29"/>
  <c r="F6" i="29"/>
  <c r="N5" i="29"/>
  <c r="N10" i="29"/>
  <c r="E3" i="29"/>
  <c r="E6" i="29"/>
  <c r="M5" i="29"/>
  <c r="N10" i="28"/>
  <c r="E3" i="28"/>
  <c r="C3" i="28"/>
  <c r="D10" i="28"/>
  <c r="N4" i="28"/>
  <c r="D6" i="28"/>
  <c r="N5" i="28"/>
  <c r="D3" i="28"/>
  <c r="I16" i="28"/>
  <c r="S10" i="28"/>
  <c r="F3" i="28"/>
  <c r="G4" i="28"/>
  <c r="L63" i="16"/>
  <c r="N63" i="16" s="1"/>
  <c r="L61" i="16"/>
  <c r="N61" i="16" s="1"/>
  <c r="L59" i="16"/>
  <c r="N59" i="16" s="1"/>
  <c r="L57" i="16"/>
  <c r="N57" i="16" s="1"/>
  <c r="L55" i="16"/>
  <c r="N55" i="16" s="1"/>
  <c r="B54" i="16"/>
  <c r="D54" i="16" s="1"/>
  <c r="B53" i="16"/>
  <c r="D53" i="16" s="1"/>
  <c r="B52" i="16"/>
  <c r="D52" i="16" s="1"/>
  <c r="B51" i="16"/>
  <c r="D51" i="16" s="1"/>
  <c r="B50" i="16"/>
  <c r="D50" i="16" s="1"/>
  <c r="B49" i="16"/>
  <c r="D49" i="16" s="1"/>
  <c r="B48" i="16"/>
  <c r="D48" i="16" s="1"/>
  <c r="B47" i="16"/>
  <c r="D47" i="16" s="1"/>
  <c r="B46" i="16"/>
  <c r="D46" i="16" s="1"/>
  <c r="B45" i="16"/>
  <c r="D45" i="16" s="1"/>
  <c r="B44" i="16"/>
  <c r="D44" i="16" s="1"/>
  <c r="B43" i="16"/>
  <c r="D43" i="16" s="1"/>
  <c r="B42" i="16"/>
  <c r="D42" i="16" s="1"/>
  <c r="B41" i="16"/>
  <c r="D41" i="16" s="1"/>
  <c r="B40" i="16"/>
  <c r="D40" i="16" s="1"/>
  <c r="B39" i="16"/>
  <c r="D39" i="16" s="1"/>
  <c r="B38" i="16"/>
  <c r="D38" i="16" s="1"/>
  <c r="B37" i="16"/>
  <c r="D37" i="16" s="1"/>
  <c r="B36" i="16"/>
  <c r="D36" i="16" s="1"/>
  <c r="B35" i="16"/>
  <c r="D35" i="16" s="1"/>
  <c r="B34" i="16"/>
  <c r="D34" i="16" s="1"/>
  <c r="B33" i="16"/>
  <c r="D33" i="16" s="1"/>
  <c r="B32" i="16"/>
  <c r="D32" i="16" s="1"/>
  <c r="B31" i="16"/>
  <c r="D31" i="16" s="1"/>
  <c r="B30" i="16"/>
  <c r="C3" i="16" s="1"/>
  <c r="D29" i="16"/>
  <c r="B29" i="16"/>
  <c r="Q28" i="16"/>
  <c r="S28" i="16" s="1"/>
  <c r="D28" i="16"/>
  <c r="B28" i="16"/>
  <c r="Q27" i="16"/>
  <c r="S27" i="16" s="1"/>
  <c r="D27" i="16"/>
  <c r="B27" i="16"/>
  <c r="Q26" i="16"/>
  <c r="S26" i="16" s="1"/>
  <c r="D26" i="16"/>
  <c r="B26" i="16"/>
  <c r="Q25" i="16"/>
  <c r="S25" i="16" s="1"/>
  <c r="D25" i="16"/>
  <c r="B25" i="16"/>
  <c r="Q24" i="16"/>
  <c r="S24" i="16" s="1"/>
  <c r="D24" i="16"/>
  <c r="B24" i="16"/>
  <c r="Q23" i="16"/>
  <c r="S23" i="16" s="1"/>
  <c r="D23" i="16"/>
  <c r="B23" i="16"/>
  <c r="Q22" i="16"/>
  <c r="S22" i="16" s="1"/>
  <c r="D22" i="16"/>
  <c r="B22" i="16"/>
  <c r="Q21" i="16"/>
  <c r="S21" i="16" s="1"/>
  <c r="D21" i="16"/>
  <c r="B21" i="16"/>
  <c r="Q20" i="16"/>
  <c r="S20" i="16" s="1"/>
  <c r="D20" i="16"/>
  <c r="B20" i="16"/>
  <c r="Q19" i="16"/>
  <c r="S19" i="16" s="1"/>
  <c r="G19" i="16"/>
  <c r="I19" i="16" s="1"/>
  <c r="D19" i="16"/>
  <c r="B19" i="16"/>
  <c r="L18" i="16"/>
  <c r="N18" i="16" s="1"/>
  <c r="G18" i="16"/>
  <c r="I18" i="16" s="1"/>
  <c r="D18" i="16"/>
  <c r="B18" i="16"/>
  <c r="L17" i="16"/>
  <c r="N17" i="16" s="1"/>
  <c r="G17" i="16"/>
  <c r="I17" i="16" s="1"/>
  <c r="D17" i="16"/>
  <c r="B17" i="16"/>
  <c r="L16" i="16"/>
  <c r="N16" i="16" s="1"/>
  <c r="G16" i="16"/>
  <c r="I16" i="16" s="1"/>
  <c r="D16" i="16"/>
  <c r="B16" i="16"/>
  <c r="L15" i="16"/>
  <c r="N15" i="16" s="1"/>
  <c r="G15" i="16"/>
  <c r="I15" i="16" s="1"/>
  <c r="D15" i="16"/>
  <c r="B15" i="16"/>
  <c r="L14" i="16"/>
  <c r="N14" i="16" s="1"/>
  <c r="G14" i="16"/>
  <c r="I14" i="16" s="1"/>
  <c r="D14" i="16"/>
  <c r="B14" i="16"/>
  <c r="L13" i="16"/>
  <c r="N13" i="16" s="1"/>
  <c r="G13" i="16"/>
  <c r="I13" i="16" s="1"/>
  <c r="D13" i="16"/>
  <c r="B13" i="16"/>
  <c r="L12" i="16"/>
  <c r="N12" i="16" s="1"/>
  <c r="G12" i="16"/>
  <c r="I12" i="16" s="1"/>
  <c r="D12" i="16"/>
  <c r="B12" i="16"/>
  <c r="L11" i="16"/>
  <c r="N11" i="16" s="1"/>
  <c r="G11" i="16"/>
  <c r="I11" i="16" s="1"/>
  <c r="D11" i="16"/>
  <c r="B11" i="16"/>
  <c r="L10" i="16"/>
  <c r="N10" i="16" s="1"/>
  <c r="G10" i="16"/>
  <c r="D10" i="16"/>
  <c r="B10" i="16"/>
  <c r="T6" i="16"/>
  <c r="G5" i="16"/>
  <c r="F4" i="16"/>
  <c r="E4" i="16"/>
  <c r="D4" i="16"/>
  <c r="C4" i="16"/>
  <c r="J3" i="16"/>
  <c r="Q64" i="16" s="1"/>
  <c r="S64" i="16" s="1"/>
  <c r="F2" i="16"/>
  <c r="E2" i="16"/>
  <c r="D2" i="16"/>
  <c r="C2" i="16"/>
  <c r="G3" i="36" l="1"/>
  <c r="G3" i="35"/>
  <c r="G3" i="33"/>
  <c r="G3" i="31"/>
  <c r="G3" i="29"/>
  <c r="G3" i="28"/>
  <c r="N4" i="16"/>
  <c r="M4" i="16"/>
  <c r="N5" i="16"/>
  <c r="G2" i="16"/>
  <c r="H3" i="16" s="1"/>
  <c r="M5" i="16"/>
  <c r="G4" i="16"/>
  <c r="C6" i="16"/>
  <c r="I10" i="16"/>
  <c r="G20" i="16"/>
  <c r="I20" i="16" s="1"/>
  <c r="G21" i="16"/>
  <c r="I21" i="16" s="1"/>
  <c r="G22" i="16"/>
  <c r="I22" i="16" s="1"/>
  <c r="G23" i="16"/>
  <c r="I23" i="16" s="1"/>
  <c r="G24" i="16"/>
  <c r="I24" i="16" s="1"/>
  <c r="G25" i="16"/>
  <c r="I25" i="16" s="1"/>
  <c r="G26" i="16"/>
  <c r="I26" i="16" s="1"/>
  <c r="G27" i="16"/>
  <c r="I27" i="16" s="1"/>
  <c r="G28" i="16"/>
  <c r="I28" i="16" s="1"/>
  <c r="D30" i="16"/>
  <c r="D6" i="16"/>
  <c r="G29" i="16"/>
  <c r="I29" i="16" s="1"/>
  <c r="G30" i="16"/>
  <c r="I30" i="16" s="1"/>
  <c r="G31" i="16"/>
  <c r="I31" i="16" s="1"/>
  <c r="G32" i="16"/>
  <c r="I32" i="16" s="1"/>
  <c r="G33" i="16"/>
  <c r="I33" i="16" s="1"/>
  <c r="G34" i="16"/>
  <c r="I34" i="16" s="1"/>
  <c r="G35" i="16"/>
  <c r="I35" i="16" s="1"/>
  <c r="G36" i="16"/>
  <c r="I36" i="16" s="1"/>
  <c r="G37" i="16"/>
  <c r="I37" i="16" s="1"/>
  <c r="G38" i="16"/>
  <c r="I38" i="16" s="1"/>
  <c r="G39" i="16"/>
  <c r="I39" i="16" s="1"/>
  <c r="G40" i="16"/>
  <c r="I40" i="16" s="1"/>
  <c r="G41" i="16"/>
  <c r="I41" i="16" s="1"/>
  <c r="G42" i="16"/>
  <c r="I42" i="16" s="1"/>
  <c r="G43" i="16"/>
  <c r="I43" i="16" s="1"/>
  <c r="G44" i="16"/>
  <c r="I44" i="16" s="1"/>
  <c r="G45" i="16"/>
  <c r="I45" i="16" s="1"/>
  <c r="G46" i="16"/>
  <c r="I46" i="16" s="1"/>
  <c r="G47" i="16"/>
  <c r="I47" i="16" s="1"/>
  <c r="G48" i="16"/>
  <c r="I48" i="16" s="1"/>
  <c r="G49" i="16"/>
  <c r="I49" i="16" s="1"/>
  <c r="G50" i="16"/>
  <c r="I50" i="16" s="1"/>
  <c r="G51" i="16"/>
  <c r="I51" i="16" s="1"/>
  <c r="G52" i="16"/>
  <c r="I52" i="16" s="1"/>
  <c r="G53" i="16"/>
  <c r="I53" i="16" s="1"/>
  <c r="G54" i="16"/>
  <c r="I54" i="16" s="1"/>
  <c r="Q55" i="16"/>
  <c r="S55" i="16" s="1"/>
  <c r="Q57" i="16"/>
  <c r="S57" i="16" s="1"/>
  <c r="Q59" i="16"/>
  <c r="S59" i="16" s="1"/>
  <c r="Q61" i="16"/>
  <c r="S61" i="16" s="1"/>
  <c r="Q63" i="16"/>
  <c r="S63" i="16" s="1"/>
  <c r="E6" i="16"/>
  <c r="L19" i="16"/>
  <c r="L20" i="16"/>
  <c r="N20" i="16" s="1"/>
  <c r="L21" i="16"/>
  <c r="N21" i="16" s="1"/>
  <c r="L22" i="16"/>
  <c r="N22" i="16" s="1"/>
  <c r="L23" i="16"/>
  <c r="N23" i="16" s="1"/>
  <c r="L24" i="16"/>
  <c r="N24" i="16" s="1"/>
  <c r="L25" i="16"/>
  <c r="N25" i="16" s="1"/>
  <c r="L26" i="16"/>
  <c r="N26" i="16" s="1"/>
  <c r="L27" i="16"/>
  <c r="N27" i="16" s="1"/>
  <c r="L28" i="16"/>
  <c r="N28" i="16" s="1"/>
  <c r="F6" i="16"/>
  <c r="Q10" i="16"/>
  <c r="Q11" i="16"/>
  <c r="S11" i="16" s="1"/>
  <c r="Q12" i="16"/>
  <c r="S12" i="16" s="1"/>
  <c r="Q13" i="16"/>
  <c r="S13" i="16" s="1"/>
  <c r="Q14" i="16"/>
  <c r="S14" i="16" s="1"/>
  <c r="Q15" i="16"/>
  <c r="S15" i="16" s="1"/>
  <c r="Q16" i="16"/>
  <c r="S16" i="16" s="1"/>
  <c r="Q17" i="16"/>
  <c r="S17" i="16" s="1"/>
  <c r="Q18" i="16"/>
  <c r="S18" i="16" s="1"/>
  <c r="L29" i="16"/>
  <c r="N29" i="16" s="1"/>
  <c r="L30" i="16"/>
  <c r="N30" i="16" s="1"/>
  <c r="L31" i="16"/>
  <c r="N31" i="16" s="1"/>
  <c r="L32" i="16"/>
  <c r="N32" i="16" s="1"/>
  <c r="L33" i="16"/>
  <c r="N33" i="16" s="1"/>
  <c r="L34" i="16"/>
  <c r="N34" i="16" s="1"/>
  <c r="L35" i="16"/>
  <c r="N35" i="16" s="1"/>
  <c r="L36" i="16"/>
  <c r="N36" i="16" s="1"/>
  <c r="L37" i="16"/>
  <c r="N37" i="16" s="1"/>
  <c r="L38" i="16"/>
  <c r="N38" i="16" s="1"/>
  <c r="L39" i="16"/>
  <c r="N39" i="16" s="1"/>
  <c r="L40" i="16"/>
  <c r="N40" i="16" s="1"/>
  <c r="L41" i="16"/>
  <c r="N41" i="16" s="1"/>
  <c r="L42" i="16"/>
  <c r="N42" i="16" s="1"/>
  <c r="L43" i="16"/>
  <c r="N43" i="16" s="1"/>
  <c r="L44" i="16"/>
  <c r="N44" i="16" s="1"/>
  <c r="L45" i="16"/>
  <c r="N45" i="16" s="1"/>
  <c r="L46" i="16"/>
  <c r="N46" i="16" s="1"/>
  <c r="L47" i="16"/>
  <c r="N47" i="16" s="1"/>
  <c r="L48" i="16"/>
  <c r="N48" i="16" s="1"/>
  <c r="L49" i="16"/>
  <c r="N49" i="16" s="1"/>
  <c r="L50" i="16"/>
  <c r="N50" i="16" s="1"/>
  <c r="L51" i="16"/>
  <c r="N51" i="16" s="1"/>
  <c r="L52" i="16"/>
  <c r="N52" i="16" s="1"/>
  <c r="L53" i="16"/>
  <c r="N53" i="16" s="1"/>
  <c r="L54" i="16"/>
  <c r="N54" i="16" s="1"/>
  <c r="L56" i="16"/>
  <c r="N56" i="16" s="1"/>
  <c r="L58" i="16"/>
  <c r="N58" i="16" s="1"/>
  <c r="L60" i="16"/>
  <c r="N60" i="16" s="1"/>
  <c r="L62" i="16"/>
  <c r="N62" i="16" s="1"/>
  <c r="L64" i="16"/>
  <c r="N64" i="16" s="1"/>
  <c r="Q29" i="16"/>
  <c r="S29" i="16" s="1"/>
  <c r="Q30" i="16"/>
  <c r="S30" i="16" s="1"/>
  <c r="Q31" i="16"/>
  <c r="S31" i="16" s="1"/>
  <c r="Q32" i="16"/>
  <c r="S32" i="16" s="1"/>
  <c r="Q33" i="16"/>
  <c r="S33" i="16" s="1"/>
  <c r="Q34" i="16"/>
  <c r="S34" i="16" s="1"/>
  <c r="Q35" i="16"/>
  <c r="S35" i="16" s="1"/>
  <c r="Q36" i="16"/>
  <c r="S36" i="16" s="1"/>
  <c r="Q37" i="16"/>
  <c r="S37" i="16" s="1"/>
  <c r="Q38" i="16"/>
  <c r="S38" i="16" s="1"/>
  <c r="Q39" i="16"/>
  <c r="S39" i="16" s="1"/>
  <c r="Q40" i="16"/>
  <c r="S40" i="16" s="1"/>
  <c r="Q41" i="16"/>
  <c r="S41" i="16" s="1"/>
  <c r="Q42" i="16"/>
  <c r="S42" i="16" s="1"/>
  <c r="Q43" i="16"/>
  <c r="S43" i="16" s="1"/>
  <c r="Q44" i="16"/>
  <c r="S44" i="16" s="1"/>
  <c r="Q45" i="16"/>
  <c r="S45" i="16" s="1"/>
  <c r="Q46" i="16"/>
  <c r="S46" i="16" s="1"/>
  <c r="Q47" i="16"/>
  <c r="S47" i="16" s="1"/>
  <c r="Q48" i="16"/>
  <c r="S48" i="16" s="1"/>
  <c r="Q49" i="16"/>
  <c r="S49" i="16" s="1"/>
  <c r="Q50" i="16"/>
  <c r="S50" i="16" s="1"/>
  <c r="Q51" i="16"/>
  <c r="S51" i="16" s="1"/>
  <c r="Q52" i="16"/>
  <c r="S52" i="16" s="1"/>
  <c r="Q53" i="16"/>
  <c r="S53" i="16" s="1"/>
  <c r="Q54" i="16"/>
  <c r="S54" i="16" s="1"/>
  <c r="Q56" i="16"/>
  <c r="S56" i="16" s="1"/>
  <c r="Q58" i="16"/>
  <c r="S58" i="16" s="1"/>
  <c r="Q60" i="16"/>
  <c r="S60" i="16" s="1"/>
  <c r="Q62" i="16"/>
  <c r="S62" i="16" s="1"/>
  <c r="D3" i="16" l="1"/>
  <c r="N19" i="16"/>
  <c r="E3" i="16"/>
  <c r="S10" i="16"/>
  <c r="F3" i="16"/>
  <c r="G3" i="16" l="1"/>
</calcChain>
</file>

<file path=xl/sharedStrings.xml><?xml version="1.0" encoding="utf-8"?>
<sst xmlns="http://schemas.openxmlformats.org/spreadsheetml/2006/main" count="1367" uniqueCount="25">
  <si>
    <t>IA</t>
  </si>
  <si>
    <t>IB</t>
  </si>
  <si>
    <t>IIA</t>
  </si>
  <si>
    <t>IIB</t>
  </si>
  <si>
    <t>Total</t>
  </si>
  <si>
    <t>Mode A</t>
  </si>
  <si>
    <t>Mode B</t>
  </si>
  <si>
    <t>Value</t>
  </si>
  <si>
    <t>Rock I</t>
  </si>
  <si>
    <t>Hours</t>
  </si>
  <si>
    <t>Default Rock</t>
  </si>
  <si>
    <t>Rock II</t>
  </si>
  <si>
    <t>Ore</t>
  </si>
  <si>
    <t>Availabilty</t>
  </si>
  <si>
    <t>Rock I Real</t>
  </si>
  <si>
    <t>Ideal Ore</t>
  </si>
  <si>
    <t>Rock II Real</t>
  </si>
  <si>
    <t>Difference</t>
  </si>
  <si>
    <t>Rock I - Mode A</t>
  </si>
  <si>
    <t>Rock I - Mode B</t>
  </si>
  <si>
    <t>Rock II - Mode A</t>
  </si>
  <si>
    <t>Rock II - Mode B</t>
  </si>
  <si>
    <t>Block</t>
  </si>
  <si>
    <t>Value/Hour</t>
  </si>
  <si>
    <t>Base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</si>
</sst>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&quot;$&quot;* #,##0.00_-;\-&quot;$&quot;* #,##0.00_-;_-&quot;$&quot;* &quot;-&quot;??_-;_-@_-"/>
    <numFmt numFmtId="165" formatCode="_-* #,##0.00_-;\-* #,##0.00_-;_-* &quot;-&quot;??_-;_-@_-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2" tint="-0.249977111117893"/>
        <bgColor indexed="64"/>
      </patternFill>
    </fill>
  </fills>
  <borders count="4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16">
    <xf numFmtId="0" fontId="0" fillId="0" borderId="0" xfId="0"/>
    <xf numFmtId="0" fontId="2" fillId="0" borderId="1" xfId="0" applyFont="1" applyBorder="1"/>
    <xf numFmtId="0" fontId="2" fillId="0" borderId="2" xfId="0" applyFont="1" applyBorder="1"/>
    <xf numFmtId="165" fontId="0" fillId="0" borderId="3" xfId="1" applyFont="1" applyBorder="1"/>
    <xf numFmtId="0" fontId="2" fillId="0" borderId="4" xfId="0" applyFont="1" applyBorder="1"/>
    <xf numFmtId="0" fontId="2" fillId="0" borderId="5" xfId="0" applyFont="1" applyBorder="1"/>
    <xf numFmtId="164" fontId="0" fillId="0" borderId="6" xfId="2" applyFont="1" applyBorder="1"/>
    <xf numFmtId="164" fontId="0" fillId="0" borderId="7" xfId="2" applyFont="1" applyBorder="1"/>
    <xf numFmtId="165" fontId="0" fillId="0" borderId="9" xfId="1" applyFont="1" applyBorder="1"/>
    <xf numFmtId="0" fontId="0" fillId="0" borderId="6" xfId="0" applyBorder="1"/>
    <xf numFmtId="0" fontId="0" fillId="0" borderId="10" xfId="0" applyBorder="1"/>
    <xf numFmtId="0" fontId="2" fillId="0" borderId="11" xfId="0" applyFont="1" applyBorder="1"/>
    <xf numFmtId="165" fontId="0" fillId="0" borderId="12" xfId="1" applyFont="1" applyBorder="1"/>
    <xf numFmtId="165" fontId="0" fillId="0" borderId="13" xfId="1" applyFont="1" applyBorder="1"/>
    <xf numFmtId="0" fontId="2" fillId="0" borderId="14" xfId="0" applyFont="1" applyBorder="1"/>
    <xf numFmtId="0" fontId="0" fillId="0" borderId="15" xfId="0" applyBorder="1"/>
    <xf numFmtId="0" fontId="0" fillId="0" borderId="16" xfId="0" applyBorder="1"/>
    <xf numFmtId="165" fontId="0" fillId="0" borderId="15" xfId="1" applyFont="1" applyFill="1" applyBorder="1"/>
    <xf numFmtId="165" fontId="0" fillId="0" borderId="17" xfId="1" applyFont="1" applyFill="1" applyBorder="1"/>
    <xf numFmtId="165" fontId="0" fillId="0" borderId="18" xfId="1" applyFont="1" applyFill="1" applyBorder="1"/>
    <xf numFmtId="164" fontId="0" fillId="0" borderId="0" xfId="2" applyFont="1" applyFill="1"/>
    <xf numFmtId="0" fontId="2" fillId="0" borderId="19" xfId="0" applyFont="1" applyBorder="1"/>
    <xf numFmtId="165" fontId="0" fillId="0" borderId="20" xfId="1" applyFont="1" applyFill="1" applyBorder="1"/>
    <xf numFmtId="164" fontId="0" fillId="0" borderId="0" xfId="0" applyNumberFormat="1"/>
    <xf numFmtId="0" fontId="2" fillId="0" borderId="21" xfId="0" applyFont="1" applyBorder="1"/>
    <xf numFmtId="165" fontId="1" fillId="0" borderId="22" xfId="1" applyFont="1" applyFill="1" applyBorder="1"/>
    <xf numFmtId="165" fontId="1" fillId="0" borderId="21" xfId="1" applyFont="1" applyFill="1" applyBorder="1"/>
    <xf numFmtId="165" fontId="0" fillId="0" borderId="22" xfId="1" applyFont="1" applyFill="1" applyBorder="1"/>
    <xf numFmtId="165" fontId="0" fillId="0" borderId="0" xfId="0" quotePrefix="1" applyNumberFormat="1"/>
    <xf numFmtId="0" fontId="2" fillId="0" borderId="23" xfId="0" applyFont="1" applyBorder="1"/>
    <xf numFmtId="165" fontId="0" fillId="0" borderId="21" xfId="1" applyFont="1" applyFill="1" applyBorder="1"/>
    <xf numFmtId="0" fontId="0" fillId="0" borderId="0" xfId="0" applyAlignment="1">
      <alignment horizontal="center"/>
    </xf>
    <xf numFmtId="0" fontId="2" fillId="0" borderId="27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2" fillId="0" borderId="29" xfId="0" applyFont="1" applyBorder="1" applyAlignment="1">
      <alignment horizontal="center"/>
    </xf>
    <xf numFmtId="0" fontId="2" fillId="0" borderId="30" xfId="0" applyFont="1" applyBorder="1" applyAlignment="1">
      <alignment horizontal="center"/>
    </xf>
    <xf numFmtId="0" fontId="2" fillId="0" borderId="31" xfId="0" applyFont="1" applyBorder="1" applyAlignment="1">
      <alignment horizontal="center"/>
    </xf>
    <xf numFmtId="0" fontId="2" fillId="0" borderId="32" xfId="0" applyFont="1" applyBorder="1" applyAlignment="1">
      <alignment horizontal="center"/>
    </xf>
    <xf numFmtId="0" fontId="0" fillId="2" borderId="33" xfId="0" applyFill="1" applyBorder="1"/>
    <xf numFmtId="0" fontId="0" fillId="2" borderId="34" xfId="0" applyFill="1" applyBorder="1"/>
    <xf numFmtId="164" fontId="0" fillId="2" borderId="34" xfId="2" applyFont="1" applyFill="1" applyBorder="1"/>
    <xf numFmtId="164" fontId="0" fillId="2" borderId="35" xfId="2" applyFont="1" applyFill="1" applyBorder="1"/>
    <xf numFmtId="0" fontId="0" fillId="3" borderId="33" xfId="0" applyFill="1" applyBorder="1"/>
    <xf numFmtId="0" fontId="0" fillId="3" borderId="34" xfId="0" applyFill="1" applyBorder="1"/>
    <xf numFmtId="164" fontId="0" fillId="3" borderId="34" xfId="2" applyFont="1" applyFill="1" applyBorder="1"/>
    <xf numFmtId="164" fontId="0" fillId="3" borderId="35" xfId="2" applyFont="1" applyFill="1" applyBorder="1"/>
    <xf numFmtId="0" fontId="0" fillId="2" borderId="8" xfId="0" applyFill="1" applyBorder="1"/>
    <xf numFmtId="164" fontId="0" fillId="2" borderId="36" xfId="2" applyFont="1" applyFill="1" applyBorder="1"/>
    <xf numFmtId="0" fontId="0" fillId="3" borderId="8" xfId="0" applyFill="1" applyBorder="1"/>
    <xf numFmtId="164" fontId="0" fillId="3" borderId="36" xfId="2" applyFont="1" applyFill="1" applyBorder="1"/>
    <xf numFmtId="0" fontId="0" fillId="4" borderId="8" xfId="0" applyFill="1" applyBorder="1"/>
    <xf numFmtId="164" fontId="0" fillId="4" borderId="36" xfId="2" applyFont="1" applyFill="1" applyBorder="1"/>
    <xf numFmtId="0" fontId="0" fillId="5" borderId="8" xfId="0" applyFill="1" applyBorder="1"/>
    <xf numFmtId="164" fontId="0" fillId="5" borderId="36" xfId="2" applyFont="1" applyFill="1" applyBorder="1"/>
    <xf numFmtId="164" fontId="0" fillId="0" borderId="36" xfId="2" applyFont="1" applyFill="1" applyBorder="1"/>
    <xf numFmtId="164" fontId="0" fillId="0" borderId="9" xfId="2" applyFont="1" applyFill="1" applyBorder="1"/>
    <xf numFmtId="164" fontId="0" fillId="0" borderId="37" xfId="2" applyFont="1" applyFill="1" applyBorder="1"/>
    <xf numFmtId="164" fontId="0" fillId="0" borderId="20" xfId="2" applyFont="1" applyFill="1" applyBorder="1"/>
    <xf numFmtId="0" fontId="0" fillId="0" borderId="8" xfId="0" applyBorder="1"/>
    <xf numFmtId="0" fontId="0" fillId="0" borderId="36" xfId="0" applyBorder="1"/>
    <xf numFmtId="0" fontId="0" fillId="0" borderId="19" xfId="0" applyBorder="1"/>
    <xf numFmtId="0" fontId="0" fillId="0" borderId="37" xfId="0" applyBorder="1"/>
    <xf numFmtId="165" fontId="0" fillId="0" borderId="0" xfId="1" applyFont="1" applyFill="1" applyBorder="1"/>
    <xf numFmtId="0" fontId="2" fillId="0" borderId="38" xfId="0" applyFont="1" applyBorder="1"/>
    <xf numFmtId="164" fontId="0" fillId="0" borderId="5" xfId="0" applyNumberFormat="1" applyBorder="1"/>
    <xf numFmtId="165" fontId="0" fillId="0" borderId="11" xfId="0" applyNumberFormat="1" applyBorder="1"/>
    <xf numFmtId="0" fontId="2" fillId="0" borderId="39" xfId="0" applyFont="1" applyBorder="1"/>
    <xf numFmtId="0" fontId="2" fillId="0" borderId="40" xfId="0" applyFont="1" applyBorder="1"/>
    <xf numFmtId="0" fontId="0" fillId="0" borderId="34" xfId="0" applyBorder="1"/>
    <xf numFmtId="164" fontId="0" fillId="0" borderId="35" xfId="2" applyFont="1" applyFill="1" applyBorder="1"/>
    <xf numFmtId="0" fontId="0" fillId="4" borderId="34" xfId="0" applyFill="1" applyBorder="1"/>
    <xf numFmtId="164" fontId="0" fillId="4" borderId="35" xfId="2" applyFont="1" applyFill="1" applyBorder="1"/>
    <xf numFmtId="0" fontId="0" fillId="5" borderId="34" xfId="0" applyFill="1" applyBorder="1"/>
    <xf numFmtId="164" fontId="0" fillId="5" borderId="35" xfId="2" applyFont="1" applyFill="1" applyBorder="1"/>
    <xf numFmtId="0" fontId="0" fillId="4" borderId="33" xfId="0" applyFill="1" applyBorder="1"/>
    <xf numFmtId="164" fontId="0" fillId="4" borderId="34" xfId="2" applyFont="1" applyFill="1" applyBorder="1"/>
    <xf numFmtId="2" fontId="0" fillId="0" borderId="6" xfId="0" applyNumberFormat="1" applyBorder="1"/>
    <xf numFmtId="2" fontId="0" fillId="0" borderId="10" xfId="0" applyNumberFormat="1" applyBorder="1"/>
    <xf numFmtId="2" fontId="0" fillId="0" borderId="18" xfId="0" applyNumberFormat="1" applyBorder="1"/>
    <xf numFmtId="2" fontId="0" fillId="0" borderId="24" xfId="0" applyNumberFormat="1" applyBorder="1"/>
    <xf numFmtId="10" fontId="2" fillId="6" borderId="21" xfId="3" applyNumberFormat="1" applyFont="1" applyFill="1" applyBorder="1"/>
    <xf numFmtId="0" fontId="2" fillId="0" borderId="6" xfId="0" applyFont="1" applyBorder="1"/>
    <xf numFmtId="164" fontId="0" fillId="0" borderId="21" xfId="0" applyNumberFormat="1" applyBorder="1"/>
    <xf numFmtId="0" fontId="0" fillId="5" borderId="33" xfId="0" applyFill="1" applyBorder="1"/>
    <xf numFmtId="164" fontId="0" fillId="5" borderId="34" xfId="2" applyFont="1" applyFill="1" applyBorder="1"/>
    <xf numFmtId="164" fontId="0" fillId="7" borderId="0" xfId="0" applyNumberFormat="1" applyFill="1"/>
    <xf numFmtId="0" fontId="0" fillId="0" borderId="33" xfId="0" applyBorder="1"/>
    <xf numFmtId="164" fontId="0" fillId="0" borderId="34" xfId="2" applyFont="1" applyFill="1" applyBorder="1"/>
    <xf numFmtId="2" fontId="0" fillId="0" borderId="0" xfId="0" applyNumberFormat="1"/>
    <xf numFmtId="0" fontId="0" fillId="8" borderId="33" xfId="0" applyFill="1" applyBorder="1"/>
    <xf numFmtId="0" fontId="0" fillId="8" borderId="34" xfId="0" applyFill="1" applyBorder="1"/>
    <xf numFmtId="164" fontId="0" fillId="8" borderId="34" xfId="2" applyFont="1" applyFill="1" applyBorder="1"/>
    <xf numFmtId="164" fontId="0" fillId="8" borderId="35" xfId="2" applyFont="1" applyFill="1" applyBorder="1"/>
    <xf numFmtId="0" fontId="0" fillId="8" borderId="8" xfId="0" applyFill="1" applyBorder="1"/>
    <xf numFmtId="164" fontId="0" fillId="8" borderId="36" xfId="2" applyFont="1" applyFill="1" applyBorder="1"/>
    <xf numFmtId="0" fontId="0" fillId="9" borderId="8" xfId="0" applyFill="1" applyBorder="1"/>
    <xf numFmtId="0" fontId="0" fillId="9" borderId="34" xfId="0" applyFill="1" applyBorder="1"/>
    <xf numFmtId="164" fontId="0" fillId="9" borderId="36" xfId="2" applyFont="1" applyFill="1" applyBorder="1"/>
    <xf numFmtId="164" fontId="0" fillId="9" borderId="35" xfId="2" applyFont="1" applyFill="1" applyBorder="1"/>
    <xf numFmtId="0" fontId="0" fillId="10" borderId="8" xfId="0" applyFill="1" applyBorder="1"/>
    <xf numFmtId="0" fontId="0" fillId="10" borderId="34" xfId="0" applyFill="1" applyBorder="1"/>
    <xf numFmtId="164" fontId="0" fillId="10" borderId="36" xfId="2" applyFont="1" applyFill="1" applyBorder="1"/>
    <xf numFmtId="164" fontId="0" fillId="10" borderId="35" xfId="2" applyFont="1" applyFill="1" applyBorder="1"/>
    <xf numFmtId="0" fontId="0" fillId="11" borderId="33" xfId="0" applyFill="1" applyBorder="1"/>
    <xf numFmtId="0" fontId="0" fillId="11" borderId="34" xfId="0" applyFill="1" applyBorder="1"/>
    <xf numFmtId="164" fontId="0" fillId="11" borderId="34" xfId="2" applyFont="1" applyFill="1" applyBorder="1"/>
    <xf numFmtId="164" fontId="0" fillId="11" borderId="35" xfId="2" applyFont="1" applyFill="1" applyBorder="1"/>
    <xf numFmtId="0" fontId="0" fillId="11" borderId="8" xfId="0" applyFill="1" applyBorder="1"/>
    <xf numFmtId="164" fontId="0" fillId="11" borderId="36" xfId="2" applyFont="1" applyFill="1" applyBorder="1"/>
    <xf numFmtId="0" fontId="0" fillId="12" borderId="8" xfId="0" applyFill="1" applyBorder="1"/>
    <xf numFmtId="0" fontId="0" fillId="12" borderId="34" xfId="0" applyFill="1" applyBorder="1"/>
    <xf numFmtId="164" fontId="0" fillId="12" borderId="36" xfId="2" applyFont="1" applyFill="1" applyBorder="1"/>
    <xf numFmtId="164" fontId="0" fillId="12" borderId="35" xfId="2" applyFont="1" applyFill="1" applyBorder="1"/>
    <xf numFmtId="0" fontId="2" fillId="0" borderId="25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26" xfId="0" applyFont="1" applyBorder="1" applyAlignment="1">
      <alignment horizontal="center"/>
    </xf>
  </cellXfs>
  <cellStyles count="4">
    <cellStyle name="Millares" xfId="1" builtinId="3"/>
    <cellStyle name="Moneda" xfId="2" builtinId="4"/>
    <cellStyle name="Normal" xfId="0" builtinId="0"/>
    <cellStyle name="Porcentaje" xfId="3" builtinId="5"/>
  </cellStyles>
  <dxfs count="125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9</xdr:row>
      <xdr:rowOff>0</xdr:rowOff>
    </xdr:from>
    <xdr:to>
      <xdr:col>14</xdr:col>
      <xdr:colOff>476250</xdr:colOff>
      <xdr:row>12</xdr:row>
      <xdr:rowOff>136525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EA43320-0925-4190-911D-40AAB37A3F2A}"/>
            </a:ext>
          </a:extLst>
        </xdr:cNvPr>
        <xdr:cNvSpPr/>
      </xdr:nvSpPr>
      <xdr:spPr>
        <a:xfrm>
          <a:off x="8724900" y="1647825"/>
          <a:ext cx="1857375" cy="6826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Se hará</a:t>
          </a:r>
          <a:r>
            <a:rPr lang="en-US" sz="1100" baseline="0"/>
            <a:t> este </a:t>
          </a:r>
          <a:r>
            <a:rPr lang="en-US" sz="1100"/>
            <a:t>cambio</a:t>
          </a:r>
        </a:p>
      </xdr:txBody>
    </xdr:sp>
    <xdr:clientData/>
  </xdr:twoCellAnchor>
  <xdr:twoCellAnchor>
    <xdr:from>
      <xdr:col>5</xdr:col>
      <xdr:colOff>730250</xdr:colOff>
      <xdr:row>8</xdr:row>
      <xdr:rowOff>133350</xdr:rowOff>
    </xdr:from>
    <xdr:to>
      <xdr:col>11</xdr:col>
      <xdr:colOff>762000</xdr:colOff>
      <xdr:row>10</xdr:row>
      <xdr:rowOff>114300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BBC2A77F-6EEE-477A-846E-17F8CF54042E}"/>
            </a:ext>
          </a:extLst>
        </xdr:cNvPr>
        <xdr:cNvCxnSpPr/>
      </xdr:nvCxnSpPr>
      <xdr:spPr>
        <a:xfrm flipH="1" flipV="1">
          <a:off x="4286250" y="1600200"/>
          <a:ext cx="4352925" cy="342900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323850</xdr:colOff>
      <xdr:row>10</xdr:row>
      <xdr:rowOff>95250</xdr:rowOff>
    </xdr:from>
    <xdr:to>
      <xdr:col>15</xdr:col>
      <xdr:colOff>349250</xdr:colOff>
      <xdr:row>14</xdr:row>
      <xdr:rowOff>57150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CC9228C-EA79-4D36-8B82-746A12F64D25}"/>
            </a:ext>
          </a:extLst>
        </xdr:cNvPr>
        <xdr:cNvSpPr/>
      </xdr:nvSpPr>
      <xdr:spPr>
        <a:xfrm>
          <a:off x="8810625" y="1924050"/>
          <a:ext cx="1857375" cy="685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Se hará</a:t>
          </a:r>
          <a:r>
            <a:rPr lang="en-US" sz="1100" baseline="0"/>
            <a:t> este </a:t>
          </a:r>
          <a:r>
            <a:rPr lang="en-US" sz="1100"/>
            <a:t>cambio</a:t>
          </a:r>
        </a:p>
      </xdr:txBody>
    </xdr:sp>
    <xdr:clientData/>
  </xdr:twoCellAnchor>
  <xdr:twoCellAnchor>
    <xdr:from>
      <xdr:col>11</xdr:col>
      <xdr:colOff>114300</xdr:colOff>
      <xdr:row>8</xdr:row>
      <xdr:rowOff>101600</xdr:rowOff>
    </xdr:from>
    <xdr:to>
      <xdr:col>13</xdr:col>
      <xdr:colOff>561975</xdr:colOff>
      <xdr:row>10</xdr:row>
      <xdr:rowOff>9525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DA1FB676-4866-4F36-8294-FBE039720D37}"/>
            </a:ext>
          </a:extLst>
        </xdr:cNvPr>
        <xdr:cNvCxnSpPr/>
      </xdr:nvCxnSpPr>
      <xdr:spPr>
        <a:xfrm flipH="1" flipV="1">
          <a:off x="7991475" y="1571625"/>
          <a:ext cx="1663700" cy="263525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152400</xdr:colOff>
      <xdr:row>11</xdr:row>
      <xdr:rowOff>120650</xdr:rowOff>
    </xdr:from>
    <xdr:to>
      <xdr:col>16</xdr:col>
      <xdr:colOff>177800</xdr:colOff>
      <xdr:row>15</xdr:row>
      <xdr:rowOff>82550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8FE2280-778A-4788-9760-41FDA4397FFA}"/>
            </a:ext>
          </a:extLst>
        </xdr:cNvPr>
        <xdr:cNvSpPr/>
      </xdr:nvSpPr>
      <xdr:spPr>
        <a:xfrm>
          <a:off x="9328150" y="2159000"/>
          <a:ext cx="1854200" cy="698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Se hará</a:t>
          </a:r>
          <a:r>
            <a:rPr lang="en-US" sz="1100" baseline="0"/>
            <a:t> este </a:t>
          </a:r>
          <a:r>
            <a:rPr lang="en-US" sz="1100"/>
            <a:t>cambio</a:t>
          </a:r>
        </a:p>
      </xdr:txBody>
    </xdr:sp>
    <xdr:clientData/>
  </xdr:twoCellAnchor>
  <xdr:twoCellAnchor>
    <xdr:from>
      <xdr:col>10</xdr:col>
      <xdr:colOff>787400</xdr:colOff>
      <xdr:row>10</xdr:row>
      <xdr:rowOff>63500</xdr:rowOff>
    </xdr:from>
    <xdr:to>
      <xdr:col>13</xdr:col>
      <xdr:colOff>15875</xdr:colOff>
      <xdr:row>13</xdr:row>
      <xdr:rowOff>98425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6A3DA008-6DEA-48F7-85D7-2A206E5DB32D}"/>
            </a:ext>
          </a:extLst>
        </xdr:cNvPr>
        <xdr:cNvCxnSpPr/>
      </xdr:nvCxnSpPr>
      <xdr:spPr>
        <a:xfrm flipH="1" flipV="1">
          <a:off x="7899400" y="1917700"/>
          <a:ext cx="1292225" cy="587375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711200</xdr:colOff>
      <xdr:row>13</xdr:row>
      <xdr:rowOff>38100</xdr:rowOff>
    </xdr:from>
    <xdr:to>
      <xdr:col>14</xdr:col>
      <xdr:colOff>501650</xdr:colOff>
      <xdr:row>17</xdr:row>
      <xdr:rowOff>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3F0EE9BB-17AD-4554-957E-3B62AC0B8459}"/>
            </a:ext>
          </a:extLst>
        </xdr:cNvPr>
        <xdr:cNvSpPr/>
      </xdr:nvSpPr>
      <xdr:spPr>
        <a:xfrm>
          <a:off x="8667750" y="2444750"/>
          <a:ext cx="1854200" cy="698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Se hará</a:t>
          </a:r>
          <a:r>
            <a:rPr lang="en-US" sz="1100" baseline="0"/>
            <a:t> este </a:t>
          </a:r>
          <a:r>
            <a:rPr lang="en-US" sz="1100"/>
            <a:t>cambio</a:t>
          </a:r>
        </a:p>
      </xdr:txBody>
    </xdr:sp>
    <xdr:clientData/>
  </xdr:twoCellAnchor>
  <xdr:twoCellAnchor>
    <xdr:from>
      <xdr:col>6</xdr:col>
      <xdr:colOff>12700</xdr:colOff>
      <xdr:row>15</xdr:row>
      <xdr:rowOff>19050</xdr:rowOff>
    </xdr:from>
    <xdr:to>
      <xdr:col>11</xdr:col>
      <xdr:colOff>488950</xdr:colOff>
      <xdr:row>15</xdr:row>
      <xdr:rowOff>82550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1B120B9B-5065-4874-8E83-A71D70D8060A}"/>
            </a:ext>
          </a:extLst>
        </xdr:cNvPr>
        <xdr:cNvCxnSpPr/>
      </xdr:nvCxnSpPr>
      <xdr:spPr>
        <a:xfrm flipH="1">
          <a:off x="4413250" y="2794000"/>
          <a:ext cx="4032250" cy="63500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0B7486-F85F-45AA-AC6D-2CDABC80C3BC}">
  <sheetPr codeName="Sheet19"/>
  <dimension ref="A1:T348"/>
  <sheetViews>
    <sheetView zoomScale="90" zoomScaleNormal="90" workbookViewId="0">
      <pane ySplit="9" topLeftCell="A10" activePane="bottomLeft" state="frozen"/>
      <selection pane="bottomLeft" activeCell="B18" sqref="B18"/>
    </sheetView>
  </sheetViews>
  <sheetFormatPr baseColWidth="10" defaultColWidth="9.140625" defaultRowHeight="15" x14ac:dyDescent="0.25"/>
  <cols>
    <col min="2" max="2" width="11.85546875" bestFit="1" customWidth="1"/>
    <col min="3" max="3" width="17.140625" bestFit="1" customWidth="1"/>
    <col min="4" max="4" width="14.5703125" customWidth="1"/>
    <col min="5" max="7" width="14.5703125" bestFit="1" customWidth="1"/>
    <col min="8" max="8" width="18.7109375" bestFit="1" customWidth="1"/>
    <col min="9" max="9" width="16.28515625" bestFit="1" customWidth="1"/>
    <col min="10" max="10" width="14" bestFit="1" customWidth="1"/>
    <col min="12" max="12" width="11.85546875" bestFit="1" customWidth="1"/>
    <col min="13" max="13" width="17.140625" bestFit="1" customWidth="1"/>
    <col min="14" max="14" width="14.42578125" bestFit="1" customWidth="1"/>
    <col min="15" max="15" width="8.7109375" customWidth="1"/>
    <col min="17" max="17" width="14.85546875" bestFit="1" customWidth="1"/>
    <col min="18" max="18" width="17.140625" bestFit="1" customWidth="1"/>
    <col min="19" max="19" width="14.85546875" bestFit="1" customWidth="1"/>
    <col min="20" max="20" width="12.42578125" bestFit="1" customWidth="1"/>
    <col min="22" max="23" width="14.5703125" bestFit="1" customWidth="1"/>
    <col min="24" max="24" width="15.85546875" bestFit="1" customWidth="1"/>
    <col min="26" max="26" width="15.85546875" bestFit="1" customWidth="1"/>
  </cols>
  <sheetData>
    <row r="1" spans="1:20" ht="15.75" thickBot="1" x14ac:dyDescent="0.3">
      <c r="C1" s="1" t="s">
        <v>0</v>
      </c>
      <c r="D1" s="2" t="s">
        <v>1</v>
      </c>
      <c r="E1" s="1" t="s">
        <v>2</v>
      </c>
      <c r="F1" s="2" t="s">
        <v>3</v>
      </c>
      <c r="G1" s="63" t="s">
        <v>4</v>
      </c>
      <c r="H1" s="81" t="s">
        <v>24</v>
      </c>
      <c r="I1" s="66" t="s">
        <v>5</v>
      </c>
      <c r="J1" s="3">
        <v>368</v>
      </c>
      <c r="M1" s="1" t="s">
        <v>5</v>
      </c>
      <c r="N1" s="4" t="s">
        <v>6</v>
      </c>
      <c r="P1" t="s">
        <v>0</v>
      </c>
      <c r="Q1">
        <f>SUM(E10:E54)</f>
        <v>0</v>
      </c>
      <c r="R1" t="s">
        <v>2</v>
      </c>
      <c r="S1">
        <f>(M3/M2)*Q1</f>
        <v>0</v>
      </c>
    </row>
    <row r="2" spans="1:20" ht="15.75" thickBot="1" x14ac:dyDescent="0.3">
      <c r="B2" s="5" t="s">
        <v>7</v>
      </c>
      <c r="C2" s="6">
        <f>SUMPRODUCT(C10:C118,E10:E118)</f>
        <v>0</v>
      </c>
      <c r="D2" s="7">
        <f>SUMPRODUCT(H10:H118,J10:J118)</f>
        <v>0</v>
      </c>
      <c r="E2" s="6">
        <f>SUMPRODUCT(M10:M348,O10:O348)</f>
        <v>0</v>
      </c>
      <c r="F2" s="7">
        <f>SUMPRODUCT(R10:R348,T10:T348)</f>
        <v>0</v>
      </c>
      <c r="G2" s="64">
        <f>C2+D2+E2+F2</f>
        <v>0</v>
      </c>
      <c r="H2" s="82">
        <v>24786935</v>
      </c>
      <c r="I2" s="67" t="s">
        <v>6</v>
      </c>
      <c r="J2" s="8">
        <v>334</v>
      </c>
      <c r="L2" s="5" t="s">
        <v>8</v>
      </c>
      <c r="M2" s="9">
        <v>0.6</v>
      </c>
      <c r="N2" s="10">
        <v>0.25</v>
      </c>
      <c r="P2" t="s">
        <v>3</v>
      </c>
      <c r="Q2">
        <f>SUM(T10:T64)</f>
        <v>0</v>
      </c>
      <c r="R2" t="s">
        <v>1</v>
      </c>
      <c r="S2">
        <f>(N2/N3)*Q2</f>
        <v>0</v>
      </c>
    </row>
    <row r="3" spans="1:20" ht="15.75" thickBot="1" x14ac:dyDescent="0.3">
      <c r="B3" s="11" t="s">
        <v>9</v>
      </c>
      <c r="C3" s="12">
        <f>SUMPRODUCT(B10:B118,E10:E118)</f>
        <v>0</v>
      </c>
      <c r="D3" s="13">
        <f>SUMPRODUCT(G10:G118,J10:J118)</f>
        <v>0</v>
      </c>
      <c r="E3" s="12">
        <f>SUMPRODUCT(L10:L348,O10:O348)</f>
        <v>0</v>
      </c>
      <c r="F3" s="13">
        <f>SUMPRODUCT(Q10:Q348,T10:T348)</f>
        <v>0</v>
      </c>
      <c r="G3" s="65">
        <f>SUM(C3:F3)</f>
        <v>0</v>
      </c>
      <c r="H3" s="80" t="e">
        <f>(H2-G2)/G2</f>
        <v>#DIV/0!</v>
      </c>
      <c r="I3" s="67" t="s">
        <v>10</v>
      </c>
      <c r="J3" s="8">
        <f>11160</f>
        <v>11160</v>
      </c>
      <c r="L3" s="14" t="s">
        <v>11</v>
      </c>
      <c r="M3" s="15">
        <v>0.4</v>
      </c>
      <c r="N3" s="16">
        <v>0.75</v>
      </c>
      <c r="P3" t="s">
        <v>0</v>
      </c>
      <c r="Q3">
        <v>1</v>
      </c>
      <c r="R3" t="s">
        <v>2</v>
      </c>
      <c r="S3">
        <f>(M3/M2)*Q3</f>
        <v>0.66666666666666674</v>
      </c>
    </row>
    <row r="4" spans="1:20" ht="15.75" thickBot="1" x14ac:dyDescent="0.3">
      <c r="B4" s="14" t="s">
        <v>12</v>
      </c>
      <c r="C4" s="17">
        <f>SUM(E10:E118)*J3</f>
        <v>0</v>
      </c>
      <c r="D4" s="18">
        <f>SUM(J10:J118)*J3</f>
        <v>0</v>
      </c>
      <c r="E4" s="17">
        <f>SUM(O10:O348)*J3</f>
        <v>0</v>
      </c>
      <c r="F4" s="18">
        <f>SUM(T10:T348)*J3</f>
        <v>0</v>
      </c>
      <c r="G4" s="19">
        <f>SUM(C4:F4)</f>
        <v>0</v>
      </c>
      <c r="H4" s="20"/>
      <c r="I4" s="21" t="s">
        <v>13</v>
      </c>
      <c r="J4" s="22">
        <v>100000</v>
      </c>
      <c r="L4" s="5" t="s">
        <v>14</v>
      </c>
      <c r="M4" s="76" t="e">
        <f>C4/(C4+E4)</f>
        <v>#DIV/0!</v>
      </c>
      <c r="N4" s="77" t="e">
        <f>D4/(D4+F4)</f>
        <v>#DIV/0!</v>
      </c>
      <c r="O4" s="23"/>
      <c r="P4" t="s">
        <v>3</v>
      </c>
      <c r="Q4">
        <v>1</v>
      </c>
      <c r="R4" t="s">
        <v>1</v>
      </c>
      <c r="S4">
        <f>(N2/N3)*Q4</f>
        <v>0.33333333333333331</v>
      </c>
    </row>
    <row r="5" spans="1:20" ht="15.75" thickBot="1" x14ac:dyDescent="0.3">
      <c r="B5" s="24" t="s">
        <v>15</v>
      </c>
      <c r="C5" s="25">
        <v>217620</v>
      </c>
      <c r="D5" s="26">
        <v>74400</v>
      </c>
      <c r="E5" s="27">
        <v>145080</v>
      </c>
      <c r="F5" s="26">
        <v>223200</v>
      </c>
      <c r="G5" s="28">
        <f>SUM(C5:F5)</f>
        <v>660300</v>
      </c>
      <c r="H5" s="20"/>
      <c r="I5" s="20"/>
      <c r="L5" s="29" t="s">
        <v>16</v>
      </c>
      <c r="M5" s="78" t="e">
        <f>E4/(C4+E4)</f>
        <v>#DIV/0!</v>
      </c>
      <c r="N5" s="79" t="e">
        <f>F4/(D4+F4)</f>
        <v>#DIV/0!</v>
      </c>
      <c r="O5" s="23"/>
      <c r="P5" t="s">
        <v>0</v>
      </c>
      <c r="Q5" s="88">
        <v>27146.957706093192</v>
      </c>
      <c r="R5" t="s">
        <v>2</v>
      </c>
      <c r="S5" s="88">
        <v>29405.772043010755</v>
      </c>
      <c r="T5">
        <f>Q5*Q3+S5*S3</f>
        <v>46750.805734767026</v>
      </c>
    </row>
    <row r="6" spans="1:20" ht="15.75" thickBot="1" x14ac:dyDescent="0.3">
      <c r="B6" s="24" t="s">
        <v>17</v>
      </c>
      <c r="C6" s="27">
        <f>C5-C4</f>
        <v>217620</v>
      </c>
      <c r="D6" s="30">
        <f>D5-D4</f>
        <v>74400</v>
      </c>
      <c r="E6" s="27">
        <f>E5-E4</f>
        <v>145080</v>
      </c>
      <c r="F6" s="30">
        <f>F5-F4</f>
        <v>223200</v>
      </c>
      <c r="H6" s="20"/>
      <c r="I6" s="20"/>
      <c r="J6" s="62"/>
      <c r="N6" s="23"/>
      <c r="O6" s="23"/>
      <c r="P6" t="s">
        <v>3</v>
      </c>
      <c r="Q6" s="88">
        <v>24785.014695340502</v>
      </c>
      <c r="R6" t="s">
        <v>1</v>
      </c>
      <c r="S6" s="88">
        <v>25114.615232974909</v>
      </c>
      <c r="T6">
        <f>Q6*Q4+S6*S4</f>
        <v>33156.55310633214</v>
      </c>
    </row>
    <row r="7" spans="1:20" ht="15.75" thickBot="1" x14ac:dyDescent="0.3"/>
    <row r="8" spans="1:20" ht="15.75" thickBot="1" x14ac:dyDescent="0.3">
      <c r="A8" s="113" t="s">
        <v>18</v>
      </c>
      <c r="B8" s="114"/>
      <c r="C8" s="114"/>
      <c r="D8" s="115"/>
      <c r="E8" s="31"/>
      <c r="F8" s="113" t="s">
        <v>19</v>
      </c>
      <c r="G8" s="114"/>
      <c r="H8" s="114"/>
      <c r="I8" s="115"/>
      <c r="J8" s="31"/>
      <c r="K8" s="113" t="s">
        <v>20</v>
      </c>
      <c r="L8" s="114"/>
      <c r="M8" s="114"/>
      <c r="N8" s="115"/>
      <c r="O8" s="31"/>
      <c r="P8" s="113" t="s">
        <v>21</v>
      </c>
      <c r="Q8" s="114"/>
      <c r="R8" s="114"/>
      <c r="S8" s="115"/>
    </row>
    <row r="9" spans="1:20" ht="15.75" thickBot="1" x14ac:dyDescent="0.3">
      <c r="A9" s="32" t="s">
        <v>22</v>
      </c>
      <c r="B9" s="33" t="s">
        <v>9</v>
      </c>
      <c r="C9" s="33" t="s">
        <v>7</v>
      </c>
      <c r="D9" s="34" t="s">
        <v>23</v>
      </c>
      <c r="E9" s="31"/>
      <c r="F9" s="32" t="s">
        <v>22</v>
      </c>
      <c r="G9" s="33" t="s">
        <v>9</v>
      </c>
      <c r="H9" s="33" t="s">
        <v>7</v>
      </c>
      <c r="I9" s="34" t="s">
        <v>23</v>
      </c>
      <c r="J9" s="31"/>
      <c r="K9" s="32" t="s">
        <v>22</v>
      </c>
      <c r="L9" s="33" t="s">
        <v>9</v>
      </c>
      <c r="M9" s="33" t="s">
        <v>7</v>
      </c>
      <c r="N9" s="34" t="s">
        <v>23</v>
      </c>
      <c r="O9" s="31"/>
      <c r="P9" s="35" t="s">
        <v>22</v>
      </c>
      <c r="Q9" s="36" t="s">
        <v>9</v>
      </c>
      <c r="R9" s="36" t="s">
        <v>7</v>
      </c>
      <c r="S9" s="37" t="s">
        <v>23</v>
      </c>
    </row>
    <row r="10" spans="1:20" x14ac:dyDescent="0.25">
      <c r="A10" s="86">
        <v>15</v>
      </c>
      <c r="B10" s="68">
        <f>$J$3/$J$1</f>
        <v>30.326086956521738</v>
      </c>
      <c r="C10" s="87">
        <v>823261</v>
      </c>
      <c r="D10" s="69">
        <f>C10/B10</f>
        <v>27146.957706093192</v>
      </c>
      <c r="F10" s="86">
        <v>9</v>
      </c>
      <c r="G10" s="68">
        <f>$J$3/$J$2</f>
        <v>33.41317365269461</v>
      </c>
      <c r="H10" s="87">
        <v>839159</v>
      </c>
      <c r="I10" s="69">
        <f>H10/G10</f>
        <v>25114.615232974909</v>
      </c>
      <c r="K10" s="86">
        <v>99</v>
      </c>
      <c r="L10" s="68">
        <f>$J$3/$J$1</f>
        <v>30.326086956521738</v>
      </c>
      <c r="M10" s="87">
        <v>891762</v>
      </c>
      <c r="N10" s="69">
        <f>M10/L10</f>
        <v>29405.772043010755</v>
      </c>
      <c r="P10" s="86">
        <v>31</v>
      </c>
      <c r="Q10" s="68">
        <f>$J$3/$J$2</f>
        <v>33.41317365269461</v>
      </c>
      <c r="R10" s="87">
        <v>828146</v>
      </c>
      <c r="S10" s="69">
        <f>R10/Q10</f>
        <v>24785.014695340502</v>
      </c>
    </row>
    <row r="11" spans="1:20" x14ac:dyDescent="0.25">
      <c r="A11" s="58">
        <v>4</v>
      </c>
      <c r="B11" s="68">
        <f t="shared" ref="B11:B54" si="0">$J$3/$J$1</f>
        <v>30.326086956521738</v>
      </c>
      <c r="C11" s="54">
        <v>748702</v>
      </c>
      <c r="D11" s="69">
        <f t="shared" ref="D11:D54" si="1">C11/B11</f>
        <v>24688.381362007171</v>
      </c>
      <c r="F11" s="58">
        <v>1</v>
      </c>
      <c r="G11" s="68">
        <f t="shared" ref="G11:G54" si="2">$J$3/$J$2</f>
        <v>33.41317365269461</v>
      </c>
      <c r="H11" s="54">
        <v>816679</v>
      </c>
      <c r="I11" s="69">
        <f t="shared" ref="I11:I54" si="3">H11/G11</f>
        <v>24441.826702508963</v>
      </c>
      <c r="K11" s="58">
        <v>22</v>
      </c>
      <c r="L11" s="68">
        <f t="shared" ref="L11:L64" si="4">$J$3/$J$1</f>
        <v>30.326086956521738</v>
      </c>
      <c r="M11" s="54">
        <v>787867</v>
      </c>
      <c r="N11" s="69">
        <f t="shared" ref="N11:N64" si="5">M11/L11</f>
        <v>25979.843727598567</v>
      </c>
      <c r="P11" s="58">
        <v>95</v>
      </c>
      <c r="Q11" s="68">
        <f t="shared" ref="Q11:Q64" si="6">$J$3/$J$2</f>
        <v>33.41317365269461</v>
      </c>
      <c r="R11" s="54">
        <v>778683</v>
      </c>
      <c r="S11" s="69">
        <f t="shared" ref="S11:S64" si="7">R11/Q11</f>
        <v>23304.670430107526</v>
      </c>
    </row>
    <row r="12" spans="1:20" x14ac:dyDescent="0.25">
      <c r="A12" s="58">
        <v>75</v>
      </c>
      <c r="B12" s="68">
        <f t="shared" si="0"/>
        <v>30.326086956521738</v>
      </c>
      <c r="C12" s="54">
        <v>700923</v>
      </c>
      <c r="D12" s="69">
        <f t="shared" si="1"/>
        <v>23112.873118279571</v>
      </c>
      <c r="F12" s="58">
        <v>3</v>
      </c>
      <c r="G12" s="68">
        <f t="shared" si="2"/>
        <v>33.41317365269461</v>
      </c>
      <c r="H12" s="54">
        <v>637399</v>
      </c>
      <c r="I12" s="69">
        <f t="shared" si="3"/>
        <v>19076.278315412186</v>
      </c>
      <c r="K12" s="58">
        <v>83</v>
      </c>
      <c r="L12" s="68">
        <f t="shared" si="4"/>
        <v>30.326086956521738</v>
      </c>
      <c r="M12" s="54">
        <v>776669</v>
      </c>
      <c r="N12" s="69">
        <f t="shared" si="5"/>
        <v>25610.590681003585</v>
      </c>
      <c r="P12" s="58">
        <v>32</v>
      </c>
      <c r="Q12" s="68">
        <f t="shared" si="6"/>
        <v>33.41317365269461</v>
      </c>
      <c r="R12" s="54">
        <v>742165</v>
      </c>
      <c r="S12" s="69">
        <f t="shared" si="7"/>
        <v>22211.748207885306</v>
      </c>
    </row>
    <row r="13" spans="1:20" x14ac:dyDescent="0.25">
      <c r="A13" s="58">
        <v>61</v>
      </c>
      <c r="B13" s="68">
        <f t="shared" si="0"/>
        <v>30.326086956521738</v>
      </c>
      <c r="C13" s="54">
        <v>594344</v>
      </c>
      <c r="D13" s="69">
        <f t="shared" si="1"/>
        <v>19598.440143369175</v>
      </c>
      <c r="F13" s="58">
        <v>89</v>
      </c>
      <c r="G13" s="68">
        <f t="shared" si="2"/>
        <v>33.41317365269461</v>
      </c>
      <c r="H13" s="54">
        <v>626952</v>
      </c>
      <c r="I13" s="69">
        <f t="shared" si="3"/>
        <v>18763.617204301077</v>
      </c>
      <c r="K13" s="58">
        <v>57</v>
      </c>
      <c r="L13" s="68">
        <f t="shared" si="4"/>
        <v>30.326086956521738</v>
      </c>
      <c r="M13" s="54">
        <v>764937</v>
      </c>
      <c r="N13" s="69">
        <f t="shared" si="5"/>
        <v>25223.729032258067</v>
      </c>
      <c r="P13" s="58">
        <v>86</v>
      </c>
      <c r="Q13" s="68">
        <f t="shared" si="6"/>
        <v>33.41317365269461</v>
      </c>
      <c r="R13" s="54">
        <v>708838</v>
      </c>
      <c r="S13" s="69">
        <f t="shared" si="7"/>
        <v>21214.327240143371</v>
      </c>
    </row>
    <row r="14" spans="1:20" x14ac:dyDescent="0.25">
      <c r="A14" s="58">
        <v>2</v>
      </c>
      <c r="B14" s="68">
        <f t="shared" si="0"/>
        <v>30.326086956521738</v>
      </c>
      <c r="C14" s="54">
        <v>573963</v>
      </c>
      <c r="D14" s="69">
        <f t="shared" si="1"/>
        <v>18926.378494623656</v>
      </c>
      <c r="F14" s="58">
        <v>74</v>
      </c>
      <c r="G14" s="68">
        <f t="shared" si="2"/>
        <v>33.41317365269461</v>
      </c>
      <c r="H14" s="54">
        <v>528188</v>
      </c>
      <c r="I14" s="69">
        <f t="shared" si="3"/>
        <v>15807.7770609319</v>
      </c>
      <c r="K14" s="58">
        <v>33</v>
      </c>
      <c r="L14" s="68">
        <f t="shared" si="4"/>
        <v>30.326086956521738</v>
      </c>
      <c r="M14" s="54">
        <v>739492</v>
      </c>
      <c r="N14" s="69">
        <f t="shared" si="5"/>
        <v>24384.682437275987</v>
      </c>
      <c r="P14" s="58">
        <v>44</v>
      </c>
      <c r="Q14" s="68">
        <f t="shared" si="6"/>
        <v>33.41317365269461</v>
      </c>
      <c r="R14" s="54">
        <v>644475</v>
      </c>
      <c r="S14" s="69">
        <f t="shared" si="7"/>
        <v>19288.051075268817</v>
      </c>
    </row>
    <row r="15" spans="1:20" x14ac:dyDescent="0.25">
      <c r="A15" s="58">
        <v>66</v>
      </c>
      <c r="B15" s="68">
        <f t="shared" si="0"/>
        <v>30.326086956521738</v>
      </c>
      <c r="C15" s="54">
        <v>543888</v>
      </c>
      <c r="D15" s="69">
        <f t="shared" si="1"/>
        <v>17934.65806451613</v>
      </c>
      <c r="F15" s="58">
        <v>7</v>
      </c>
      <c r="G15" s="68">
        <f t="shared" si="2"/>
        <v>33.41317365269461</v>
      </c>
      <c r="H15" s="54">
        <v>517706</v>
      </c>
      <c r="I15" s="69">
        <f t="shared" si="3"/>
        <v>15494.068458781363</v>
      </c>
      <c r="K15" s="58">
        <v>34</v>
      </c>
      <c r="L15" s="68">
        <f t="shared" si="4"/>
        <v>30.326086956521738</v>
      </c>
      <c r="M15" s="54">
        <v>706466</v>
      </c>
      <c r="N15" s="69">
        <f t="shared" si="5"/>
        <v>23295.653046594984</v>
      </c>
      <c r="P15" s="58">
        <v>43</v>
      </c>
      <c r="Q15" s="68">
        <f t="shared" si="6"/>
        <v>33.41317365269461</v>
      </c>
      <c r="R15" s="54">
        <v>600711</v>
      </c>
      <c r="S15" s="69">
        <f t="shared" si="7"/>
        <v>17978.268279569893</v>
      </c>
    </row>
    <row r="16" spans="1:20" x14ac:dyDescent="0.25">
      <c r="A16" s="58">
        <v>9</v>
      </c>
      <c r="B16" s="68">
        <f t="shared" si="0"/>
        <v>30.326086956521738</v>
      </c>
      <c r="C16" s="54">
        <v>458407</v>
      </c>
      <c r="D16" s="69">
        <f t="shared" si="1"/>
        <v>15115.929749103943</v>
      </c>
      <c r="F16" s="58">
        <v>16</v>
      </c>
      <c r="G16" s="68">
        <f t="shared" si="2"/>
        <v>33.41317365269461</v>
      </c>
      <c r="H16" s="54">
        <v>471825</v>
      </c>
      <c r="I16" s="69">
        <f t="shared" si="3"/>
        <v>14120.927419354839</v>
      </c>
      <c r="K16" s="58">
        <v>54</v>
      </c>
      <c r="L16" s="68">
        <f t="shared" si="4"/>
        <v>30.326086956521738</v>
      </c>
      <c r="M16" s="54">
        <v>704680</v>
      </c>
      <c r="N16" s="69">
        <f t="shared" si="5"/>
        <v>23236.759856630826</v>
      </c>
      <c r="P16" s="58">
        <v>54</v>
      </c>
      <c r="Q16" s="68">
        <f t="shared" si="6"/>
        <v>33.41317365269461</v>
      </c>
      <c r="R16" s="54">
        <v>600526</v>
      </c>
      <c r="S16" s="69">
        <f t="shared" si="7"/>
        <v>17972.73154121864</v>
      </c>
    </row>
    <row r="17" spans="1:19" x14ac:dyDescent="0.25">
      <c r="A17" s="58">
        <v>6</v>
      </c>
      <c r="B17" s="68">
        <f t="shared" si="0"/>
        <v>30.326086956521738</v>
      </c>
      <c r="C17" s="54">
        <v>413342</v>
      </c>
      <c r="D17" s="69">
        <f t="shared" si="1"/>
        <v>13629.915412186379</v>
      </c>
      <c r="F17" s="58">
        <v>20</v>
      </c>
      <c r="G17" s="68">
        <f t="shared" si="2"/>
        <v>33.41317365269461</v>
      </c>
      <c r="H17" s="54">
        <v>465526</v>
      </c>
      <c r="I17" s="69">
        <f t="shared" si="3"/>
        <v>13932.408960573477</v>
      </c>
      <c r="K17" s="58">
        <v>46</v>
      </c>
      <c r="L17" s="68">
        <f t="shared" si="4"/>
        <v>30.326086956521738</v>
      </c>
      <c r="M17" s="54">
        <v>647685</v>
      </c>
      <c r="N17" s="69">
        <f t="shared" si="5"/>
        <v>21357.354838709678</v>
      </c>
      <c r="P17" s="58">
        <v>33</v>
      </c>
      <c r="Q17" s="68">
        <f t="shared" si="6"/>
        <v>33.41317365269461</v>
      </c>
      <c r="R17" s="54">
        <v>533105</v>
      </c>
      <c r="S17" s="69">
        <f t="shared" si="7"/>
        <v>15954.934587813621</v>
      </c>
    </row>
    <row r="18" spans="1:19" x14ac:dyDescent="0.25">
      <c r="A18" s="58">
        <v>90</v>
      </c>
      <c r="B18" s="68">
        <f t="shared" si="0"/>
        <v>30.326086956521738</v>
      </c>
      <c r="C18" s="54">
        <v>390167</v>
      </c>
      <c r="D18" s="69">
        <f t="shared" si="1"/>
        <v>12865.721863799283</v>
      </c>
      <c r="F18" s="58">
        <v>71</v>
      </c>
      <c r="G18" s="68">
        <f t="shared" si="2"/>
        <v>33.41317365269461</v>
      </c>
      <c r="H18" s="54">
        <v>459240</v>
      </c>
      <c r="I18" s="69">
        <f t="shared" si="3"/>
        <v>13744.279569892473</v>
      </c>
      <c r="K18" s="58">
        <v>35</v>
      </c>
      <c r="L18" s="68">
        <f t="shared" si="4"/>
        <v>30.326086956521738</v>
      </c>
      <c r="M18" s="54">
        <v>520964</v>
      </c>
      <c r="N18" s="69">
        <f t="shared" si="5"/>
        <v>17178.741218637992</v>
      </c>
      <c r="P18" s="58">
        <v>29</v>
      </c>
      <c r="Q18" s="68">
        <f t="shared" si="6"/>
        <v>33.41317365269461</v>
      </c>
      <c r="R18" s="54">
        <v>466819</v>
      </c>
      <c r="S18" s="69">
        <f t="shared" si="7"/>
        <v>13971.106272401434</v>
      </c>
    </row>
    <row r="19" spans="1:19" x14ac:dyDescent="0.25">
      <c r="A19" s="58">
        <v>10</v>
      </c>
      <c r="B19" s="68">
        <f t="shared" si="0"/>
        <v>30.326086956521738</v>
      </c>
      <c r="C19" s="54">
        <v>374487</v>
      </c>
      <c r="D19" s="69">
        <f t="shared" si="1"/>
        <v>12348.675268817206</v>
      </c>
      <c r="F19" s="58">
        <v>73</v>
      </c>
      <c r="G19" s="68">
        <f t="shared" si="2"/>
        <v>33.41317365269461</v>
      </c>
      <c r="H19" s="54">
        <v>435675</v>
      </c>
      <c r="I19" s="69">
        <f t="shared" si="3"/>
        <v>13039.018817204302</v>
      </c>
      <c r="K19" s="58">
        <v>28</v>
      </c>
      <c r="L19" s="68">
        <f t="shared" si="4"/>
        <v>30.326086956521738</v>
      </c>
      <c r="M19" s="54">
        <v>485282</v>
      </c>
      <c r="N19" s="69">
        <f t="shared" si="5"/>
        <v>16002.130465949822</v>
      </c>
      <c r="P19" s="58">
        <v>39</v>
      </c>
      <c r="Q19" s="68">
        <f t="shared" si="6"/>
        <v>33.41317365269461</v>
      </c>
      <c r="R19" s="54">
        <v>443533</v>
      </c>
      <c r="S19" s="69">
        <f t="shared" si="7"/>
        <v>13274.195519713261</v>
      </c>
    </row>
    <row r="20" spans="1:19" x14ac:dyDescent="0.25">
      <c r="A20" s="58">
        <v>72</v>
      </c>
      <c r="B20" s="68">
        <f t="shared" si="0"/>
        <v>30.326086956521738</v>
      </c>
      <c r="C20" s="54">
        <v>339217</v>
      </c>
      <c r="D20" s="69">
        <f t="shared" si="1"/>
        <v>11185.65017921147</v>
      </c>
      <c r="F20" s="58">
        <v>4</v>
      </c>
      <c r="G20" s="68">
        <f t="shared" si="2"/>
        <v>33.41317365269461</v>
      </c>
      <c r="H20" s="54">
        <v>435251</v>
      </c>
      <c r="I20" s="69">
        <f t="shared" si="3"/>
        <v>13026.329211469534</v>
      </c>
      <c r="K20" s="58">
        <v>25</v>
      </c>
      <c r="L20" s="68">
        <f t="shared" si="4"/>
        <v>30.326086956521738</v>
      </c>
      <c r="M20" s="54">
        <v>428682</v>
      </c>
      <c r="N20" s="69">
        <f t="shared" si="5"/>
        <v>14135.750537634409</v>
      </c>
      <c r="P20" s="58">
        <v>85</v>
      </c>
      <c r="Q20" s="68">
        <f t="shared" si="6"/>
        <v>33.41317365269461</v>
      </c>
      <c r="R20" s="54">
        <v>400656</v>
      </c>
      <c r="S20" s="69">
        <f t="shared" si="7"/>
        <v>11990.959139784947</v>
      </c>
    </row>
    <row r="21" spans="1:19" x14ac:dyDescent="0.25">
      <c r="A21" s="58">
        <v>63</v>
      </c>
      <c r="B21" s="68">
        <f t="shared" si="0"/>
        <v>30.326086956521738</v>
      </c>
      <c r="C21" s="54">
        <v>148379</v>
      </c>
      <c r="D21" s="69">
        <f t="shared" si="1"/>
        <v>4892.7842293906815</v>
      </c>
      <c r="F21" s="58">
        <v>58</v>
      </c>
      <c r="G21" s="68">
        <f t="shared" si="2"/>
        <v>33.41317365269461</v>
      </c>
      <c r="H21" s="54">
        <v>425212</v>
      </c>
      <c r="I21" s="69">
        <f t="shared" si="3"/>
        <v>12725.878853046595</v>
      </c>
      <c r="K21" s="58">
        <v>53</v>
      </c>
      <c r="L21" s="68">
        <f t="shared" si="4"/>
        <v>30.326086956521738</v>
      </c>
      <c r="M21" s="54">
        <v>427876</v>
      </c>
      <c r="N21" s="69">
        <f t="shared" si="5"/>
        <v>14109.17275985663</v>
      </c>
      <c r="P21" s="58">
        <v>51</v>
      </c>
      <c r="Q21" s="68">
        <f t="shared" si="6"/>
        <v>33.41317365269461</v>
      </c>
      <c r="R21" s="54">
        <v>295735</v>
      </c>
      <c r="S21" s="69">
        <f t="shared" si="7"/>
        <v>8850.8503584229402</v>
      </c>
    </row>
    <row r="22" spans="1:19" x14ac:dyDescent="0.25">
      <c r="A22" s="58">
        <v>5</v>
      </c>
      <c r="B22" s="68">
        <f t="shared" si="0"/>
        <v>30.326086956521738</v>
      </c>
      <c r="C22" s="54">
        <v>135603</v>
      </c>
      <c r="D22" s="69">
        <f t="shared" si="1"/>
        <v>4471.4967741935488</v>
      </c>
      <c r="F22" s="58">
        <v>69</v>
      </c>
      <c r="G22" s="68">
        <f t="shared" si="2"/>
        <v>33.41317365269461</v>
      </c>
      <c r="H22" s="54">
        <v>301059</v>
      </c>
      <c r="I22" s="69">
        <f t="shared" si="3"/>
        <v>9010.188709677419</v>
      </c>
      <c r="K22" s="58">
        <v>30</v>
      </c>
      <c r="L22" s="68">
        <f t="shared" si="4"/>
        <v>30.326086956521738</v>
      </c>
      <c r="M22" s="54">
        <v>412457</v>
      </c>
      <c r="N22" s="69">
        <f t="shared" si="5"/>
        <v>13600.732616487456</v>
      </c>
      <c r="P22" s="58">
        <v>84</v>
      </c>
      <c r="Q22" s="68">
        <f t="shared" si="6"/>
        <v>33.41317365269461</v>
      </c>
      <c r="R22" s="54">
        <v>277116</v>
      </c>
      <c r="S22" s="69">
        <f t="shared" si="7"/>
        <v>8293.6150537634403</v>
      </c>
    </row>
    <row r="23" spans="1:19" x14ac:dyDescent="0.25">
      <c r="A23" s="58">
        <v>89</v>
      </c>
      <c r="B23" s="68">
        <f t="shared" si="0"/>
        <v>30.326086956521738</v>
      </c>
      <c r="C23" s="54">
        <v>43767</v>
      </c>
      <c r="D23" s="69">
        <f t="shared" si="1"/>
        <v>1443.2129032258065</v>
      </c>
      <c r="F23" s="58">
        <v>91</v>
      </c>
      <c r="G23" s="68">
        <f t="shared" si="2"/>
        <v>33.41317365269461</v>
      </c>
      <c r="H23" s="54">
        <v>248437</v>
      </c>
      <c r="I23" s="69">
        <f t="shared" si="3"/>
        <v>7435.3008960573479</v>
      </c>
      <c r="K23" s="58">
        <v>45</v>
      </c>
      <c r="L23" s="68">
        <f t="shared" si="4"/>
        <v>30.326086956521738</v>
      </c>
      <c r="M23" s="54">
        <v>411553</v>
      </c>
      <c r="N23" s="69">
        <f t="shared" si="5"/>
        <v>13570.923297491039</v>
      </c>
      <c r="P23" s="58">
        <v>100</v>
      </c>
      <c r="Q23" s="68">
        <f t="shared" si="6"/>
        <v>33.41317365269461</v>
      </c>
      <c r="R23" s="54">
        <v>196154</v>
      </c>
      <c r="S23" s="69">
        <f t="shared" si="7"/>
        <v>5870.5587813620077</v>
      </c>
    </row>
    <row r="24" spans="1:19" x14ac:dyDescent="0.25">
      <c r="A24" s="58">
        <v>8</v>
      </c>
      <c r="B24" s="68">
        <f t="shared" si="0"/>
        <v>30.326086956521738</v>
      </c>
      <c r="C24" s="54">
        <v>-31569</v>
      </c>
      <c r="D24" s="69">
        <f t="shared" si="1"/>
        <v>-1040.9849462365592</v>
      </c>
      <c r="F24" s="58">
        <v>75</v>
      </c>
      <c r="G24" s="68">
        <f t="shared" si="2"/>
        <v>33.41317365269461</v>
      </c>
      <c r="H24" s="54">
        <v>241104</v>
      </c>
      <c r="I24" s="69">
        <f t="shared" si="3"/>
        <v>7215.8365591397851</v>
      </c>
      <c r="K24" s="58">
        <v>43</v>
      </c>
      <c r="L24" s="68">
        <f t="shared" si="4"/>
        <v>30.326086956521738</v>
      </c>
      <c r="M24" s="54">
        <v>287718</v>
      </c>
      <c r="N24" s="69">
        <f t="shared" si="5"/>
        <v>9487.4752688172048</v>
      </c>
      <c r="P24" s="58">
        <v>56</v>
      </c>
      <c r="Q24" s="68">
        <f t="shared" si="6"/>
        <v>33.41317365269461</v>
      </c>
      <c r="R24" s="54">
        <v>175558</v>
      </c>
      <c r="S24" s="69">
        <f t="shared" si="7"/>
        <v>5254.1551971326162</v>
      </c>
    </row>
    <row r="25" spans="1:19" x14ac:dyDescent="0.25">
      <c r="A25" s="58">
        <v>62</v>
      </c>
      <c r="B25" s="68">
        <f t="shared" si="0"/>
        <v>30.326086956521738</v>
      </c>
      <c r="C25" s="54">
        <v>-50310</v>
      </c>
      <c r="D25" s="69">
        <f t="shared" si="1"/>
        <v>-1658.9677419354839</v>
      </c>
      <c r="F25" s="58">
        <v>21</v>
      </c>
      <c r="G25" s="68">
        <f t="shared" si="2"/>
        <v>33.41317365269461</v>
      </c>
      <c r="H25" s="54">
        <v>182068</v>
      </c>
      <c r="I25" s="69">
        <f t="shared" si="3"/>
        <v>5448.9885304659501</v>
      </c>
      <c r="K25" s="58">
        <v>47</v>
      </c>
      <c r="L25" s="68">
        <f t="shared" si="4"/>
        <v>30.326086956521738</v>
      </c>
      <c r="M25" s="54">
        <v>244892</v>
      </c>
      <c r="N25" s="69">
        <f t="shared" si="5"/>
        <v>8075.2917562724015</v>
      </c>
      <c r="P25" s="58">
        <v>24</v>
      </c>
      <c r="Q25" s="68">
        <f t="shared" si="6"/>
        <v>33.41317365269461</v>
      </c>
      <c r="R25" s="54">
        <v>71007</v>
      </c>
      <c r="S25" s="69">
        <f t="shared" si="7"/>
        <v>2125.1198924731184</v>
      </c>
    </row>
    <row r="26" spans="1:19" x14ac:dyDescent="0.25">
      <c r="A26" s="58">
        <v>20</v>
      </c>
      <c r="B26" s="68">
        <f t="shared" si="0"/>
        <v>30.326086956521738</v>
      </c>
      <c r="C26" s="54">
        <v>-55320</v>
      </c>
      <c r="D26" s="69">
        <f t="shared" si="1"/>
        <v>-1824.1720430107528</v>
      </c>
      <c r="F26" s="58">
        <v>59</v>
      </c>
      <c r="G26" s="68">
        <f t="shared" si="2"/>
        <v>33.41317365269461</v>
      </c>
      <c r="H26" s="54">
        <v>167225</v>
      </c>
      <c r="I26" s="69">
        <f t="shared" si="3"/>
        <v>5004.7625448028675</v>
      </c>
      <c r="K26" s="58">
        <v>27</v>
      </c>
      <c r="L26" s="68">
        <f t="shared" si="4"/>
        <v>30.326086956521738</v>
      </c>
      <c r="M26" s="54">
        <v>217246</v>
      </c>
      <c r="N26" s="69">
        <f t="shared" si="5"/>
        <v>7163.6673835125448</v>
      </c>
      <c r="P26" s="58">
        <v>94</v>
      </c>
      <c r="Q26" s="68">
        <f t="shared" si="6"/>
        <v>33.41317365269461</v>
      </c>
      <c r="R26" s="54">
        <v>48569</v>
      </c>
      <c r="S26" s="69">
        <f t="shared" si="7"/>
        <v>1453.5883512544804</v>
      </c>
    </row>
    <row r="27" spans="1:19" x14ac:dyDescent="0.25">
      <c r="A27" s="58">
        <v>14</v>
      </c>
      <c r="B27" s="68">
        <f t="shared" si="0"/>
        <v>30.326086956521738</v>
      </c>
      <c r="C27" s="54">
        <v>-99929</v>
      </c>
      <c r="D27" s="69">
        <f t="shared" si="1"/>
        <v>-3295.1498207885306</v>
      </c>
      <c r="F27" s="58">
        <v>63</v>
      </c>
      <c r="G27" s="68">
        <f t="shared" si="2"/>
        <v>33.41317365269461</v>
      </c>
      <c r="H27" s="54">
        <v>-59023</v>
      </c>
      <c r="I27" s="69">
        <f t="shared" si="3"/>
        <v>-1766.4589605734768</v>
      </c>
      <c r="K27" s="58">
        <v>98</v>
      </c>
      <c r="L27" s="68">
        <f t="shared" si="4"/>
        <v>30.326086956521738</v>
      </c>
      <c r="M27" s="54">
        <v>186371</v>
      </c>
      <c r="N27" s="69">
        <f t="shared" si="5"/>
        <v>6145.5670250896055</v>
      </c>
      <c r="P27" s="58">
        <v>98</v>
      </c>
      <c r="Q27" s="68">
        <f t="shared" si="6"/>
        <v>33.41317365269461</v>
      </c>
      <c r="R27" s="54">
        <v>42432</v>
      </c>
      <c r="S27" s="69">
        <f t="shared" si="7"/>
        <v>1269.9182795698925</v>
      </c>
    </row>
    <row r="28" spans="1:19" x14ac:dyDescent="0.25">
      <c r="A28" s="58">
        <v>59</v>
      </c>
      <c r="B28" s="68">
        <f t="shared" si="0"/>
        <v>30.326086956521738</v>
      </c>
      <c r="C28" s="54">
        <v>-120499</v>
      </c>
      <c r="D28" s="69">
        <f t="shared" si="1"/>
        <v>-3973.4437275985665</v>
      </c>
      <c r="F28" s="58">
        <v>70</v>
      </c>
      <c r="G28" s="68">
        <f t="shared" si="2"/>
        <v>33.41317365269461</v>
      </c>
      <c r="H28" s="54">
        <v>-82956</v>
      </c>
      <c r="I28" s="69">
        <f t="shared" si="3"/>
        <v>-2482.7333333333336</v>
      </c>
      <c r="K28" s="58">
        <v>82</v>
      </c>
      <c r="L28" s="68">
        <f t="shared" si="4"/>
        <v>30.326086956521738</v>
      </c>
      <c r="M28" s="54">
        <v>157735</v>
      </c>
      <c r="N28" s="69">
        <f t="shared" si="5"/>
        <v>5201.2974910394269</v>
      </c>
      <c r="P28" s="58">
        <v>79</v>
      </c>
      <c r="Q28" s="68">
        <f t="shared" si="6"/>
        <v>33.41317365269461</v>
      </c>
      <c r="R28" s="54">
        <v>-17472</v>
      </c>
      <c r="S28" s="69">
        <f t="shared" si="7"/>
        <v>-522.9075268817204</v>
      </c>
    </row>
    <row r="29" spans="1:19" x14ac:dyDescent="0.25">
      <c r="A29" s="58">
        <v>11</v>
      </c>
      <c r="B29" s="68">
        <f t="shared" si="0"/>
        <v>30.326086956521738</v>
      </c>
      <c r="C29" s="54">
        <v>-150180</v>
      </c>
      <c r="D29" s="69">
        <f t="shared" si="1"/>
        <v>-4952.1720430107525</v>
      </c>
      <c r="F29" s="58">
        <v>64</v>
      </c>
      <c r="G29" s="68">
        <f t="shared" si="2"/>
        <v>33.41317365269461</v>
      </c>
      <c r="H29" s="54">
        <v>-163863</v>
      </c>
      <c r="I29" s="69">
        <f t="shared" si="3"/>
        <v>-4904.1435483870973</v>
      </c>
      <c r="K29" s="58">
        <v>39</v>
      </c>
      <c r="L29" s="68">
        <f t="shared" si="4"/>
        <v>30.326086956521738</v>
      </c>
      <c r="M29" s="54">
        <v>75371</v>
      </c>
      <c r="N29" s="69">
        <f t="shared" si="5"/>
        <v>2485.3519713261649</v>
      </c>
      <c r="P29" s="58">
        <v>30</v>
      </c>
      <c r="Q29" s="68">
        <f t="shared" si="6"/>
        <v>33.41317365269461</v>
      </c>
      <c r="R29" s="54">
        <v>-18899</v>
      </c>
      <c r="S29" s="69">
        <f t="shared" si="7"/>
        <v>-565.61523297491044</v>
      </c>
    </row>
    <row r="30" spans="1:19" x14ac:dyDescent="0.25">
      <c r="A30" s="58">
        <v>19</v>
      </c>
      <c r="B30" s="68">
        <f t="shared" si="0"/>
        <v>30.326086956521738</v>
      </c>
      <c r="C30" s="54">
        <v>-212225</v>
      </c>
      <c r="D30" s="69">
        <f t="shared" si="1"/>
        <v>-6998.1003584229393</v>
      </c>
      <c r="F30" s="58">
        <v>8</v>
      </c>
      <c r="G30" s="68">
        <f t="shared" si="2"/>
        <v>33.41317365269461</v>
      </c>
      <c r="H30" s="54">
        <v>-187009</v>
      </c>
      <c r="I30" s="69">
        <f t="shared" si="3"/>
        <v>-5596.8643369175625</v>
      </c>
      <c r="K30" s="58">
        <v>79</v>
      </c>
      <c r="L30" s="68">
        <f t="shared" si="4"/>
        <v>30.326086956521738</v>
      </c>
      <c r="M30" s="54">
        <v>42924</v>
      </c>
      <c r="N30" s="69">
        <f t="shared" si="5"/>
        <v>1415.4150537634409</v>
      </c>
      <c r="P30" s="58">
        <v>99</v>
      </c>
      <c r="Q30" s="68">
        <f t="shared" si="6"/>
        <v>33.41317365269461</v>
      </c>
      <c r="R30" s="54">
        <v>-53380</v>
      </c>
      <c r="S30" s="69">
        <f t="shared" si="7"/>
        <v>-1597.573476702509</v>
      </c>
    </row>
    <row r="31" spans="1:19" x14ac:dyDescent="0.25">
      <c r="A31" s="58">
        <v>7</v>
      </c>
      <c r="B31" s="68">
        <f t="shared" si="0"/>
        <v>30.326086956521738</v>
      </c>
      <c r="C31" s="54">
        <v>-425925</v>
      </c>
      <c r="D31" s="69">
        <f t="shared" si="1"/>
        <v>-14044.83870967742</v>
      </c>
      <c r="F31" s="58">
        <v>61</v>
      </c>
      <c r="G31" s="68">
        <f t="shared" si="2"/>
        <v>33.41317365269461</v>
      </c>
      <c r="H31" s="54">
        <v>-223907</v>
      </c>
      <c r="I31" s="69">
        <f t="shared" si="3"/>
        <v>-6701.159318996416</v>
      </c>
      <c r="K31" s="58">
        <v>49</v>
      </c>
      <c r="L31" s="68">
        <f t="shared" si="4"/>
        <v>30.326086956521738</v>
      </c>
      <c r="M31" s="54">
        <v>-35135</v>
      </c>
      <c r="N31" s="69">
        <f t="shared" si="5"/>
        <v>-1158.573476702509</v>
      </c>
      <c r="P31" s="58">
        <v>76</v>
      </c>
      <c r="Q31" s="68">
        <f t="shared" si="6"/>
        <v>33.41317365269461</v>
      </c>
      <c r="R31" s="54">
        <v>-134133</v>
      </c>
      <c r="S31" s="69">
        <f t="shared" si="7"/>
        <v>-4014.3747311827956</v>
      </c>
    </row>
    <row r="32" spans="1:19" x14ac:dyDescent="0.25">
      <c r="A32" s="58">
        <v>88</v>
      </c>
      <c r="B32" s="68">
        <f t="shared" si="0"/>
        <v>30.326086956521738</v>
      </c>
      <c r="C32" s="54">
        <v>-426293</v>
      </c>
      <c r="D32" s="69">
        <f t="shared" si="1"/>
        <v>-14056.973476702509</v>
      </c>
      <c r="F32" s="58">
        <v>92</v>
      </c>
      <c r="G32" s="68">
        <f t="shared" si="2"/>
        <v>33.41317365269461</v>
      </c>
      <c r="H32" s="54">
        <v>-299484</v>
      </c>
      <c r="I32" s="69">
        <f t="shared" si="3"/>
        <v>-8963.0516129032258</v>
      </c>
      <c r="K32" s="58">
        <v>86</v>
      </c>
      <c r="L32" s="68">
        <f t="shared" si="4"/>
        <v>30.326086956521738</v>
      </c>
      <c r="M32" s="54">
        <v>-36114</v>
      </c>
      <c r="N32" s="69">
        <f t="shared" si="5"/>
        <v>-1190.8559139784948</v>
      </c>
      <c r="P32" s="58">
        <v>27</v>
      </c>
      <c r="Q32" s="68">
        <f t="shared" si="6"/>
        <v>33.41317365269461</v>
      </c>
      <c r="R32" s="54">
        <v>-237585</v>
      </c>
      <c r="S32" s="69">
        <f t="shared" si="7"/>
        <v>-7110.5188172043008</v>
      </c>
    </row>
    <row r="33" spans="1:19" x14ac:dyDescent="0.25">
      <c r="A33" s="58">
        <v>1</v>
      </c>
      <c r="B33" s="68">
        <f t="shared" si="0"/>
        <v>30.326086956521738</v>
      </c>
      <c r="C33" s="54">
        <v>-436549</v>
      </c>
      <c r="D33" s="69">
        <f t="shared" si="1"/>
        <v>-14395.164157706093</v>
      </c>
      <c r="F33" s="58">
        <v>93</v>
      </c>
      <c r="G33" s="68">
        <f t="shared" si="2"/>
        <v>33.41317365269461</v>
      </c>
      <c r="H33" s="54">
        <v>-392062</v>
      </c>
      <c r="I33" s="69">
        <f t="shared" si="3"/>
        <v>-11733.755197132617</v>
      </c>
      <c r="K33" s="58">
        <v>95</v>
      </c>
      <c r="L33" s="68">
        <f t="shared" si="4"/>
        <v>30.326086956521738</v>
      </c>
      <c r="M33" s="54">
        <v>-117870</v>
      </c>
      <c r="N33" s="69">
        <f t="shared" si="5"/>
        <v>-3886.7526881720432</v>
      </c>
      <c r="P33" s="58">
        <v>49</v>
      </c>
      <c r="Q33" s="68">
        <f t="shared" si="6"/>
        <v>33.41317365269461</v>
      </c>
      <c r="R33" s="54">
        <v>-320509</v>
      </c>
      <c r="S33" s="69">
        <f t="shared" si="7"/>
        <v>-9592.2944444444438</v>
      </c>
    </row>
    <row r="34" spans="1:19" x14ac:dyDescent="0.25">
      <c r="A34" s="58">
        <v>16</v>
      </c>
      <c r="B34" s="68">
        <f t="shared" si="0"/>
        <v>30.326086956521738</v>
      </c>
      <c r="C34" s="54">
        <v>-516654</v>
      </c>
      <c r="D34" s="69">
        <f t="shared" si="1"/>
        <v>-17036.619354838709</v>
      </c>
      <c r="F34" s="58">
        <v>17</v>
      </c>
      <c r="G34" s="68">
        <f t="shared" si="2"/>
        <v>33.41317365269461</v>
      </c>
      <c r="H34" s="54">
        <v>-421127</v>
      </c>
      <c r="I34" s="69">
        <f t="shared" si="3"/>
        <v>-12603.621684587813</v>
      </c>
      <c r="K34" s="58">
        <v>42</v>
      </c>
      <c r="L34" s="68">
        <f t="shared" si="4"/>
        <v>30.326086956521738</v>
      </c>
      <c r="M34" s="54">
        <v>-137859</v>
      </c>
      <c r="N34" s="69">
        <f t="shared" si="5"/>
        <v>-4545.8881720430109</v>
      </c>
      <c r="P34" s="58">
        <v>47</v>
      </c>
      <c r="Q34" s="68">
        <f t="shared" si="6"/>
        <v>33.41317365269461</v>
      </c>
      <c r="R34" s="54">
        <v>-338573</v>
      </c>
      <c r="S34" s="69">
        <f t="shared" si="7"/>
        <v>-10132.919534050179</v>
      </c>
    </row>
    <row r="35" spans="1:19" x14ac:dyDescent="0.25">
      <c r="A35" s="58">
        <v>73</v>
      </c>
      <c r="B35" s="68">
        <f t="shared" si="0"/>
        <v>30.326086956521738</v>
      </c>
      <c r="C35" s="54">
        <v>-526062</v>
      </c>
      <c r="D35" s="69">
        <f t="shared" si="1"/>
        <v>-17346.847311827958</v>
      </c>
      <c r="F35" s="58">
        <v>5</v>
      </c>
      <c r="G35" s="68">
        <f t="shared" si="2"/>
        <v>33.41317365269461</v>
      </c>
      <c r="H35" s="54">
        <v>-473972</v>
      </c>
      <c r="I35" s="69">
        <f t="shared" si="3"/>
        <v>-14185.183512544803</v>
      </c>
      <c r="K35" s="58">
        <v>50</v>
      </c>
      <c r="L35" s="68">
        <f t="shared" si="4"/>
        <v>30.326086956521738</v>
      </c>
      <c r="M35" s="54">
        <v>-141217</v>
      </c>
      <c r="N35" s="69">
        <f t="shared" si="5"/>
        <v>-4656.6179211469534</v>
      </c>
      <c r="P35" s="58">
        <v>34</v>
      </c>
      <c r="Q35" s="68">
        <f t="shared" si="6"/>
        <v>33.41317365269461</v>
      </c>
      <c r="R35" s="54">
        <v>-343537</v>
      </c>
      <c r="S35" s="69">
        <f t="shared" si="7"/>
        <v>-10281.483691756273</v>
      </c>
    </row>
    <row r="36" spans="1:19" x14ac:dyDescent="0.25">
      <c r="A36" s="58">
        <v>69</v>
      </c>
      <c r="B36" s="68">
        <f t="shared" si="0"/>
        <v>30.326086956521738</v>
      </c>
      <c r="C36" s="54">
        <v>-582190</v>
      </c>
      <c r="D36" s="69">
        <f t="shared" si="1"/>
        <v>-19197.663082437277</v>
      </c>
      <c r="F36" s="58">
        <v>67</v>
      </c>
      <c r="G36" s="68">
        <f t="shared" si="2"/>
        <v>33.41317365269461</v>
      </c>
      <c r="H36" s="54">
        <v>-479440</v>
      </c>
      <c r="I36" s="69">
        <f t="shared" si="3"/>
        <v>-14348.831541218638</v>
      </c>
      <c r="K36" s="58">
        <v>24</v>
      </c>
      <c r="L36" s="68">
        <f t="shared" si="4"/>
        <v>30.326086956521738</v>
      </c>
      <c r="M36" s="54">
        <v>-265494</v>
      </c>
      <c r="N36" s="69">
        <f t="shared" si="5"/>
        <v>-8754.6408602150532</v>
      </c>
      <c r="P36" s="58">
        <v>26</v>
      </c>
      <c r="Q36" s="68">
        <f t="shared" si="6"/>
        <v>33.41317365269461</v>
      </c>
      <c r="R36" s="54">
        <v>-410208</v>
      </c>
      <c r="S36" s="69">
        <f t="shared" si="7"/>
        <v>-12276.834408602152</v>
      </c>
    </row>
    <row r="37" spans="1:19" x14ac:dyDescent="0.25">
      <c r="A37" s="58">
        <v>17</v>
      </c>
      <c r="B37" s="68">
        <f t="shared" si="0"/>
        <v>30.326086956521738</v>
      </c>
      <c r="C37" s="54">
        <v>-710390</v>
      </c>
      <c r="D37" s="69">
        <f t="shared" si="1"/>
        <v>-23425.046594982079</v>
      </c>
      <c r="F37" s="58">
        <v>65</v>
      </c>
      <c r="G37" s="68">
        <f t="shared" si="2"/>
        <v>33.41317365269461</v>
      </c>
      <c r="H37" s="54">
        <v>-681880</v>
      </c>
      <c r="I37" s="69">
        <f t="shared" si="3"/>
        <v>-20407.519713261649</v>
      </c>
      <c r="K37" s="58">
        <v>44</v>
      </c>
      <c r="L37" s="68">
        <f t="shared" si="4"/>
        <v>30.326086956521738</v>
      </c>
      <c r="M37" s="54">
        <v>-279807</v>
      </c>
      <c r="N37" s="69">
        <f t="shared" si="5"/>
        <v>-9226.6107526881715</v>
      </c>
      <c r="P37" s="58">
        <v>55</v>
      </c>
      <c r="Q37" s="68">
        <f t="shared" si="6"/>
        <v>33.41317365269461</v>
      </c>
      <c r="R37" s="54">
        <v>-412943</v>
      </c>
      <c r="S37" s="69">
        <f t="shared" si="7"/>
        <v>-12358.688351254481</v>
      </c>
    </row>
    <row r="38" spans="1:19" x14ac:dyDescent="0.25">
      <c r="A38" s="58">
        <v>12</v>
      </c>
      <c r="B38" s="68">
        <f t="shared" si="0"/>
        <v>30.326086956521738</v>
      </c>
      <c r="C38" s="54">
        <v>-753136</v>
      </c>
      <c r="D38" s="69">
        <f t="shared" si="1"/>
        <v>-24834.592114695341</v>
      </c>
      <c r="F38" s="58">
        <v>15</v>
      </c>
      <c r="G38" s="68">
        <f t="shared" si="2"/>
        <v>33.41317365269461</v>
      </c>
      <c r="H38" s="54">
        <v>-737370</v>
      </c>
      <c r="I38" s="69">
        <f t="shared" si="3"/>
        <v>-22068.241935483871</v>
      </c>
      <c r="K38" s="58">
        <v>78</v>
      </c>
      <c r="L38" s="68">
        <f t="shared" si="4"/>
        <v>30.326086956521738</v>
      </c>
      <c r="M38" s="54">
        <v>-450754</v>
      </c>
      <c r="N38" s="69">
        <f t="shared" si="5"/>
        <v>-14863.572759856632</v>
      </c>
      <c r="P38" s="58">
        <v>22</v>
      </c>
      <c r="Q38" s="68">
        <f t="shared" si="6"/>
        <v>33.41317365269461</v>
      </c>
      <c r="R38" s="54">
        <v>-443480</v>
      </c>
      <c r="S38" s="69">
        <f t="shared" si="7"/>
        <v>-13272.609318996416</v>
      </c>
    </row>
    <row r="39" spans="1:19" x14ac:dyDescent="0.25">
      <c r="A39" s="58">
        <v>58</v>
      </c>
      <c r="B39" s="68">
        <f t="shared" si="0"/>
        <v>30.326086956521738</v>
      </c>
      <c r="C39" s="54">
        <v>-793953</v>
      </c>
      <c r="D39" s="69">
        <f t="shared" si="1"/>
        <v>-26180.529032258066</v>
      </c>
      <c r="F39" s="58">
        <v>6</v>
      </c>
      <c r="G39" s="68">
        <f t="shared" si="2"/>
        <v>33.41317365269461</v>
      </c>
      <c r="H39" s="54">
        <v>-760719</v>
      </c>
      <c r="I39" s="69">
        <f t="shared" si="3"/>
        <v>-22767.038172043012</v>
      </c>
      <c r="K39" s="58">
        <v>81</v>
      </c>
      <c r="L39" s="68">
        <f t="shared" si="4"/>
        <v>30.326086956521738</v>
      </c>
      <c r="M39" s="54">
        <v>-460974</v>
      </c>
      <c r="N39" s="69">
        <f t="shared" si="5"/>
        <v>-15200.576344086023</v>
      </c>
      <c r="P39" s="58">
        <v>97</v>
      </c>
      <c r="Q39" s="68">
        <f t="shared" si="6"/>
        <v>33.41317365269461</v>
      </c>
      <c r="R39" s="54">
        <v>-474669</v>
      </c>
      <c r="S39" s="69">
        <f t="shared" si="7"/>
        <v>-14206.043548387097</v>
      </c>
    </row>
    <row r="40" spans="1:19" x14ac:dyDescent="0.25">
      <c r="A40" s="58">
        <v>68</v>
      </c>
      <c r="B40" s="68">
        <f t="shared" si="0"/>
        <v>30.326086956521738</v>
      </c>
      <c r="C40" s="54">
        <v>-803861</v>
      </c>
      <c r="D40" s="69">
        <f t="shared" si="1"/>
        <v>-26507.244444444445</v>
      </c>
      <c r="F40" s="58">
        <v>18</v>
      </c>
      <c r="G40" s="68">
        <f t="shared" si="2"/>
        <v>33.41317365269461</v>
      </c>
      <c r="H40" s="54">
        <v>-824942</v>
      </c>
      <c r="I40" s="69">
        <f t="shared" si="3"/>
        <v>-24689.124372759856</v>
      </c>
      <c r="K40" s="58">
        <v>48</v>
      </c>
      <c r="L40" s="68">
        <f t="shared" si="4"/>
        <v>30.326086956521738</v>
      </c>
      <c r="M40" s="54">
        <v>-522318</v>
      </c>
      <c r="N40" s="69">
        <f t="shared" si="5"/>
        <v>-17223.389247311829</v>
      </c>
      <c r="P40" s="58">
        <v>57</v>
      </c>
      <c r="Q40" s="68">
        <f t="shared" si="6"/>
        <v>33.41317365269461</v>
      </c>
      <c r="R40" s="54">
        <v>-519769</v>
      </c>
      <c r="S40" s="69">
        <f t="shared" si="7"/>
        <v>-15555.810573476703</v>
      </c>
    </row>
    <row r="41" spans="1:19" x14ac:dyDescent="0.25">
      <c r="A41" s="58">
        <v>60</v>
      </c>
      <c r="B41" s="68">
        <f t="shared" si="0"/>
        <v>30.326086956521738</v>
      </c>
      <c r="C41" s="54">
        <v>-850901</v>
      </c>
      <c r="D41" s="69">
        <f t="shared" si="1"/>
        <v>-28058.384229390682</v>
      </c>
      <c r="F41" s="58">
        <v>11</v>
      </c>
      <c r="G41" s="68">
        <f t="shared" si="2"/>
        <v>33.41317365269461</v>
      </c>
      <c r="H41" s="54">
        <v>-906527</v>
      </c>
      <c r="I41" s="69">
        <f t="shared" si="3"/>
        <v>-27130.825985663083</v>
      </c>
      <c r="K41" s="58">
        <v>87</v>
      </c>
      <c r="L41" s="68">
        <f t="shared" si="4"/>
        <v>30.326086956521738</v>
      </c>
      <c r="M41" s="54">
        <v>-542332</v>
      </c>
      <c r="N41" s="69">
        <f t="shared" si="5"/>
        <v>-17883.349103942652</v>
      </c>
      <c r="P41" s="58">
        <v>35</v>
      </c>
      <c r="Q41" s="68">
        <f t="shared" si="6"/>
        <v>33.41317365269461</v>
      </c>
      <c r="R41" s="54">
        <v>-552149</v>
      </c>
      <c r="S41" s="69">
        <f t="shared" si="7"/>
        <v>-16524.889426523299</v>
      </c>
    </row>
    <row r="42" spans="1:19" x14ac:dyDescent="0.25">
      <c r="A42" s="58">
        <v>74</v>
      </c>
      <c r="B42" s="68">
        <f t="shared" si="0"/>
        <v>30.326086956521738</v>
      </c>
      <c r="C42" s="54">
        <v>-871942</v>
      </c>
      <c r="D42" s="69">
        <f t="shared" si="1"/>
        <v>-28752.209318996418</v>
      </c>
      <c r="F42" s="58">
        <v>14</v>
      </c>
      <c r="G42" s="68">
        <f t="shared" si="2"/>
        <v>33.41317365269461</v>
      </c>
      <c r="H42" s="54">
        <v>-923878</v>
      </c>
      <c r="I42" s="69">
        <f t="shared" si="3"/>
        <v>-27650.112186379931</v>
      </c>
      <c r="K42" s="58">
        <v>41</v>
      </c>
      <c r="L42" s="68">
        <f t="shared" si="4"/>
        <v>30.326086956521738</v>
      </c>
      <c r="M42" s="54">
        <v>-545075</v>
      </c>
      <c r="N42" s="69">
        <f t="shared" si="5"/>
        <v>-17973.799283154123</v>
      </c>
      <c r="P42" s="58">
        <v>81</v>
      </c>
      <c r="Q42" s="68">
        <f t="shared" si="6"/>
        <v>33.41317365269461</v>
      </c>
      <c r="R42" s="54">
        <v>-553719</v>
      </c>
      <c r="S42" s="69">
        <f t="shared" si="7"/>
        <v>-16571.876881720429</v>
      </c>
    </row>
    <row r="43" spans="1:19" x14ac:dyDescent="0.25">
      <c r="A43" s="58">
        <v>71</v>
      </c>
      <c r="B43" s="68">
        <f t="shared" si="0"/>
        <v>30.326086956521738</v>
      </c>
      <c r="C43" s="54">
        <v>-879757</v>
      </c>
      <c r="D43" s="69">
        <f t="shared" si="1"/>
        <v>-29009.908243727601</v>
      </c>
      <c r="F43" s="58">
        <v>90</v>
      </c>
      <c r="G43" s="68">
        <f t="shared" si="2"/>
        <v>33.41317365269461</v>
      </c>
      <c r="H43" s="54">
        <v>-944796</v>
      </c>
      <c r="I43" s="69">
        <f t="shared" si="3"/>
        <v>-28276.152688172042</v>
      </c>
      <c r="K43" s="58">
        <v>23</v>
      </c>
      <c r="L43" s="68">
        <f t="shared" si="4"/>
        <v>30.326086956521738</v>
      </c>
      <c r="M43" s="54">
        <v>-550483</v>
      </c>
      <c r="N43" s="69">
        <f t="shared" si="5"/>
        <v>-18152.127598566309</v>
      </c>
      <c r="P43" s="58">
        <v>25</v>
      </c>
      <c r="Q43" s="68">
        <f t="shared" si="6"/>
        <v>33.41317365269461</v>
      </c>
      <c r="R43" s="54">
        <v>-602771</v>
      </c>
      <c r="S43" s="69">
        <f t="shared" si="7"/>
        <v>-18039.920609318997</v>
      </c>
    </row>
    <row r="44" spans="1:19" x14ac:dyDescent="0.25">
      <c r="A44" s="58">
        <v>13</v>
      </c>
      <c r="B44" s="68">
        <f t="shared" si="0"/>
        <v>30.326086956521738</v>
      </c>
      <c r="C44" s="54">
        <v>-1072053</v>
      </c>
      <c r="D44" s="69">
        <f t="shared" si="1"/>
        <v>-35350.851612903229</v>
      </c>
      <c r="F44" s="58">
        <v>88</v>
      </c>
      <c r="G44" s="68">
        <f t="shared" si="2"/>
        <v>33.41317365269461</v>
      </c>
      <c r="H44" s="54">
        <v>-964689</v>
      </c>
      <c r="I44" s="69">
        <f t="shared" si="3"/>
        <v>-28871.516666666666</v>
      </c>
      <c r="K44" s="58">
        <v>55</v>
      </c>
      <c r="L44" s="68">
        <f t="shared" si="4"/>
        <v>30.326086956521738</v>
      </c>
      <c r="M44" s="54">
        <v>-592287</v>
      </c>
      <c r="N44" s="69">
        <f t="shared" si="5"/>
        <v>-19530.610752688171</v>
      </c>
      <c r="P44" s="58">
        <v>23</v>
      </c>
      <c r="Q44" s="68">
        <f t="shared" si="6"/>
        <v>33.41317365269461</v>
      </c>
      <c r="R44" s="54">
        <v>-625997</v>
      </c>
      <c r="S44" s="69">
        <f t="shared" si="7"/>
        <v>-18735.035663082439</v>
      </c>
    </row>
    <row r="45" spans="1:19" x14ac:dyDescent="0.25">
      <c r="A45" s="58">
        <v>92</v>
      </c>
      <c r="B45" s="68">
        <f t="shared" si="0"/>
        <v>30.326086956521738</v>
      </c>
      <c r="C45" s="54">
        <v>-1105120</v>
      </c>
      <c r="D45" s="69">
        <f t="shared" si="1"/>
        <v>-36441.232974910396</v>
      </c>
      <c r="F45" s="58">
        <v>10</v>
      </c>
      <c r="G45" s="68">
        <f t="shared" si="2"/>
        <v>33.41317365269461</v>
      </c>
      <c r="H45" s="54">
        <v>-1019506</v>
      </c>
      <c r="I45" s="69">
        <f t="shared" si="3"/>
        <v>-30512.097132616487</v>
      </c>
      <c r="K45" s="58">
        <v>31</v>
      </c>
      <c r="L45" s="68">
        <f t="shared" si="4"/>
        <v>30.326086956521738</v>
      </c>
      <c r="M45" s="54">
        <v>-620072</v>
      </c>
      <c r="N45" s="69">
        <f t="shared" si="5"/>
        <v>-20446.818637992834</v>
      </c>
      <c r="P45" s="58">
        <v>78</v>
      </c>
      <c r="Q45" s="68">
        <f t="shared" si="6"/>
        <v>33.41317365269461</v>
      </c>
      <c r="R45" s="54">
        <v>-732192</v>
      </c>
      <c r="S45" s="69">
        <f t="shared" si="7"/>
        <v>-21913.273118279569</v>
      </c>
    </row>
    <row r="46" spans="1:19" x14ac:dyDescent="0.25">
      <c r="A46" s="58">
        <v>21</v>
      </c>
      <c r="B46" s="68">
        <f t="shared" si="0"/>
        <v>30.326086956521738</v>
      </c>
      <c r="C46" s="54">
        <v>-1124143</v>
      </c>
      <c r="D46" s="69">
        <f t="shared" si="1"/>
        <v>-37068.514695340506</v>
      </c>
      <c r="F46" s="58">
        <v>2</v>
      </c>
      <c r="G46" s="68">
        <f t="shared" si="2"/>
        <v>33.41317365269461</v>
      </c>
      <c r="H46" s="54">
        <v>-1048073</v>
      </c>
      <c r="I46" s="69">
        <f t="shared" si="3"/>
        <v>-31367.059318996417</v>
      </c>
      <c r="K46" s="58">
        <v>40</v>
      </c>
      <c r="L46" s="68">
        <f t="shared" si="4"/>
        <v>30.326086956521738</v>
      </c>
      <c r="M46" s="54">
        <v>-658386</v>
      </c>
      <c r="N46" s="69">
        <f t="shared" si="5"/>
        <v>-21710.219354838711</v>
      </c>
      <c r="P46" s="58">
        <v>41</v>
      </c>
      <c r="Q46" s="68">
        <f t="shared" si="6"/>
        <v>33.41317365269461</v>
      </c>
      <c r="R46" s="54">
        <v>-890843</v>
      </c>
      <c r="S46" s="69">
        <f t="shared" si="7"/>
        <v>-26661.430286738352</v>
      </c>
    </row>
    <row r="47" spans="1:19" x14ac:dyDescent="0.25">
      <c r="A47" s="58">
        <v>64</v>
      </c>
      <c r="B47" s="68">
        <f t="shared" si="0"/>
        <v>30.326086956521738</v>
      </c>
      <c r="C47" s="54">
        <v>-1198677</v>
      </c>
      <c r="D47" s="69">
        <f t="shared" si="1"/>
        <v>-39526.26666666667</v>
      </c>
      <c r="F47" s="58">
        <v>12</v>
      </c>
      <c r="G47" s="68">
        <f t="shared" si="2"/>
        <v>33.41317365269461</v>
      </c>
      <c r="H47" s="54">
        <v>-1098022</v>
      </c>
      <c r="I47" s="69">
        <f t="shared" si="3"/>
        <v>-32861.948745519716</v>
      </c>
      <c r="K47" s="58">
        <v>97</v>
      </c>
      <c r="L47" s="68">
        <f t="shared" si="4"/>
        <v>30.326086956521738</v>
      </c>
      <c r="M47" s="54">
        <v>-661431</v>
      </c>
      <c r="N47" s="69">
        <f t="shared" si="5"/>
        <v>-21810.627956989247</v>
      </c>
      <c r="P47" s="58">
        <v>48</v>
      </c>
      <c r="Q47" s="68">
        <f t="shared" si="6"/>
        <v>33.41317365269461</v>
      </c>
      <c r="R47" s="54">
        <v>-914243</v>
      </c>
      <c r="S47" s="69">
        <f t="shared" si="7"/>
        <v>-27361.752867383515</v>
      </c>
    </row>
    <row r="48" spans="1:19" x14ac:dyDescent="0.25">
      <c r="A48" s="58">
        <v>3</v>
      </c>
      <c r="B48" s="68">
        <f t="shared" si="0"/>
        <v>30.326086956521738</v>
      </c>
      <c r="C48" s="54">
        <v>-1231829</v>
      </c>
      <c r="D48" s="69">
        <f t="shared" si="1"/>
        <v>-40619.450896057351</v>
      </c>
      <c r="F48" s="58">
        <v>72</v>
      </c>
      <c r="G48" s="68">
        <f t="shared" si="2"/>
        <v>33.41317365269461</v>
      </c>
      <c r="H48" s="54">
        <v>-1168137</v>
      </c>
      <c r="I48" s="69">
        <f t="shared" si="3"/>
        <v>-34960.372580645162</v>
      </c>
      <c r="K48" s="58">
        <v>56</v>
      </c>
      <c r="L48" s="68">
        <f t="shared" si="4"/>
        <v>30.326086956521738</v>
      </c>
      <c r="M48" s="54">
        <v>-736742</v>
      </c>
      <c r="N48" s="69">
        <f t="shared" si="5"/>
        <v>-24294.001433691756</v>
      </c>
      <c r="P48" s="58">
        <v>96</v>
      </c>
      <c r="Q48" s="68">
        <f t="shared" si="6"/>
        <v>33.41317365269461</v>
      </c>
      <c r="R48" s="54">
        <v>-944950</v>
      </c>
      <c r="S48" s="69">
        <f t="shared" si="7"/>
        <v>-28280.76164874552</v>
      </c>
    </row>
    <row r="49" spans="1:19" x14ac:dyDescent="0.25">
      <c r="A49" s="58">
        <v>70</v>
      </c>
      <c r="B49" s="68">
        <f t="shared" si="0"/>
        <v>30.326086956521738</v>
      </c>
      <c r="C49" s="54">
        <v>-1290356</v>
      </c>
      <c r="D49" s="69">
        <f t="shared" si="1"/>
        <v>-42549.373476702509</v>
      </c>
      <c r="F49" s="58">
        <v>62</v>
      </c>
      <c r="G49" s="68">
        <f t="shared" si="2"/>
        <v>33.41317365269461</v>
      </c>
      <c r="H49" s="54">
        <v>-1177761</v>
      </c>
      <c r="I49" s="69">
        <f t="shared" si="3"/>
        <v>-35248.402688172042</v>
      </c>
      <c r="K49" s="58">
        <v>85</v>
      </c>
      <c r="L49" s="68">
        <f t="shared" si="4"/>
        <v>30.326086956521738</v>
      </c>
      <c r="M49" s="54">
        <v>-789944</v>
      </c>
      <c r="N49" s="69">
        <f t="shared" si="5"/>
        <v>-26048.332616487456</v>
      </c>
      <c r="P49" s="58">
        <v>82</v>
      </c>
      <c r="Q49" s="68">
        <f t="shared" si="6"/>
        <v>33.41317365269461</v>
      </c>
      <c r="R49" s="54">
        <v>-954865</v>
      </c>
      <c r="S49" s="69">
        <f t="shared" si="7"/>
        <v>-28577.500896057347</v>
      </c>
    </row>
    <row r="50" spans="1:19" x14ac:dyDescent="0.25">
      <c r="A50" s="58">
        <v>65</v>
      </c>
      <c r="B50" s="68">
        <f t="shared" si="0"/>
        <v>30.326086956521738</v>
      </c>
      <c r="C50" s="54">
        <v>-1335361</v>
      </c>
      <c r="D50" s="69">
        <f t="shared" si="1"/>
        <v>-44033.409318996419</v>
      </c>
      <c r="F50" s="58">
        <v>19</v>
      </c>
      <c r="G50" s="68">
        <f t="shared" si="2"/>
        <v>33.41317365269461</v>
      </c>
      <c r="H50" s="54">
        <v>-1251057</v>
      </c>
      <c r="I50" s="69">
        <f t="shared" si="3"/>
        <v>-37442.028494623657</v>
      </c>
      <c r="K50" s="58">
        <v>26</v>
      </c>
      <c r="L50" s="68">
        <f t="shared" si="4"/>
        <v>30.326086956521738</v>
      </c>
      <c r="M50" s="54">
        <v>-946136</v>
      </c>
      <c r="N50" s="69">
        <f t="shared" si="5"/>
        <v>-31198.749820788533</v>
      </c>
      <c r="P50" s="58">
        <v>50</v>
      </c>
      <c r="Q50" s="68">
        <f t="shared" si="6"/>
        <v>33.41317365269461</v>
      </c>
      <c r="R50" s="54">
        <v>-1011749</v>
      </c>
      <c r="S50" s="69">
        <f t="shared" si="7"/>
        <v>-30279.943189964157</v>
      </c>
    </row>
    <row r="51" spans="1:19" x14ac:dyDescent="0.25">
      <c r="A51" s="58">
        <v>18</v>
      </c>
      <c r="B51" s="68">
        <f t="shared" si="0"/>
        <v>30.326086956521738</v>
      </c>
      <c r="C51" s="54">
        <v>-1388548</v>
      </c>
      <c r="D51" s="69">
        <f t="shared" si="1"/>
        <v>-45787.2458781362</v>
      </c>
      <c r="F51" s="58">
        <v>68</v>
      </c>
      <c r="G51" s="68">
        <f t="shared" si="2"/>
        <v>33.41317365269461</v>
      </c>
      <c r="H51" s="54">
        <v>-1292553</v>
      </c>
      <c r="I51" s="69">
        <f t="shared" si="3"/>
        <v>-38683.933870967739</v>
      </c>
      <c r="K51" s="58">
        <v>84</v>
      </c>
      <c r="L51" s="68">
        <f t="shared" si="4"/>
        <v>30.326086956521738</v>
      </c>
      <c r="M51" s="54">
        <v>-948146</v>
      </c>
      <c r="N51" s="69">
        <f t="shared" si="5"/>
        <v>-31265.029390681004</v>
      </c>
      <c r="P51" s="58">
        <v>40</v>
      </c>
      <c r="Q51" s="68">
        <f t="shared" si="6"/>
        <v>33.41317365269461</v>
      </c>
      <c r="R51" s="54">
        <v>-1028317</v>
      </c>
      <c r="S51" s="69">
        <f t="shared" si="7"/>
        <v>-30775.795519713261</v>
      </c>
    </row>
    <row r="52" spans="1:19" x14ac:dyDescent="0.25">
      <c r="A52" s="58">
        <v>91</v>
      </c>
      <c r="B52" s="68">
        <f t="shared" si="0"/>
        <v>30.326086956521738</v>
      </c>
      <c r="C52" s="54">
        <v>-1477388</v>
      </c>
      <c r="D52" s="69">
        <f t="shared" si="1"/>
        <v>-48716.736917562725</v>
      </c>
      <c r="F52" s="58">
        <v>60</v>
      </c>
      <c r="G52" s="68">
        <f t="shared" si="2"/>
        <v>33.41317365269461</v>
      </c>
      <c r="H52" s="54">
        <v>-1363928</v>
      </c>
      <c r="I52" s="69">
        <f t="shared" si="3"/>
        <v>-40820.067383512549</v>
      </c>
      <c r="K52" s="58">
        <v>37</v>
      </c>
      <c r="L52" s="68">
        <f t="shared" si="4"/>
        <v>30.326086956521738</v>
      </c>
      <c r="M52" s="54">
        <v>-1123636</v>
      </c>
      <c r="N52" s="69">
        <f t="shared" si="5"/>
        <v>-37051.796415770608</v>
      </c>
      <c r="P52" s="58">
        <v>45</v>
      </c>
      <c r="Q52" s="68">
        <f t="shared" si="6"/>
        <v>33.41317365269461</v>
      </c>
      <c r="R52" s="54">
        <v>-1108132</v>
      </c>
      <c r="S52" s="69">
        <f t="shared" si="7"/>
        <v>-33164.524014336916</v>
      </c>
    </row>
    <row r="53" spans="1:19" x14ac:dyDescent="0.25">
      <c r="A53" s="58">
        <v>67</v>
      </c>
      <c r="B53" s="68">
        <f t="shared" si="0"/>
        <v>30.326086956521738</v>
      </c>
      <c r="C53" s="54">
        <v>-1558535</v>
      </c>
      <c r="D53" s="69">
        <f t="shared" si="1"/>
        <v>-51392.551971326167</v>
      </c>
      <c r="F53" s="58">
        <v>66</v>
      </c>
      <c r="G53" s="68">
        <f t="shared" si="2"/>
        <v>33.41317365269461</v>
      </c>
      <c r="H53" s="54">
        <v>-1541082</v>
      </c>
      <c r="I53" s="69">
        <f t="shared" si="3"/>
        <v>-46121.988172043013</v>
      </c>
      <c r="K53" s="58">
        <v>77</v>
      </c>
      <c r="L53" s="68">
        <f t="shared" si="4"/>
        <v>30.326086956521738</v>
      </c>
      <c r="M53" s="54">
        <v>-1136517</v>
      </c>
      <c r="N53" s="69">
        <f t="shared" si="5"/>
        <v>-37476.546236559137</v>
      </c>
      <c r="P53" s="58">
        <v>37</v>
      </c>
      <c r="Q53" s="68">
        <f t="shared" si="6"/>
        <v>33.41317365269461</v>
      </c>
      <c r="R53" s="54">
        <v>-1231599</v>
      </c>
      <c r="S53" s="69">
        <f t="shared" si="7"/>
        <v>-36859.683333333334</v>
      </c>
    </row>
    <row r="54" spans="1:19" x14ac:dyDescent="0.25">
      <c r="A54" s="58">
        <v>93</v>
      </c>
      <c r="B54" s="68">
        <f t="shared" si="0"/>
        <v>30.326086956521738</v>
      </c>
      <c r="C54" s="54">
        <v>-1560391</v>
      </c>
      <c r="D54" s="69">
        <f t="shared" si="1"/>
        <v>-51453.753405017924</v>
      </c>
      <c r="F54" s="58">
        <v>13</v>
      </c>
      <c r="G54" s="68">
        <f t="shared" si="2"/>
        <v>33.41317365269461</v>
      </c>
      <c r="H54" s="54">
        <v>-1570807</v>
      </c>
      <c r="I54" s="69">
        <f t="shared" si="3"/>
        <v>-47011.607347670251</v>
      </c>
      <c r="K54" s="58">
        <v>94</v>
      </c>
      <c r="L54" s="68">
        <f t="shared" si="4"/>
        <v>30.326086956521738</v>
      </c>
      <c r="M54" s="54">
        <v>-1189690</v>
      </c>
      <c r="N54" s="69">
        <f t="shared" si="5"/>
        <v>-39229.921146953406</v>
      </c>
      <c r="P54" s="58">
        <v>80</v>
      </c>
      <c r="Q54" s="68">
        <f t="shared" si="6"/>
        <v>33.41317365269461</v>
      </c>
      <c r="R54" s="54">
        <v>-1261366</v>
      </c>
      <c r="S54" s="69">
        <f t="shared" si="7"/>
        <v>-37750.559498207884</v>
      </c>
    </row>
    <row r="55" spans="1:19" x14ac:dyDescent="0.25">
      <c r="A55" s="58"/>
      <c r="B55" s="59"/>
      <c r="C55" s="54"/>
      <c r="D55" s="55"/>
      <c r="F55" s="58"/>
      <c r="G55" s="59"/>
      <c r="H55" s="54"/>
      <c r="I55" s="55"/>
      <c r="K55" s="58">
        <v>32</v>
      </c>
      <c r="L55" s="68">
        <f t="shared" si="4"/>
        <v>30.326086956521738</v>
      </c>
      <c r="M55" s="54">
        <v>-1238968</v>
      </c>
      <c r="N55" s="69">
        <f t="shared" si="5"/>
        <v>-40854.858781362011</v>
      </c>
      <c r="P55" s="58">
        <v>52</v>
      </c>
      <c r="Q55" s="68">
        <f t="shared" si="6"/>
        <v>33.41317365269461</v>
      </c>
      <c r="R55" s="54">
        <v>-1306284</v>
      </c>
      <c r="S55" s="69">
        <f t="shared" si="7"/>
        <v>-39094.879569892473</v>
      </c>
    </row>
    <row r="56" spans="1:19" x14ac:dyDescent="0.25">
      <c r="A56" s="58"/>
      <c r="B56" s="59"/>
      <c r="C56" s="54"/>
      <c r="D56" s="55"/>
      <c r="F56" s="58"/>
      <c r="G56" s="59"/>
      <c r="H56" s="54"/>
      <c r="I56" s="55"/>
      <c r="K56" s="58">
        <v>36</v>
      </c>
      <c r="L56" s="68">
        <f t="shared" si="4"/>
        <v>30.326086956521738</v>
      </c>
      <c r="M56" s="54">
        <v>-1281241</v>
      </c>
      <c r="N56" s="69">
        <f t="shared" si="5"/>
        <v>-42248.807168458785</v>
      </c>
      <c r="P56" s="58">
        <v>38</v>
      </c>
      <c r="Q56" s="68">
        <f t="shared" si="6"/>
        <v>33.41317365269461</v>
      </c>
      <c r="R56" s="54">
        <v>-1308829</v>
      </c>
      <c r="S56" s="69">
        <f t="shared" si="7"/>
        <v>-39171.047132616492</v>
      </c>
    </row>
    <row r="57" spans="1:19" x14ac:dyDescent="0.25">
      <c r="A57" s="58"/>
      <c r="B57" s="59"/>
      <c r="C57" s="54"/>
      <c r="D57" s="55"/>
      <c r="F57" s="58"/>
      <c r="G57" s="59"/>
      <c r="H57" s="54"/>
      <c r="I57" s="55"/>
      <c r="K57" s="58">
        <v>29</v>
      </c>
      <c r="L57" s="68">
        <f t="shared" si="4"/>
        <v>30.326086956521738</v>
      </c>
      <c r="M57" s="54">
        <v>-1329121</v>
      </c>
      <c r="N57" s="69">
        <f t="shared" si="5"/>
        <v>-43827.645878136202</v>
      </c>
      <c r="P57" s="58">
        <v>46</v>
      </c>
      <c r="Q57" s="68">
        <f t="shared" si="6"/>
        <v>33.41317365269461</v>
      </c>
      <c r="R57" s="54">
        <v>-1311822</v>
      </c>
      <c r="S57" s="69">
        <f t="shared" si="7"/>
        <v>-39260.622580645162</v>
      </c>
    </row>
    <row r="58" spans="1:19" x14ac:dyDescent="0.25">
      <c r="A58" s="58"/>
      <c r="B58" s="59"/>
      <c r="C58" s="54"/>
      <c r="D58" s="55"/>
      <c r="F58" s="58"/>
      <c r="G58" s="59"/>
      <c r="H58" s="54"/>
      <c r="I58" s="55"/>
      <c r="K58" s="58">
        <v>80</v>
      </c>
      <c r="L58" s="68">
        <f t="shared" si="4"/>
        <v>30.326086956521738</v>
      </c>
      <c r="M58" s="54">
        <v>-1382584</v>
      </c>
      <c r="N58" s="69">
        <f t="shared" si="5"/>
        <v>-45590.583512544807</v>
      </c>
      <c r="P58" s="58">
        <v>53</v>
      </c>
      <c r="Q58" s="68">
        <f t="shared" si="6"/>
        <v>33.41317365269461</v>
      </c>
      <c r="R58" s="54">
        <v>-1316172</v>
      </c>
      <c r="S58" s="69">
        <f t="shared" si="7"/>
        <v>-39390.810752688172</v>
      </c>
    </row>
    <row r="59" spans="1:19" x14ac:dyDescent="0.25">
      <c r="A59" s="58"/>
      <c r="B59" s="59"/>
      <c r="C59" s="54"/>
      <c r="D59" s="55"/>
      <c r="F59" s="58"/>
      <c r="G59" s="59"/>
      <c r="H59" s="54"/>
      <c r="I59" s="55"/>
      <c r="K59" s="58">
        <v>38</v>
      </c>
      <c r="L59" s="68">
        <f t="shared" si="4"/>
        <v>30.326086956521738</v>
      </c>
      <c r="M59" s="54">
        <v>-1454904</v>
      </c>
      <c r="N59" s="69">
        <f t="shared" si="5"/>
        <v>-47975.329032258065</v>
      </c>
      <c r="P59" s="58">
        <v>87</v>
      </c>
      <c r="Q59" s="68">
        <f t="shared" si="6"/>
        <v>33.41317365269461</v>
      </c>
      <c r="R59" s="54">
        <v>-1394051</v>
      </c>
      <c r="S59" s="69">
        <f t="shared" si="7"/>
        <v>-41721.598028673834</v>
      </c>
    </row>
    <row r="60" spans="1:19" x14ac:dyDescent="0.25">
      <c r="A60" s="58"/>
      <c r="B60" s="59"/>
      <c r="C60" s="54"/>
      <c r="D60" s="55"/>
      <c r="F60" s="58"/>
      <c r="G60" s="59"/>
      <c r="H60" s="54"/>
      <c r="I60" s="55"/>
      <c r="K60" s="58">
        <v>96</v>
      </c>
      <c r="L60" s="68">
        <f t="shared" si="4"/>
        <v>30.326086956521738</v>
      </c>
      <c r="M60" s="54">
        <v>-1495940</v>
      </c>
      <c r="N60" s="69">
        <f t="shared" si="5"/>
        <v>-49328.487455197137</v>
      </c>
      <c r="P60" s="58">
        <v>36</v>
      </c>
      <c r="Q60" s="68">
        <f t="shared" si="6"/>
        <v>33.41317365269461</v>
      </c>
      <c r="R60" s="54">
        <v>-1395762</v>
      </c>
      <c r="S60" s="69">
        <f t="shared" si="7"/>
        <v>-41772.805376344084</v>
      </c>
    </row>
    <row r="61" spans="1:19" x14ac:dyDescent="0.25">
      <c r="A61" s="58"/>
      <c r="B61" s="59"/>
      <c r="C61" s="54"/>
      <c r="D61" s="55"/>
      <c r="F61" s="58"/>
      <c r="G61" s="59"/>
      <c r="H61" s="54"/>
      <c r="I61" s="55"/>
      <c r="K61" s="58">
        <v>76</v>
      </c>
      <c r="L61" s="68">
        <f t="shared" si="4"/>
        <v>30.326086956521738</v>
      </c>
      <c r="M61" s="54">
        <v>-1505954</v>
      </c>
      <c r="N61" s="69">
        <f t="shared" si="5"/>
        <v>-49658.698207885303</v>
      </c>
      <c r="P61" s="58">
        <v>42</v>
      </c>
      <c r="Q61" s="68">
        <f t="shared" si="6"/>
        <v>33.41317365269461</v>
      </c>
      <c r="R61" s="54">
        <v>-1449513</v>
      </c>
      <c r="S61" s="69">
        <f t="shared" si="7"/>
        <v>-43381.48225806452</v>
      </c>
    </row>
    <row r="62" spans="1:19" x14ac:dyDescent="0.25">
      <c r="A62" s="58"/>
      <c r="B62" s="59"/>
      <c r="C62" s="54"/>
      <c r="D62" s="55"/>
      <c r="F62" s="58"/>
      <c r="G62" s="59"/>
      <c r="H62" s="54"/>
      <c r="I62" s="55"/>
      <c r="K62" s="58">
        <v>52</v>
      </c>
      <c r="L62" s="68">
        <f t="shared" si="4"/>
        <v>30.326086956521738</v>
      </c>
      <c r="M62" s="54">
        <v>-1572435</v>
      </c>
      <c r="N62" s="69">
        <f t="shared" si="5"/>
        <v>-51850.903225806454</v>
      </c>
      <c r="P62" s="58">
        <v>28</v>
      </c>
      <c r="Q62" s="68">
        <f t="shared" si="6"/>
        <v>33.41317365269461</v>
      </c>
      <c r="R62" s="54">
        <v>-1475625</v>
      </c>
      <c r="S62" s="69">
        <f t="shared" si="7"/>
        <v>-44162.970430107525</v>
      </c>
    </row>
    <row r="63" spans="1:19" x14ac:dyDescent="0.25">
      <c r="A63" s="58"/>
      <c r="B63" s="59"/>
      <c r="C63" s="54"/>
      <c r="D63" s="55"/>
      <c r="F63" s="58"/>
      <c r="G63" s="59"/>
      <c r="H63" s="54"/>
      <c r="I63" s="55"/>
      <c r="K63" s="58">
        <v>100</v>
      </c>
      <c r="L63" s="68">
        <f t="shared" si="4"/>
        <v>30.326086956521738</v>
      </c>
      <c r="M63" s="54">
        <v>-1597710</v>
      </c>
      <c r="N63" s="69">
        <f t="shared" si="5"/>
        <v>-52684.344086021505</v>
      </c>
      <c r="P63" s="58">
        <v>83</v>
      </c>
      <c r="Q63" s="68">
        <f t="shared" si="6"/>
        <v>33.41317365269461</v>
      </c>
      <c r="R63" s="54">
        <v>-1533913</v>
      </c>
      <c r="S63" s="69">
        <f t="shared" si="7"/>
        <v>-45907.432078853046</v>
      </c>
    </row>
    <row r="64" spans="1:19" x14ac:dyDescent="0.25">
      <c r="A64" s="58"/>
      <c r="B64" s="59"/>
      <c r="C64" s="54"/>
      <c r="D64" s="55"/>
      <c r="F64" s="58"/>
      <c r="G64" s="59"/>
      <c r="H64" s="54"/>
      <c r="I64" s="55"/>
      <c r="K64" s="58">
        <v>51</v>
      </c>
      <c r="L64" s="68">
        <f t="shared" si="4"/>
        <v>30.326086956521738</v>
      </c>
      <c r="M64" s="54">
        <v>-1602000</v>
      </c>
      <c r="N64" s="69">
        <f t="shared" si="5"/>
        <v>-52825.806451612902</v>
      </c>
      <c r="P64" s="58">
        <v>77</v>
      </c>
      <c r="Q64" s="68">
        <f t="shared" si="6"/>
        <v>33.41317365269461</v>
      </c>
      <c r="R64" s="54">
        <v>-1545855</v>
      </c>
      <c r="S64" s="69">
        <f t="shared" si="7"/>
        <v>-46264.836021505376</v>
      </c>
    </row>
    <row r="65" spans="1:19" x14ac:dyDescent="0.25">
      <c r="A65" s="58"/>
      <c r="B65" s="59"/>
      <c r="C65" s="54"/>
      <c r="D65" s="55"/>
      <c r="F65" s="58"/>
      <c r="G65" s="59"/>
      <c r="H65" s="54"/>
      <c r="I65" s="55"/>
      <c r="K65" s="58"/>
      <c r="L65" s="59"/>
      <c r="M65" s="54"/>
      <c r="N65" s="55"/>
      <c r="P65" s="58"/>
      <c r="Q65" s="59"/>
      <c r="R65" s="54"/>
      <c r="S65" s="55"/>
    </row>
    <row r="66" spans="1:19" x14ac:dyDescent="0.25">
      <c r="A66" s="58"/>
      <c r="B66" s="59"/>
      <c r="C66" s="54"/>
      <c r="D66" s="55"/>
      <c r="F66" s="58"/>
      <c r="G66" s="59"/>
      <c r="H66" s="54"/>
      <c r="I66" s="55"/>
      <c r="K66" s="58"/>
      <c r="L66" s="59"/>
      <c r="M66" s="54"/>
      <c r="N66" s="55"/>
      <c r="P66" s="58"/>
      <c r="Q66" s="59"/>
      <c r="R66" s="54"/>
      <c r="S66" s="55"/>
    </row>
    <row r="67" spans="1:19" x14ac:dyDescent="0.25">
      <c r="A67" s="58"/>
      <c r="B67" s="59"/>
      <c r="C67" s="54"/>
      <c r="D67" s="55"/>
      <c r="F67" s="58"/>
      <c r="G67" s="59"/>
      <c r="H67" s="54"/>
      <c r="I67" s="55"/>
      <c r="K67" s="58"/>
      <c r="L67" s="59"/>
      <c r="M67" s="54"/>
      <c r="N67" s="55"/>
      <c r="P67" s="58"/>
      <c r="Q67" s="59"/>
      <c r="R67" s="54"/>
      <c r="S67" s="55"/>
    </row>
    <row r="68" spans="1:19" x14ac:dyDescent="0.25">
      <c r="A68" s="58"/>
      <c r="B68" s="59"/>
      <c r="C68" s="54"/>
      <c r="D68" s="55"/>
      <c r="F68" s="58"/>
      <c r="G68" s="59"/>
      <c r="H68" s="54"/>
      <c r="I68" s="55"/>
      <c r="K68" s="58"/>
      <c r="L68" s="59"/>
      <c r="M68" s="54"/>
      <c r="N68" s="55"/>
      <c r="P68" s="58"/>
      <c r="Q68" s="59"/>
      <c r="R68" s="54"/>
      <c r="S68" s="55"/>
    </row>
    <row r="69" spans="1:19" x14ac:dyDescent="0.25">
      <c r="A69" s="58"/>
      <c r="B69" s="59"/>
      <c r="C69" s="54"/>
      <c r="D69" s="55"/>
      <c r="F69" s="58"/>
      <c r="G69" s="59"/>
      <c r="H69" s="54"/>
      <c r="I69" s="55"/>
      <c r="K69" s="58"/>
      <c r="L69" s="59"/>
      <c r="M69" s="54"/>
      <c r="N69" s="55"/>
      <c r="P69" s="58"/>
      <c r="Q69" s="59"/>
      <c r="R69" s="54"/>
      <c r="S69" s="55"/>
    </row>
    <row r="70" spans="1:19" x14ac:dyDescent="0.25">
      <c r="A70" s="58"/>
      <c r="B70" s="59"/>
      <c r="C70" s="54"/>
      <c r="D70" s="55"/>
      <c r="F70" s="58"/>
      <c r="G70" s="59"/>
      <c r="H70" s="54"/>
      <c r="I70" s="55"/>
      <c r="K70" s="58"/>
      <c r="L70" s="59"/>
      <c r="M70" s="54"/>
      <c r="N70" s="55"/>
      <c r="P70" s="58"/>
      <c r="Q70" s="59"/>
      <c r="R70" s="54"/>
      <c r="S70" s="55"/>
    </row>
    <row r="71" spans="1:19" x14ac:dyDescent="0.25">
      <c r="A71" s="58"/>
      <c r="B71" s="59"/>
      <c r="C71" s="54"/>
      <c r="D71" s="55"/>
      <c r="F71" s="58"/>
      <c r="G71" s="59"/>
      <c r="H71" s="54"/>
      <c r="I71" s="55"/>
      <c r="K71" s="58"/>
      <c r="L71" s="59"/>
      <c r="M71" s="54"/>
      <c r="N71" s="55"/>
      <c r="P71" s="58"/>
      <c r="Q71" s="59"/>
      <c r="R71" s="54"/>
      <c r="S71" s="55"/>
    </row>
    <row r="72" spans="1:19" x14ac:dyDescent="0.25">
      <c r="A72" s="58"/>
      <c r="B72" s="59"/>
      <c r="C72" s="54"/>
      <c r="D72" s="55"/>
      <c r="F72" s="58"/>
      <c r="G72" s="59"/>
      <c r="H72" s="54"/>
      <c r="I72" s="55"/>
      <c r="K72" s="58"/>
      <c r="L72" s="59"/>
      <c r="M72" s="54"/>
      <c r="N72" s="55"/>
      <c r="P72" s="58"/>
      <c r="Q72" s="59"/>
      <c r="R72" s="54"/>
      <c r="S72" s="55"/>
    </row>
    <row r="73" spans="1:19" x14ac:dyDescent="0.25">
      <c r="A73" s="58"/>
      <c r="B73" s="59"/>
      <c r="C73" s="54"/>
      <c r="D73" s="55"/>
      <c r="F73" s="58"/>
      <c r="G73" s="59"/>
      <c r="H73" s="54"/>
      <c r="I73" s="55"/>
      <c r="K73" s="58"/>
      <c r="L73" s="59"/>
      <c r="M73" s="54"/>
      <c r="N73" s="55"/>
      <c r="P73" s="58"/>
      <c r="Q73" s="59"/>
      <c r="R73" s="54"/>
      <c r="S73" s="55"/>
    </row>
    <row r="74" spans="1:19" x14ac:dyDescent="0.25">
      <c r="A74" s="58"/>
      <c r="B74" s="59"/>
      <c r="C74" s="54"/>
      <c r="D74" s="55"/>
      <c r="F74" s="58"/>
      <c r="G74" s="59"/>
      <c r="H74" s="54"/>
      <c r="I74" s="55"/>
      <c r="K74" s="58"/>
      <c r="L74" s="59"/>
      <c r="M74" s="54"/>
      <c r="N74" s="55"/>
      <c r="P74" s="58"/>
      <c r="Q74" s="59"/>
      <c r="R74" s="54"/>
      <c r="S74" s="55"/>
    </row>
    <row r="75" spans="1:19" x14ac:dyDescent="0.25">
      <c r="A75" s="58"/>
      <c r="B75" s="59"/>
      <c r="C75" s="54"/>
      <c r="D75" s="55"/>
      <c r="F75" s="58"/>
      <c r="G75" s="59"/>
      <c r="H75" s="54"/>
      <c r="I75" s="55"/>
      <c r="K75" s="58"/>
      <c r="L75" s="59"/>
      <c r="M75" s="54"/>
      <c r="N75" s="55"/>
      <c r="P75" s="58"/>
      <c r="Q75" s="59"/>
      <c r="R75" s="54"/>
      <c r="S75" s="55"/>
    </row>
    <row r="76" spans="1:19" x14ac:dyDescent="0.25">
      <c r="A76" s="58"/>
      <c r="B76" s="59"/>
      <c r="C76" s="54"/>
      <c r="D76" s="55"/>
      <c r="F76" s="58"/>
      <c r="G76" s="59"/>
      <c r="H76" s="54"/>
      <c r="I76" s="55"/>
      <c r="K76" s="58"/>
      <c r="L76" s="59"/>
      <c r="M76" s="54"/>
      <c r="N76" s="55"/>
      <c r="P76" s="58"/>
      <c r="Q76" s="59"/>
      <c r="R76" s="54"/>
      <c r="S76" s="55"/>
    </row>
    <row r="77" spans="1:19" x14ac:dyDescent="0.25">
      <c r="A77" s="58"/>
      <c r="B77" s="59"/>
      <c r="C77" s="54"/>
      <c r="D77" s="55"/>
      <c r="F77" s="58"/>
      <c r="G77" s="59"/>
      <c r="H77" s="54"/>
      <c r="I77" s="55"/>
      <c r="K77" s="58"/>
      <c r="L77" s="59"/>
      <c r="M77" s="54"/>
      <c r="N77" s="55"/>
      <c r="P77" s="58"/>
      <c r="Q77" s="59"/>
      <c r="R77" s="54"/>
      <c r="S77" s="55"/>
    </row>
    <row r="78" spans="1:19" x14ac:dyDescent="0.25">
      <c r="A78" s="58"/>
      <c r="B78" s="59"/>
      <c r="C78" s="54"/>
      <c r="D78" s="55"/>
      <c r="F78" s="58"/>
      <c r="G78" s="59"/>
      <c r="H78" s="54"/>
      <c r="I78" s="55"/>
      <c r="K78" s="58"/>
      <c r="L78" s="59"/>
      <c r="M78" s="54"/>
      <c r="N78" s="55"/>
      <c r="P78" s="58"/>
      <c r="Q78" s="59"/>
      <c r="R78" s="54"/>
      <c r="S78" s="55"/>
    </row>
    <row r="79" spans="1:19" x14ac:dyDescent="0.25">
      <c r="A79" s="58"/>
      <c r="B79" s="59"/>
      <c r="C79" s="54"/>
      <c r="D79" s="55"/>
      <c r="F79" s="58"/>
      <c r="G79" s="59"/>
      <c r="H79" s="54"/>
      <c r="I79" s="55"/>
      <c r="K79" s="58"/>
      <c r="L79" s="59"/>
      <c r="M79" s="54"/>
      <c r="N79" s="55"/>
      <c r="P79" s="58"/>
      <c r="Q79" s="59"/>
      <c r="R79" s="54"/>
      <c r="S79" s="55"/>
    </row>
    <row r="80" spans="1:19" x14ac:dyDescent="0.25">
      <c r="A80" s="58"/>
      <c r="B80" s="59"/>
      <c r="C80" s="54"/>
      <c r="D80" s="55"/>
      <c r="F80" s="58"/>
      <c r="G80" s="59"/>
      <c r="H80" s="54"/>
      <c r="I80" s="55"/>
      <c r="K80" s="58"/>
      <c r="L80" s="59"/>
      <c r="M80" s="54"/>
      <c r="N80" s="55"/>
      <c r="P80" s="58"/>
      <c r="Q80" s="59"/>
      <c r="R80" s="54"/>
      <c r="S80" s="55"/>
    </row>
    <row r="81" spans="1:19" x14ac:dyDescent="0.25">
      <c r="A81" s="58"/>
      <c r="B81" s="59"/>
      <c r="C81" s="54"/>
      <c r="D81" s="55"/>
      <c r="F81" s="58"/>
      <c r="G81" s="59"/>
      <c r="H81" s="54"/>
      <c r="I81" s="55"/>
      <c r="K81" s="58"/>
      <c r="L81" s="59"/>
      <c r="M81" s="54"/>
      <c r="N81" s="55"/>
      <c r="P81" s="58"/>
      <c r="Q81" s="59"/>
      <c r="R81" s="54"/>
      <c r="S81" s="55"/>
    </row>
    <row r="82" spans="1:19" x14ac:dyDescent="0.25">
      <c r="A82" s="58"/>
      <c r="B82" s="59"/>
      <c r="C82" s="54"/>
      <c r="D82" s="55"/>
      <c r="F82" s="58"/>
      <c r="G82" s="59"/>
      <c r="H82" s="54"/>
      <c r="I82" s="55"/>
      <c r="K82" s="58"/>
      <c r="L82" s="59"/>
      <c r="M82" s="54"/>
      <c r="N82" s="55"/>
      <c r="P82" s="58"/>
      <c r="Q82" s="59"/>
      <c r="R82" s="54"/>
      <c r="S82" s="55"/>
    </row>
    <row r="83" spans="1:19" x14ac:dyDescent="0.25">
      <c r="A83" s="58"/>
      <c r="B83" s="59"/>
      <c r="C83" s="54"/>
      <c r="D83" s="55"/>
      <c r="F83" s="58"/>
      <c r="G83" s="59"/>
      <c r="H83" s="54"/>
      <c r="I83" s="55"/>
      <c r="K83" s="58"/>
      <c r="L83" s="59"/>
      <c r="M83" s="54"/>
      <c r="N83" s="55"/>
      <c r="P83" s="58"/>
      <c r="Q83" s="59"/>
      <c r="R83" s="54"/>
      <c r="S83" s="55"/>
    </row>
    <row r="84" spans="1:19" x14ac:dyDescent="0.25">
      <c r="A84" s="58"/>
      <c r="B84" s="59"/>
      <c r="C84" s="54"/>
      <c r="D84" s="55"/>
      <c r="F84" s="58"/>
      <c r="G84" s="59"/>
      <c r="H84" s="54"/>
      <c r="I84" s="55"/>
      <c r="K84" s="58"/>
      <c r="L84" s="59"/>
      <c r="M84" s="54"/>
      <c r="N84" s="55"/>
      <c r="P84" s="58"/>
      <c r="Q84" s="59"/>
      <c r="R84" s="54"/>
      <c r="S84" s="55"/>
    </row>
    <row r="85" spans="1:19" x14ac:dyDescent="0.25">
      <c r="A85" s="58"/>
      <c r="B85" s="59"/>
      <c r="C85" s="54"/>
      <c r="D85" s="55"/>
      <c r="F85" s="58"/>
      <c r="G85" s="59"/>
      <c r="H85" s="54"/>
      <c r="I85" s="55"/>
      <c r="K85" s="58"/>
      <c r="L85" s="59"/>
      <c r="M85" s="54"/>
      <c r="N85" s="55"/>
      <c r="P85" s="58"/>
      <c r="Q85" s="59"/>
      <c r="R85" s="54"/>
      <c r="S85" s="55"/>
    </row>
    <row r="86" spans="1:19" x14ac:dyDescent="0.25">
      <c r="A86" s="58"/>
      <c r="B86" s="59"/>
      <c r="C86" s="54"/>
      <c r="D86" s="55"/>
      <c r="F86" s="58"/>
      <c r="G86" s="59"/>
      <c r="H86" s="54"/>
      <c r="I86" s="55"/>
      <c r="K86" s="58"/>
      <c r="L86" s="59"/>
      <c r="M86" s="54"/>
      <c r="N86" s="55"/>
      <c r="P86" s="58"/>
      <c r="Q86" s="59"/>
      <c r="R86" s="54"/>
      <c r="S86" s="55"/>
    </row>
    <row r="87" spans="1:19" x14ac:dyDescent="0.25">
      <c r="A87" s="58"/>
      <c r="B87" s="59"/>
      <c r="C87" s="54"/>
      <c r="D87" s="55"/>
      <c r="F87" s="58"/>
      <c r="G87" s="59"/>
      <c r="H87" s="54"/>
      <c r="I87" s="55"/>
      <c r="K87" s="58"/>
      <c r="L87" s="59"/>
      <c r="M87" s="54"/>
      <c r="N87" s="55"/>
      <c r="P87" s="58"/>
      <c r="Q87" s="59"/>
      <c r="R87" s="54"/>
      <c r="S87" s="55"/>
    </row>
    <row r="88" spans="1:19" x14ac:dyDescent="0.25">
      <c r="A88" s="58"/>
      <c r="B88" s="59"/>
      <c r="C88" s="54"/>
      <c r="D88" s="55"/>
      <c r="F88" s="58"/>
      <c r="G88" s="59"/>
      <c r="H88" s="54"/>
      <c r="I88" s="55"/>
      <c r="K88" s="58"/>
      <c r="L88" s="59"/>
      <c r="M88" s="54"/>
      <c r="N88" s="55"/>
      <c r="P88" s="58"/>
      <c r="Q88" s="59"/>
      <c r="R88" s="54"/>
      <c r="S88" s="55"/>
    </row>
    <row r="89" spans="1:19" x14ac:dyDescent="0.25">
      <c r="A89" s="58"/>
      <c r="B89" s="59"/>
      <c r="C89" s="54"/>
      <c r="D89" s="55"/>
      <c r="F89" s="58"/>
      <c r="G89" s="59"/>
      <c r="H89" s="54"/>
      <c r="I89" s="55"/>
      <c r="K89" s="58"/>
      <c r="L89" s="59"/>
      <c r="M89" s="54"/>
      <c r="N89" s="55"/>
      <c r="P89" s="58"/>
      <c r="Q89" s="59"/>
      <c r="R89" s="54"/>
      <c r="S89" s="55"/>
    </row>
    <row r="90" spans="1:19" x14ac:dyDescent="0.25">
      <c r="A90" s="58"/>
      <c r="B90" s="59"/>
      <c r="C90" s="54"/>
      <c r="D90" s="55"/>
      <c r="F90" s="58"/>
      <c r="G90" s="59"/>
      <c r="H90" s="54"/>
      <c r="I90" s="55"/>
      <c r="K90" s="58"/>
      <c r="L90" s="59"/>
      <c r="M90" s="54"/>
      <c r="N90" s="55"/>
      <c r="P90" s="58"/>
      <c r="Q90" s="59"/>
      <c r="R90" s="54"/>
      <c r="S90" s="55"/>
    </row>
    <row r="91" spans="1:19" x14ac:dyDescent="0.25">
      <c r="A91" s="58"/>
      <c r="B91" s="59"/>
      <c r="C91" s="54"/>
      <c r="D91" s="55"/>
      <c r="F91" s="58"/>
      <c r="G91" s="59"/>
      <c r="H91" s="54"/>
      <c r="I91" s="55"/>
      <c r="K91" s="58"/>
      <c r="L91" s="59"/>
      <c r="M91" s="54"/>
      <c r="N91" s="55"/>
      <c r="P91" s="58"/>
      <c r="Q91" s="59"/>
      <c r="R91" s="54"/>
      <c r="S91" s="55"/>
    </row>
    <row r="92" spans="1:19" x14ac:dyDescent="0.25">
      <c r="A92" s="58"/>
      <c r="B92" s="59"/>
      <c r="C92" s="54"/>
      <c r="D92" s="55"/>
      <c r="F92" s="58"/>
      <c r="G92" s="59"/>
      <c r="H92" s="54"/>
      <c r="I92" s="55"/>
      <c r="K92" s="58"/>
      <c r="L92" s="59"/>
      <c r="M92" s="54"/>
      <c r="N92" s="55"/>
      <c r="P92" s="58"/>
      <c r="Q92" s="59"/>
      <c r="R92" s="54"/>
      <c r="S92" s="55"/>
    </row>
    <row r="93" spans="1:19" x14ac:dyDescent="0.25">
      <c r="A93" s="58"/>
      <c r="B93" s="59"/>
      <c r="C93" s="54"/>
      <c r="D93" s="55"/>
      <c r="F93" s="58"/>
      <c r="G93" s="59"/>
      <c r="H93" s="54"/>
      <c r="I93" s="55"/>
      <c r="K93" s="58"/>
      <c r="L93" s="59"/>
      <c r="M93" s="54"/>
      <c r="N93" s="55"/>
      <c r="P93" s="58"/>
      <c r="Q93" s="59"/>
      <c r="R93" s="54"/>
      <c r="S93" s="55"/>
    </row>
    <row r="94" spans="1:19" x14ac:dyDescent="0.25">
      <c r="A94" s="58"/>
      <c r="B94" s="59"/>
      <c r="C94" s="54"/>
      <c r="D94" s="55"/>
      <c r="F94" s="58"/>
      <c r="G94" s="59"/>
      <c r="H94" s="54"/>
      <c r="I94" s="55"/>
      <c r="K94" s="58"/>
      <c r="L94" s="59"/>
      <c r="M94" s="54"/>
      <c r="N94" s="55"/>
      <c r="P94" s="58"/>
      <c r="Q94" s="59"/>
      <c r="R94" s="54"/>
      <c r="S94" s="55"/>
    </row>
    <row r="95" spans="1:19" x14ac:dyDescent="0.25">
      <c r="A95" s="58"/>
      <c r="B95" s="59"/>
      <c r="C95" s="54"/>
      <c r="D95" s="55"/>
      <c r="F95" s="58"/>
      <c r="G95" s="59"/>
      <c r="H95" s="54"/>
      <c r="I95" s="55"/>
      <c r="K95" s="58"/>
      <c r="L95" s="59"/>
      <c r="M95" s="54"/>
      <c r="N95" s="55"/>
      <c r="P95" s="58"/>
      <c r="Q95" s="59"/>
      <c r="R95" s="54"/>
      <c r="S95" s="55"/>
    </row>
    <row r="96" spans="1:19" x14ac:dyDescent="0.25">
      <c r="A96" s="58"/>
      <c r="B96" s="59"/>
      <c r="C96" s="54"/>
      <c r="D96" s="55"/>
      <c r="F96" s="58"/>
      <c r="G96" s="59"/>
      <c r="H96" s="54"/>
      <c r="I96" s="55"/>
      <c r="K96" s="58"/>
      <c r="L96" s="59"/>
      <c r="M96" s="54"/>
      <c r="N96" s="55"/>
      <c r="P96" s="58"/>
      <c r="Q96" s="59"/>
      <c r="R96" s="54"/>
      <c r="S96" s="55"/>
    </row>
    <row r="97" spans="1:19" x14ac:dyDescent="0.25">
      <c r="A97" s="58"/>
      <c r="B97" s="59"/>
      <c r="C97" s="54"/>
      <c r="D97" s="55"/>
      <c r="F97" s="58"/>
      <c r="G97" s="59"/>
      <c r="H97" s="54"/>
      <c r="I97" s="55"/>
      <c r="K97" s="58"/>
      <c r="L97" s="59"/>
      <c r="M97" s="54"/>
      <c r="N97" s="55"/>
      <c r="P97" s="58"/>
      <c r="Q97" s="59"/>
      <c r="R97" s="54"/>
      <c r="S97" s="55"/>
    </row>
    <row r="98" spans="1:19" x14ac:dyDescent="0.25">
      <c r="A98" s="58"/>
      <c r="B98" s="59"/>
      <c r="C98" s="54"/>
      <c r="D98" s="55"/>
      <c r="F98" s="58"/>
      <c r="G98" s="59"/>
      <c r="H98" s="54"/>
      <c r="I98" s="55"/>
      <c r="K98" s="58"/>
      <c r="L98" s="59"/>
      <c r="M98" s="54"/>
      <c r="N98" s="55"/>
      <c r="P98" s="58"/>
      <c r="Q98" s="59"/>
      <c r="R98" s="54"/>
      <c r="S98" s="55"/>
    </row>
    <row r="99" spans="1:19" x14ac:dyDescent="0.25">
      <c r="A99" s="58"/>
      <c r="B99" s="59"/>
      <c r="C99" s="54"/>
      <c r="D99" s="55"/>
      <c r="F99" s="58"/>
      <c r="G99" s="59"/>
      <c r="H99" s="54"/>
      <c r="I99" s="55"/>
      <c r="K99" s="58"/>
      <c r="L99" s="59"/>
      <c r="M99" s="54"/>
      <c r="N99" s="55"/>
      <c r="P99" s="58"/>
      <c r="Q99" s="59"/>
      <c r="R99" s="54"/>
      <c r="S99" s="55"/>
    </row>
    <row r="100" spans="1:19" x14ac:dyDescent="0.25">
      <c r="A100" s="58"/>
      <c r="B100" s="59"/>
      <c r="C100" s="54"/>
      <c r="D100" s="55"/>
      <c r="F100" s="58"/>
      <c r="G100" s="59"/>
      <c r="H100" s="54"/>
      <c r="I100" s="55"/>
      <c r="K100" s="58"/>
      <c r="L100" s="59"/>
      <c r="M100" s="54"/>
      <c r="N100" s="55"/>
      <c r="P100" s="58"/>
      <c r="Q100" s="59"/>
      <c r="R100" s="54"/>
      <c r="S100" s="55"/>
    </row>
    <row r="101" spans="1:19" x14ac:dyDescent="0.25">
      <c r="A101" s="58"/>
      <c r="B101" s="59"/>
      <c r="C101" s="54"/>
      <c r="D101" s="55"/>
      <c r="F101" s="58"/>
      <c r="G101" s="59"/>
      <c r="H101" s="54"/>
      <c r="I101" s="55"/>
      <c r="K101" s="58"/>
      <c r="L101" s="59"/>
      <c r="M101" s="54"/>
      <c r="N101" s="55"/>
      <c r="P101" s="58"/>
      <c r="Q101" s="59"/>
      <c r="R101" s="54"/>
      <c r="S101" s="55"/>
    </row>
    <row r="102" spans="1:19" x14ac:dyDescent="0.25">
      <c r="A102" s="58"/>
      <c r="B102" s="59"/>
      <c r="C102" s="54"/>
      <c r="D102" s="55"/>
      <c r="F102" s="58"/>
      <c r="G102" s="59"/>
      <c r="H102" s="54"/>
      <c r="I102" s="55"/>
      <c r="K102" s="58"/>
      <c r="L102" s="59"/>
      <c r="M102" s="54"/>
      <c r="N102" s="55"/>
      <c r="P102" s="58"/>
      <c r="Q102" s="59"/>
      <c r="R102" s="54"/>
      <c r="S102" s="55"/>
    </row>
    <row r="103" spans="1:19" x14ac:dyDescent="0.25">
      <c r="A103" s="58"/>
      <c r="B103" s="59"/>
      <c r="C103" s="54"/>
      <c r="D103" s="55"/>
      <c r="F103" s="58"/>
      <c r="G103" s="59"/>
      <c r="H103" s="54"/>
      <c r="I103" s="55"/>
      <c r="K103" s="58"/>
      <c r="L103" s="59"/>
      <c r="M103" s="54"/>
      <c r="N103" s="55"/>
      <c r="P103" s="58"/>
      <c r="Q103" s="59"/>
      <c r="R103" s="54"/>
      <c r="S103" s="55"/>
    </row>
    <row r="104" spans="1:19" x14ac:dyDescent="0.25">
      <c r="A104" s="58"/>
      <c r="B104" s="59"/>
      <c r="C104" s="54"/>
      <c r="D104" s="55"/>
      <c r="F104" s="58"/>
      <c r="G104" s="59"/>
      <c r="H104" s="54"/>
      <c r="I104" s="55"/>
      <c r="K104" s="58"/>
      <c r="L104" s="59"/>
      <c r="M104" s="54"/>
      <c r="N104" s="55"/>
      <c r="P104" s="58"/>
      <c r="Q104" s="59"/>
      <c r="R104" s="54"/>
      <c r="S104" s="55"/>
    </row>
    <row r="105" spans="1:19" x14ac:dyDescent="0.25">
      <c r="A105" s="58"/>
      <c r="B105" s="59"/>
      <c r="C105" s="54"/>
      <c r="D105" s="55"/>
      <c r="F105" s="58"/>
      <c r="G105" s="59"/>
      <c r="H105" s="54"/>
      <c r="I105" s="55"/>
      <c r="K105" s="58"/>
      <c r="L105" s="59"/>
      <c r="M105" s="54"/>
      <c r="N105" s="55"/>
      <c r="P105" s="58"/>
      <c r="Q105" s="59"/>
      <c r="R105" s="54"/>
      <c r="S105" s="55"/>
    </row>
    <row r="106" spans="1:19" x14ac:dyDescent="0.25">
      <c r="A106" s="58"/>
      <c r="B106" s="59"/>
      <c r="C106" s="54"/>
      <c r="D106" s="55"/>
      <c r="F106" s="58"/>
      <c r="G106" s="59"/>
      <c r="H106" s="54"/>
      <c r="I106" s="55"/>
      <c r="K106" s="58"/>
      <c r="L106" s="59"/>
      <c r="M106" s="54"/>
      <c r="N106" s="55"/>
      <c r="P106" s="58"/>
      <c r="Q106" s="59"/>
      <c r="R106" s="54"/>
      <c r="S106" s="55"/>
    </row>
    <row r="107" spans="1:19" x14ac:dyDescent="0.25">
      <c r="A107" s="58"/>
      <c r="B107" s="59"/>
      <c r="C107" s="54"/>
      <c r="D107" s="55"/>
      <c r="F107" s="58"/>
      <c r="G107" s="59"/>
      <c r="H107" s="54"/>
      <c r="I107" s="55"/>
      <c r="K107" s="58"/>
      <c r="L107" s="59"/>
      <c r="M107" s="54"/>
      <c r="N107" s="55"/>
      <c r="P107" s="58"/>
      <c r="Q107" s="59"/>
      <c r="R107" s="54"/>
      <c r="S107" s="55"/>
    </row>
    <row r="108" spans="1:19" x14ac:dyDescent="0.25">
      <c r="A108" s="58"/>
      <c r="B108" s="59"/>
      <c r="C108" s="54"/>
      <c r="D108" s="55"/>
      <c r="F108" s="58"/>
      <c r="G108" s="59"/>
      <c r="H108" s="54"/>
      <c r="I108" s="55"/>
      <c r="K108" s="58"/>
      <c r="L108" s="59"/>
      <c r="M108" s="54"/>
      <c r="N108" s="55"/>
      <c r="P108" s="58"/>
      <c r="Q108" s="59"/>
      <c r="R108" s="54"/>
      <c r="S108" s="55"/>
    </row>
    <row r="109" spans="1:19" x14ac:dyDescent="0.25">
      <c r="A109" s="58"/>
      <c r="B109" s="59"/>
      <c r="C109" s="54"/>
      <c r="D109" s="55"/>
      <c r="F109" s="58"/>
      <c r="G109" s="59"/>
      <c r="H109" s="54"/>
      <c r="I109" s="55"/>
      <c r="K109" s="58"/>
      <c r="L109" s="59"/>
      <c r="M109" s="54"/>
      <c r="N109" s="55"/>
      <c r="P109" s="58"/>
      <c r="Q109" s="59"/>
      <c r="R109" s="54"/>
      <c r="S109" s="55"/>
    </row>
    <row r="110" spans="1:19" x14ac:dyDescent="0.25">
      <c r="A110" s="58"/>
      <c r="B110" s="59"/>
      <c r="C110" s="54"/>
      <c r="D110" s="55"/>
      <c r="F110" s="58"/>
      <c r="G110" s="59"/>
      <c r="H110" s="54"/>
      <c r="I110" s="55"/>
      <c r="K110" s="58"/>
      <c r="L110" s="59"/>
      <c r="M110" s="54"/>
      <c r="N110" s="55"/>
      <c r="P110" s="58"/>
      <c r="Q110" s="59"/>
      <c r="R110" s="54"/>
      <c r="S110" s="55"/>
    </row>
    <row r="111" spans="1:19" x14ac:dyDescent="0.25">
      <c r="A111" s="58"/>
      <c r="B111" s="59"/>
      <c r="C111" s="54"/>
      <c r="D111" s="55"/>
      <c r="F111" s="58"/>
      <c r="G111" s="59"/>
      <c r="H111" s="54"/>
      <c r="I111" s="55"/>
      <c r="K111" s="58"/>
      <c r="L111" s="59"/>
      <c r="M111" s="54"/>
      <c r="N111" s="55"/>
      <c r="P111" s="58"/>
      <c r="Q111" s="59"/>
      <c r="R111" s="54"/>
      <c r="S111" s="55"/>
    </row>
    <row r="112" spans="1:19" x14ac:dyDescent="0.25">
      <c r="A112" s="58"/>
      <c r="B112" s="59"/>
      <c r="C112" s="54"/>
      <c r="D112" s="55"/>
      <c r="F112" s="58"/>
      <c r="G112" s="59"/>
      <c r="H112" s="54"/>
      <c r="I112" s="55"/>
      <c r="K112" s="58"/>
      <c r="L112" s="59"/>
      <c r="M112" s="54"/>
      <c r="N112" s="55"/>
      <c r="P112" s="58"/>
      <c r="Q112" s="59"/>
      <c r="R112" s="54"/>
      <c r="S112" s="55"/>
    </row>
    <row r="113" spans="1:19" x14ac:dyDescent="0.25">
      <c r="A113" s="58"/>
      <c r="B113" s="59"/>
      <c r="C113" s="54"/>
      <c r="D113" s="55"/>
      <c r="F113" s="58"/>
      <c r="G113" s="59"/>
      <c r="H113" s="54"/>
      <c r="I113" s="55"/>
      <c r="K113" s="58"/>
      <c r="L113" s="59"/>
      <c r="M113" s="54"/>
      <c r="N113" s="55"/>
      <c r="P113" s="58"/>
      <c r="Q113" s="59"/>
      <c r="R113" s="54"/>
      <c r="S113" s="55"/>
    </row>
    <row r="114" spans="1:19" x14ac:dyDescent="0.25">
      <c r="A114" s="58"/>
      <c r="B114" s="59"/>
      <c r="C114" s="54"/>
      <c r="D114" s="55"/>
      <c r="F114" s="58"/>
      <c r="G114" s="59"/>
      <c r="H114" s="54"/>
      <c r="I114" s="55"/>
      <c r="K114" s="58"/>
      <c r="L114" s="59"/>
      <c r="M114" s="54"/>
      <c r="N114" s="55"/>
      <c r="P114" s="58"/>
      <c r="Q114" s="59"/>
      <c r="R114" s="54"/>
      <c r="S114" s="55"/>
    </row>
    <row r="115" spans="1:19" x14ac:dyDescent="0.25">
      <c r="A115" s="58"/>
      <c r="B115" s="59"/>
      <c r="C115" s="54"/>
      <c r="D115" s="55"/>
      <c r="F115" s="58"/>
      <c r="G115" s="59"/>
      <c r="H115" s="54"/>
      <c r="I115" s="55"/>
      <c r="K115" s="58"/>
      <c r="L115" s="59"/>
      <c r="M115" s="54"/>
      <c r="N115" s="55"/>
      <c r="P115" s="58"/>
      <c r="Q115" s="59"/>
      <c r="R115" s="54"/>
      <c r="S115" s="55"/>
    </row>
    <row r="116" spans="1:19" x14ac:dyDescent="0.25">
      <c r="A116" s="58"/>
      <c r="B116" s="59"/>
      <c r="C116" s="54"/>
      <c r="D116" s="55"/>
      <c r="F116" s="58"/>
      <c r="G116" s="59"/>
      <c r="H116" s="54"/>
      <c r="I116" s="55"/>
      <c r="K116" s="58"/>
      <c r="L116" s="59"/>
      <c r="M116" s="54"/>
      <c r="N116" s="55"/>
      <c r="P116" s="58"/>
      <c r="Q116" s="59"/>
      <c r="R116" s="54"/>
      <c r="S116" s="55"/>
    </row>
    <row r="117" spans="1:19" x14ac:dyDescent="0.25">
      <c r="A117" s="58"/>
      <c r="B117" s="59"/>
      <c r="C117" s="54"/>
      <c r="D117" s="55"/>
      <c r="F117" s="58"/>
      <c r="G117" s="59"/>
      <c r="H117" s="54"/>
      <c r="I117" s="55"/>
      <c r="K117" s="58"/>
      <c r="L117" s="59"/>
      <c r="M117" s="54"/>
      <c r="N117" s="55"/>
      <c r="P117" s="58"/>
      <c r="Q117" s="59"/>
      <c r="R117" s="54"/>
      <c r="S117" s="55"/>
    </row>
    <row r="118" spans="1:19" ht="15.75" thickBot="1" x14ac:dyDescent="0.3">
      <c r="A118" s="60"/>
      <c r="B118" s="61"/>
      <c r="C118" s="56"/>
      <c r="D118" s="57"/>
      <c r="F118" s="60"/>
      <c r="G118" s="61"/>
      <c r="H118" s="56"/>
      <c r="I118" s="57"/>
      <c r="K118" s="58"/>
      <c r="L118" s="59"/>
      <c r="M118" s="54"/>
      <c r="N118" s="55"/>
      <c r="P118" s="58"/>
      <c r="Q118" s="59"/>
      <c r="R118" s="54"/>
      <c r="S118" s="55"/>
    </row>
    <row r="119" spans="1:19" x14ac:dyDescent="0.25">
      <c r="K119" s="58"/>
      <c r="L119" s="59"/>
      <c r="M119" s="54"/>
      <c r="N119" s="55"/>
      <c r="P119" s="58"/>
      <c r="Q119" s="59"/>
      <c r="R119" s="54"/>
      <c r="S119" s="55"/>
    </row>
    <row r="120" spans="1:19" x14ac:dyDescent="0.25">
      <c r="K120" s="58"/>
      <c r="L120" s="59"/>
      <c r="M120" s="54"/>
      <c r="N120" s="55"/>
      <c r="P120" s="58"/>
      <c r="Q120" s="59"/>
      <c r="R120" s="54"/>
      <c r="S120" s="55"/>
    </row>
    <row r="121" spans="1:19" x14ac:dyDescent="0.25">
      <c r="K121" s="58"/>
      <c r="L121" s="59"/>
      <c r="M121" s="54"/>
      <c r="N121" s="55"/>
      <c r="P121" s="58"/>
      <c r="Q121" s="59"/>
      <c r="R121" s="54"/>
      <c r="S121" s="55"/>
    </row>
    <row r="122" spans="1:19" x14ac:dyDescent="0.25">
      <c r="K122" s="58"/>
      <c r="L122" s="59"/>
      <c r="M122" s="54"/>
      <c r="N122" s="55"/>
      <c r="P122" s="58"/>
      <c r="Q122" s="59"/>
      <c r="R122" s="54"/>
      <c r="S122" s="55"/>
    </row>
    <row r="123" spans="1:19" x14ac:dyDescent="0.25">
      <c r="K123" s="58"/>
      <c r="L123" s="59"/>
      <c r="M123" s="54"/>
      <c r="N123" s="55"/>
      <c r="P123" s="58"/>
      <c r="Q123" s="59"/>
      <c r="R123" s="54"/>
      <c r="S123" s="55"/>
    </row>
    <row r="124" spans="1:19" x14ac:dyDescent="0.25">
      <c r="K124" s="58"/>
      <c r="L124" s="59"/>
      <c r="M124" s="54"/>
      <c r="N124" s="55"/>
      <c r="P124" s="58"/>
      <c r="Q124" s="59"/>
      <c r="R124" s="54"/>
      <c r="S124" s="55"/>
    </row>
    <row r="125" spans="1:19" x14ac:dyDescent="0.25">
      <c r="K125" s="58"/>
      <c r="L125" s="59"/>
      <c r="M125" s="54"/>
      <c r="N125" s="55"/>
      <c r="P125" s="58"/>
      <c r="Q125" s="59"/>
      <c r="R125" s="54"/>
      <c r="S125" s="55"/>
    </row>
    <row r="126" spans="1:19" x14ac:dyDescent="0.25">
      <c r="K126" s="58"/>
      <c r="L126" s="59"/>
      <c r="M126" s="54"/>
      <c r="N126" s="55"/>
      <c r="P126" s="58"/>
      <c r="Q126" s="59"/>
      <c r="R126" s="54"/>
      <c r="S126" s="55"/>
    </row>
    <row r="127" spans="1:19" x14ac:dyDescent="0.25">
      <c r="K127" s="58"/>
      <c r="L127" s="59"/>
      <c r="M127" s="54"/>
      <c r="N127" s="55"/>
      <c r="P127" s="58"/>
      <c r="Q127" s="59"/>
      <c r="R127" s="54"/>
      <c r="S127" s="55"/>
    </row>
    <row r="128" spans="1:19" x14ac:dyDescent="0.25">
      <c r="K128" s="58"/>
      <c r="L128" s="59"/>
      <c r="M128" s="54"/>
      <c r="N128" s="55"/>
      <c r="P128" s="58"/>
      <c r="Q128" s="59"/>
      <c r="R128" s="54"/>
      <c r="S128" s="55"/>
    </row>
    <row r="129" spans="11:19" x14ac:dyDescent="0.25">
      <c r="K129" s="58"/>
      <c r="L129" s="59"/>
      <c r="M129" s="54"/>
      <c r="N129" s="55"/>
      <c r="P129" s="58"/>
      <c r="Q129" s="59"/>
      <c r="R129" s="54"/>
      <c r="S129" s="55"/>
    </row>
    <row r="130" spans="11:19" x14ac:dyDescent="0.25">
      <c r="K130" s="58"/>
      <c r="L130" s="59"/>
      <c r="M130" s="54"/>
      <c r="N130" s="55"/>
      <c r="P130" s="58"/>
      <c r="Q130" s="59"/>
      <c r="R130" s="54"/>
      <c r="S130" s="55"/>
    </row>
    <row r="131" spans="11:19" x14ac:dyDescent="0.25">
      <c r="K131" s="58"/>
      <c r="L131" s="59"/>
      <c r="M131" s="54"/>
      <c r="N131" s="55"/>
      <c r="P131" s="58"/>
      <c r="Q131" s="59"/>
      <c r="R131" s="54"/>
      <c r="S131" s="55"/>
    </row>
    <row r="132" spans="11:19" x14ac:dyDescent="0.25">
      <c r="K132" s="58"/>
      <c r="L132" s="59"/>
      <c r="M132" s="54"/>
      <c r="N132" s="55"/>
      <c r="P132" s="58"/>
      <c r="Q132" s="59"/>
      <c r="R132" s="54"/>
      <c r="S132" s="55"/>
    </row>
    <row r="133" spans="11:19" x14ac:dyDescent="0.25">
      <c r="K133" s="58"/>
      <c r="L133" s="59"/>
      <c r="M133" s="54"/>
      <c r="N133" s="55"/>
      <c r="P133" s="58"/>
      <c r="Q133" s="59"/>
      <c r="R133" s="54"/>
      <c r="S133" s="55"/>
    </row>
    <row r="134" spans="11:19" x14ac:dyDescent="0.25">
      <c r="K134" s="58"/>
      <c r="L134" s="59"/>
      <c r="M134" s="54"/>
      <c r="N134" s="55"/>
      <c r="P134" s="58"/>
      <c r="Q134" s="59"/>
      <c r="R134" s="54"/>
      <c r="S134" s="55"/>
    </row>
    <row r="135" spans="11:19" x14ac:dyDescent="0.25">
      <c r="K135" s="58"/>
      <c r="L135" s="59"/>
      <c r="M135" s="54"/>
      <c r="N135" s="55"/>
      <c r="P135" s="58"/>
      <c r="Q135" s="59"/>
      <c r="R135" s="54"/>
      <c r="S135" s="55"/>
    </row>
    <row r="136" spans="11:19" x14ac:dyDescent="0.25">
      <c r="K136" s="58"/>
      <c r="L136" s="59"/>
      <c r="M136" s="54"/>
      <c r="N136" s="55"/>
      <c r="P136" s="58"/>
      <c r="Q136" s="59"/>
      <c r="R136" s="54"/>
      <c r="S136" s="55"/>
    </row>
    <row r="137" spans="11:19" x14ac:dyDescent="0.25">
      <c r="K137" s="58"/>
      <c r="L137" s="59"/>
      <c r="M137" s="54"/>
      <c r="N137" s="55"/>
      <c r="P137" s="58"/>
      <c r="Q137" s="59"/>
      <c r="R137" s="54"/>
      <c r="S137" s="55"/>
    </row>
    <row r="138" spans="11:19" x14ac:dyDescent="0.25">
      <c r="K138" s="58"/>
      <c r="L138" s="59"/>
      <c r="M138" s="54"/>
      <c r="N138" s="55"/>
      <c r="P138" s="58"/>
      <c r="Q138" s="59"/>
      <c r="R138" s="54"/>
      <c r="S138" s="55"/>
    </row>
    <row r="139" spans="11:19" x14ac:dyDescent="0.25">
      <c r="K139" s="58"/>
      <c r="L139" s="59"/>
      <c r="M139" s="54"/>
      <c r="N139" s="55"/>
      <c r="P139" s="58"/>
      <c r="Q139" s="59"/>
      <c r="R139" s="54"/>
      <c r="S139" s="55"/>
    </row>
    <row r="140" spans="11:19" x14ac:dyDescent="0.25">
      <c r="K140" s="58"/>
      <c r="L140" s="59"/>
      <c r="M140" s="54"/>
      <c r="N140" s="55"/>
      <c r="P140" s="58"/>
      <c r="Q140" s="59"/>
      <c r="R140" s="54"/>
      <c r="S140" s="55"/>
    </row>
    <row r="141" spans="11:19" x14ac:dyDescent="0.25">
      <c r="K141" s="58"/>
      <c r="L141" s="59"/>
      <c r="M141" s="54"/>
      <c r="N141" s="55"/>
      <c r="P141" s="58"/>
      <c r="Q141" s="59"/>
      <c r="R141" s="54"/>
      <c r="S141" s="55"/>
    </row>
    <row r="142" spans="11:19" x14ac:dyDescent="0.25">
      <c r="K142" s="58"/>
      <c r="L142" s="59"/>
      <c r="M142" s="54"/>
      <c r="N142" s="55"/>
      <c r="P142" s="58"/>
      <c r="Q142" s="59"/>
      <c r="R142" s="54"/>
      <c r="S142" s="55"/>
    </row>
    <row r="143" spans="11:19" x14ac:dyDescent="0.25">
      <c r="K143" s="58"/>
      <c r="L143" s="59"/>
      <c r="M143" s="54"/>
      <c r="N143" s="55"/>
      <c r="P143" s="58"/>
      <c r="Q143" s="59"/>
      <c r="R143" s="54"/>
      <c r="S143" s="55"/>
    </row>
    <row r="144" spans="11:19" x14ac:dyDescent="0.25">
      <c r="K144" s="58"/>
      <c r="L144" s="59"/>
      <c r="M144" s="54"/>
      <c r="N144" s="55"/>
      <c r="P144" s="58"/>
      <c r="Q144" s="59"/>
      <c r="R144" s="54"/>
      <c r="S144" s="55"/>
    </row>
    <row r="145" spans="11:19" x14ac:dyDescent="0.25">
      <c r="K145" s="58"/>
      <c r="L145" s="59"/>
      <c r="M145" s="54"/>
      <c r="N145" s="55"/>
      <c r="P145" s="58"/>
      <c r="Q145" s="59"/>
      <c r="R145" s="54"/>
      <c r="S145" s="55"/>
    </row>
    <row r="146" spans="11:19" x14ac:dyDescent="0.25">
      <c r="K146" s="58"/>
      <c r="L146" s="59"/>
      <c r="M146" s="54"/>
      <c r="N146" s="55"/>
      <c r="P146" s="58"/>
      <c r="Q146" s="59"/>
      <c r="R146" s="54"/>
      <c r="S146" s="55"/>
    </row>
    <row r="147" spans="11:19" x14ac:dyDescent="0.25">
      <c r="K147" s="58"/>
      <c r="L147" s="59"/>
      <c r="M147" s="54"/>
      <c r="N147" s="55"/>
      <c r="P147" s="58"/>
      <c r="Q147" s="59"/>
      <c r="R147" s="54"/>
      <c r="S147" s="55"/>
    </row>
    <row r="148" spans="11:19" x14ac:dyDescent="0.25">
      <c r="K148" s="58"/>
      <c r="L148" s="59"/>
      <c r="M148" s="54"/>
      <c r="N148" s="55"/>
      <c r="P148" s="58"/>
      <c r="Q148" s="59"/>
      <c r="R148" s="54"/>
      <c r="S148" s="55"/>
    </row>
    <row r="149" spans="11:19" x14ac:dyDescent="0.25">
      <c r="K149" s="58"/>
      <c r="L149" s="59"/>
      <c r="M149" s="54"/>
      <c r="N149" s="55"/>
      <c r="P149" s="58"/>
      <c r="Q149" s="59"/>
      <c r="R149" s="54"/>
      <c r="S149" s="55"/>
    </row>
    <row r="150" spans="11:19" x14ac:dyDescent="0.25">
      <c r="K150" s="58"/>
      <c r="L150" s="59"/>
      <c r="M150" s="54"/>
      <c r="N150" s="55"/>
      <c r="P150" s="58"/>
      <c r="Q150" s="59"/>
      <c r="R150" s="54"/>
      <c r="S150" s="55"/>
    </row>
    <row r="151" spans="11:19" x14ac:dyDescent="0.25">
      <c r="K151" s="58"/>
      <c r="L151" s="59"/>
      <c r="M151" s="54"/>
      <c r="N151" s="55"/>
      <c r="P151" s="58"/>
      <c r="Q151" s="59"/>
      <c r="R151" s="54"/>
      <c r="S151" s="55"/>
    </row>
    <row r="152" spans="11:19" x14ac:dyDescent="0.25">
      <c r="K152" s="58"/>
      <c r="L152" s="59"/>
      <c r="M152" s="54"/>
      <c r="N152" s="55"/>
      <c r="P152" s="58"/>
      <c r="Q152" s="59"/>
      <c r="R152" s="54"/>
      <c r="S152" s="55"/>
    </row>
    <row r="153" spans="11:19" x14ac:dyDescent="0.25">
      <c r="K153" s="58"/>
      <c r="L153" s="59"/>
      <c r="M153" s="54"/>
      <c r="N153" s="55"/>
      <c r="P153" s="58"/>
      <c r="Q153" s="59"/>
      <c r="R153" s="54"/>
      <c r="S153" s="55"/>
    </row>
    <row r="154" spans="11:19" x14ac:dyDescent="0.25">
      <c r="K154" s="58"/>
      <c r="L154" s="59"/>
      <c r="M154" s="54"/>
      <c r="N154" s="55"/>
      <c r="P154" s="58"/>
      <c r="Q154" s="59"/>
      <c r="R154" s="54"/>
      <c r="S154" s="55"/>
    </row>
    <row r="155" spans="11:19" x14ac:dyDescent="0.25">
      <c r="K155" s="58"/>
      <c r="L155" s="59"/>
      <c r="M155" s="54"/>
      <c r="N155" s="55"/>
      <c r="P155" s="58"/>
      <c r="Q155" s="59"/>
      <c r="R155" s="54"/>
      <c r="S155" s="55"/>
    </row>
    <row r="156" spans="11:19" x14ac:dyDescent="0.25">
      <c r="K156" s="58"/>
      <c r="L156" s="59"/>
      <c r="M156" s="54"/>
      <c r="N156" s="55"/>
      <c r="P156" s="58"/>
      <c r="Q156" s="59"/>
      <c r="R156" s="54"/>
      <c r="S156" s="55"/>
    </row>
    <row r="157" spans="11:19" x14ac:dyDescent="0.25">
      <c r="K157" s="58"/>
      <c r="L157" s="59"/>
      <c r="M157" s="54"/>
      <c r="N157" s="55"/>
      <c r="P157" s="58"/>
      <c r="Q157" s="59"/>
      <c r="R157" s="54"/>
      <c r="S157" s="55"/>
    </row>
    <row r="158" spans="11:19" x14ac:dyDescent="0.25">
      <c r="K158" s="58"/>
      <c r="L158" s="59"/>
      <c r="M158" s="54"/>
      <c r="N158" s="55"/>
      <c r="P158" s="58"/>
      <c r="Q158" s="59"/>
      <c r="R158" s="54"/>
      <c r="S158" s="55"/>
    </row>
    <row r="159" spans="11:19" x14ac:dyDescent="0.25">
      <c r="K159" s="58"/>
      <c r="L159" s="59"/>
      <c r="M159" s="54"/>
      <c r="N159" s="55"/>
      <c r="P159" s="58"/>
      <c r="Q159" s="59"/>
      <c r="R159" s="54"/>
      <c r="S159" s="55"/>
    </row>
    <row r="160" spans="11:19" x14ac:dyDescent="0.25">
      <c r="K160" s="58"/>
      <c r="L160" s="59"/>
      <c r="M160" s="54"/>
      <c r="N160" s="55"/>
      <c r="P160" s="58"/>
      <c r="Q160" s="59"/>
      <c r="R160" s="54"/>
      <c r="S160" s="55"/>
    </row>
    <row r="161" spans="11:19" x14ac:dyDescent="0.25">
      <c r="K161" s="58"/>
      <c r="L161" s="59"/>
      <c r="M161" s="54"/>
      <c r="N161" s="55"/>
      <c r="P161" s="58"/>
      <c r="Q161" s="59"/>
      <c r="R161" s="54"/>
      <c r="S161" s="55"/>
    </row>
    <row r="162" spans="11:19" x14ac:dyDescent="0.25">
      <c r="K162" s="58"/>
      <c r="L162" s="59"/>
      <c r="M162" s="54"/>
      <c r="N162" s="55"/>
      <c r="P162" s="58"/>
      <c r="Q162" s="59"/>
      <c r="R162" s="54"/>
      <c r="S162" s="55"/>
    </row>
    <row r="163" spans="11:19" x14ac:dyDescent="0.25">
      <c r="K163" s="58"/>
      <c r="L163" s="59"/>
      <c r="M163" s="54"/>
      <c r="N163" s="55"/>
      <c r="P163" s="58"/>
      <c r="Q163" s="59"/>
      <c r="R163" s="54"/>
      <c r="S163" s="55"/>
    </row>
    <row r="164" spans="11:19" x14ac:dyDescent="0.25">
      <c r="K164" s="58"/>
      <c r="L164" s="59"/>
      <c r="M164" s="54"/>
      <c r="N164" s="55"/>
      <c r="P164" s="58"/>
      <c r="Q164" s="59"/>
      <c r="R164" s="54"/>
      <c r="S164" s="55"/>
    </row>
    <row r="165" spans="11:19" x14ac:dyDescent="0.25">
      <c r="K165" s="58"/>
      <c r="L165" s="59"/>
      <c r="M165" s="54"/>
      <c r="N165" s="55"/>
      <c r="P165" s="58"/>
      <c r="Q165" s="59"/>
      <c r="R165" s="54"/>
      <c r="S165" s="55"/>
    </row>
    <row r="166" spans="11:19" x14ac:dyDescent="0.25">
      <c r="K166" s="58"/>
      <c r="L166" s="59"/>
      <c r="M166" s="54"/>
      <c r="N166" s="55"/>
      <c r="P166" s="58"/>
      <c r="Q166" s="59"/>
      <c r="R166" s="54"/>
      <c r="S166" s="55"/>
    </row>
    <row r="167" spans="11:19" x14ac:dyDescent="0.25">
      <c r="K167" s="58"/>
      <c r="L167" s="59"/>
      <c r="M167" s="54"/>
      <c r="N167" s="55"/>
      <c r="P167" s="58"/>
      <c r="Q167" s="59"/>
      <c r="R167" s="54"/>
      <c r="S167" s="55"/>
    </row>
    <row r="168" spans="11:19" x14ac:dyDescent="0.25">
      <c r="K168" s="58"/>
      <c r="L168" s="59"/>
      <c r="M168" s="54"/>
      <c r="N168" s="55"/>
      <c r="P168" s="58"/>
      <c r="Q168" s="59"/>
      <c r="R168" s="54"/>
      <c r="S168" s="55"/>
    </row>
    <row r="169" spans="11:19" x14ac:dyDescent="0.25">
      <c r="K169" s="58"/>
      <c r="L169" s="59"/>
      <c r="M169" s="54"/>
      <c r="N169" s="55"/>
      <c r="P169" s="58"/>
      <c r="Q169" s="59"/>
      <c r="R169" s="54"/>
      <c r="S169" s="55"/>
    </row>
    <row r="170" spans="11:19" x14ac:dyDescent="0.25">
      <c r="K170" s="58"/>
      <c r="L170" s="59"/>
      <c r="M170" s="54"/>
      <c r="N170" s="55"/>
      <c r="P170" s="58"/>
      <c r="Q170" s="59"/>
      <c r="R170" s="54"/>
      <c r="S170" s="55"/>
    </row>
    <row r="171" spans="11:19" x14ac:dyDescent="0.25">
      <c r="K171" s="58"/>
      <c r="L171" s="59"/>
      <c r="M171" s="54"/>
      <c r="N171" s="55"/>
      <c r="P171" s="58"/>
      <c r="Q171" s="59"/>
      <c r="R171" s="54"/>
      <c r="S171" s="55"/>
    </row>
    <row r="172" spans="11:19" x14ac:dyDescent="0.25">
      <c r="K172" s="58"/>
      <c r="L172" s="59"/>
      <c r="M172" s="54"/>
      <c r="N172" s="55"/>
      <c r="P172" s="58"/>
      <c r="Q172" s="59"/>
      <c r="R172" s="54"/>
      <c r="S172" s="55"/>
    </row>
    <row r="173" spans="11:19" x14ac:dyDescent="0.25">
      <c r="K173" s="58"/>
      <c r="L173" s="59"/>
      <c r="M173" s="54"/>
      <c r="N173" s="55"/>
      <c r="P173" s="58"/>
      <c r="Q173" s="59"/>
      <c r="R173" s="54"/>
      <c r="S173" s="55"/>
    </row>
    <row r="174" spans="11:19" x14ac:dyDescent="0.25">
      <c r="K174" s="58"/>
      <c r="L174" s="59"/>
      <c r="M174" s="54"/>
      <c r="N174" s="55"/>
      <c r="P174" s="58"/>
      <c r="Q174" s="59"/>
      <c r="R174" s="54"/>
      <c r="S174" s="55"/>
    </row>
    <row r="175" spans="11:19" x14ac:dyDescent="0.25">
      <c r="K175" s="58"/>
      <c r="L175" s="59"/>
      <c r="M175" s="54"/>
      <c r="N175" s="55"/>
      <c r="P175" s="58"/>
      <c r="Q175" s="59"/>
      <c r="R175" s="54"/>
      <c r="S175" s="55"/>
    </row>
    <row r="176" spans="11:19" x14ac:dyDescent="0.25">
      <c r="K176" s="58"/>
      <c r="L176" s="59"/>
      <c r="M176" s="54"/>
      <c r="N176" s="55"/>
      <c r="P176" s="58"/>
      <c r="Q176" s="59"/>
      <c r="R176" s="54"/>
      <c r="S176" s="55"/>
    </row>
    <row r="177" spans="11:19" x14ac:dyDescent="0.25">
      <c r="K177" s="58"/>
      <c r="L177" s="59"/>
      <c r="M177" s="54"/>
      <c r="N177" s="55"/>
      <c r="P177" s="58"/>
      <c r="Q177" s="59"/>
      <c r="R177" s="54"/>
      <c r="S177" s="55"/>
    </row>
    <row r="178" spans="11:19" x14ac:dyDescent="0.25">
      <c r="K178" s="58"/>
      <c r="L178" s="59"/>
      <c r="M178" s="54"/>
      <c r="N178" s="55"/>
      <c r="P178" s="58"/>
      <c r="Q178" s="59"/>
      <c r="R178" s="54"/>
      <c r="S178" s="55"/>
    </row>
    <row r="179" spans="11:19" x14ac:dyDescent="0.25">
      <c r="K179" s="58"/>
      <c r="L179" s="59"/>
      <c r="M179" s="54"/>
      <c r="N179" s="55"/>
      <c r="P179" s="58"/>
      <c r="Q179" s="59"/>
      <c r="R179" s="54"/>
      <c r="S179" s="55"/>
    </row>
    <row r="180" spans="11:19" x14ac:dyDescent="0.25">
      <c r="K180" s="58"/>
      <c r="L180" s="59"/>
      <c r="M180" s="54"/>
      <c r="N180" s="55"/>
      <c r="P180" s="58"/>
      <c r="Q180" s="59"/>
      <c r="R180" s="54"/>
      <c r="S180" s="55"/>
    </row>
    <row r="181" spans="11:19" x14ac:dyDescent="0.25">
      <c r="K181" s="58"/>
      <c r="L181" s="59"/>
      <c r="M181" s="54"/>
      <c r="N181" s="55"/>
      <c r="P181" s="58"/>
      <c r="Q181" s="59"/>
      <c r="R181" s="54"/>
      <c r="S181" s="55"/>
    </row>
    <row r="182" spans="11:19" x14ac:dyDescent="0.25">
      <c r="K182" s="58"/>
      <c r="L182" s="59"/>
      <c r="M182" s="54"/>
      <c r="N182" s="55"/>
      <c r="P182" s="58"/>
      <c r="Q182" s="59"/>
      <c r="R182" s="54"/>
      <c r="S182" s="55"/>
    </row>
    <row r="183" spans="11:19" x14ac:dyDescent="0.25">
      <c r="K183" s="58"/>
      <c r="L183" s="59"/>
      <c r="M183" s="54"/>
      <c r="N183" s="55"/>
      <c r="P183" s="58"/>
      <c r="Q183" s="59"/>
      <c r="R183" s="54"/>
      <c r="S183" s="55"/>
    </row>
    <row r="184" spans="11:19" x14ac:dyDescent="0.25">
      <c r="K184" s="58"/>
      <c r="L184" s="59"/>
      <c r="M184" s="54"/>
      <c r="N184" s="55"/>
      <c r="P184" s="58"/>
      <c r="Q184" s="59"/>
      <c r="R184" s="54"/>
      <c r="S184" s="55"/>
    </row>
    <row r="185" spans="11:19" x14ac:dyDescent="0.25">
      <c r="K185" s="58"/>
      <c r="L185" s="59"/>
      <c r="M185" s="54"/>
      <c r="N185" s="55"/>
      <c r="P185" s="58"/>
      <c r="Q185" s="59"/>
      <c r="R185" s="54"/>
      <c r="S185" s="55"/>
    </row>
    <row r="186" spans="11:19" x14ac:dyDescent="0.25">
      <c r="K186" s="58"/>
      <c r="L186" s="59"/>
      <c r="M186" s="54"/>
      <c r="N186" s="55"/>
      <c r="P186" s="58"/>
      <c r="Q186" s="59"/>
      <c r="R186" s="54"/>
      <c r="S186" s="55"/>
    </row>
    <row r="187" spans="11:19" x14ac:dyDescent="0.25">
      <c r="K187" s="58"/>
      <c r="L187" s="59"/>
      <c r="M187" s="54"/>
      <c r="N187" s="55"/>
      <c r="P187" s="58"/>
      <c r="Q187" s="59"/>
      <c r="R187" s="54"/>
      <c r="S187" s="55"/>
    </row>
    <row r="188" spans="11:19" x14ac:dyDescent="0.25">
      <c r="K188" s="58"/>
      <c r="L188" s="59"/>
      <c r="M188" s="54"/>
      <c r="N188" s="55"/>
      <c r="P188" s="58"/>
      <c r="Q188" s="59"/>
      <c r="R188" s="54"/>
      <c r="S188" s="55"/>
    </row>
    <row r="189" spans="11:19" x14ac:dyDescent="0.25">
      <c r="K189" s="58"/>
      <c r="L189" s="59"/>
      <c r="M189" s="54"/>
      <c r="N189" s="55"/>
      <c r="P189" s="58"/>
      <c r="Q189" s="59"/>
      <c r="R189" s="54"/>
      <c r="S189" s="55"/>
    </row>
    <row r="190" spans="11:19" x14ac:dyDescent="0.25">
      <c r="K190" s="58"/>
      <c r="L190" s="59"/>
      <c r="M190" s="54"/>
      <c r="N190" s="55"/>
      <c r="P190" s="58"/>
      <c r="Q190" s="59"/>
      <c r="R190" s="54"/>
      <c r="S190" s="55"/>
    </row>
    <row r="191" spans="11:19" x14ac:dyDescent="0.25">
      <c r="K191" s="58"/>
      <c r="L191" s="59"/>
      <c r="M191" s="54"/>
      <c r="N191" s="55"/>
      <c r="P191" s="58"/>
      <c r="Q191" s="59"/>
      <c r="R191" s="54"/>
      <c r="S191" s="55"/>
    </row>
    <row r="192" spans="11:19" x14ac:dyDescent="0.25">
      <c r="K192" s="58"/>
      <c r="L192" s="59"/>
      <c r="M192" s="54"/>
      <c r="N192" s="55"/>
      <c r="P192" s="58"/>
      <c r="Q192" s="59"/>
      <c r="R192" s="54"/>
      <c r="S192" s="55"/>
    </row>
    <row r="193" spans="11:19" x14ac:dyDescent="0.25">
      <c r="K193" s="58"/>
      <c r="L193" s="59"/>
      <c r="M193" s="54"/>
      <c r="N193" s="55"/>
      <c r="P193" s="58"/>
      <c r="Q193" s="59"/>
      <c r="R193" s="54"/>
      <c r="S193" s="55"/>
    </row>
    <row r="194" spans="11:19" x14ac:dyDescent="0.25">
      <c r="K194" s="58"/>
      <c r="L194" s="59"/>
      <c r="M194" s="54"/>
      <c r="N194" s="55"/>
      <c r="P194" s="58"/>
      <c r="Q194" s="59"/>
      <c r="R194" s="54"/>
      <c r="S194" s="55"/>
    </row>
    <row r="195" spans="11:19" x14ac:dyDescent="0.25">
      <c r="K195" s="58"/>
      <c r="L195" s="59"/>
      <c r="M195" s="54"/>
      <c r="N195" s="55"/>
      <c r="P195" s="58"/>
      <c r="Q195" s="59"/>
      <c r="R195" s="54"/>
      <c r="S195" s="55"/>
    </row>
    <row r="196" spans="11:19" x14ac:dyDescent="0.25">
      <c r="K196" s="58"/>
      <c r="L196" s="59"/>
      <c r="M196" s="54"/>
      <c r="N196" s="55"/>
      <c r="P196" s="58"/>
      <c r="Q196" s="59"/>
      <c r="R196" s="54"/>
      <c r="S196" s="55"/>
    </row>
    <row r="197" spans="11:19" x14ac:dyDescent="0.25">
      <c r="K197" s="58"/>
      <c r="L197" s="59"/>
      <c r="M197" s="54"/>
      <c r="N197" s="55"/>
      <c r="P197" s="58"/>
      <c r="Q197" s="59"/>
      <c r="R197" s="54"/>
      <c r="S197" s="55"/>
    </row>
    <row r="198" spans="11:19" x14ac:dyDescent="0.25">
      <c r="K198" s="58"/>
      <c r="L198" s="59"/>
      <c r="M198" s="54"/>
      <c r="N198" s="55"/>
      <c r="P198" s="58"/>
      <c r="Q198" s="59"/>
      <c r="R198" s="54"/>
      <c r="S198" s="55"/>
    </row>
    <row r="199" spans="11:19" x14ac:dyDescent="0.25">
      <c r="K199" s="58"/>
      <c r="L199" s="59"/>
      <c r="M199" s="54"/>
      <c r="N199" s="55"/>
      <c r="P199" s="58"/>
      <c r="Q199" s="59"/>
      <c r="R199" s="54"/>
      <c r="S199" s="55"/>
    </row>
    <row r="200" spans="11:19" x14ac:dyDescent="0.25">
      <c r="K200" s="58"/>
      <c r="L200" s="59"/>
      <c r="M200" s="54"/>
      <c r="N200" s="55"/>
      <c r="P200" s="58"/>
      <c r="Q200" s="59"/>
      <c r="R200" s="54"/>
      <c r="S200" s="55"/>
    </row>
    <row r="201" spans="11:19" x14ac:dyDescent="0.25">
      <c r="K201" s="58"/>
      <c r="L201" s="59"/>
      <c r="M201" s="54"/>
      <c r="N201" s="55"/>
      <c r="P201" s="58"/>
      <c r="Q201" s="59"/>
      <c r="R201" s="54"/>
      <c r="S201" s="55"/>
    </row>
    <row r="202" spans="11:19" x14ac:dyDescent="0.25">
      <c r="K202" s="58"/>
      <c r="L202" s="59"/>
      <c r="M202" s="54"/>
      <c r="N202" s="55"/>
      <c r="P202" s="58"/>
      <c r="Q202" s="59"/>
      <c r="R202" s="54"/>
      <c r="S202" s="55"/>
    </row>
    <row r="203" spans="11:19" x14ac:dyDescent="0.25">
      <c r="K203" s="58"/>
      <c r="L203" s="59"/>
      <c r="M203" s="54"/>
      <c r="N203" s="55"/>
      <c r="P203" s="58"/>
      <c r="Q203" s="59"/>
      <c r="R203" s="54"/>
      <c r="S203" s="55"/>
    </row>
    <row r="204" spans="11:19" x14ac:dyDescent="0.25">
      <c r="K204" s="58"/>
      <c r="L204" s="59"/>
      <c r="M204" s="54"/>
      <c r="N204" s="55"/>
      <c r="P204" s="58"/>
      <c r="Q204" s="59"/>
      <c r="R204" s="54"/>
      <c r="S204" s="55"/>
    </row>
    <row r="205" spans="11:19" x14ac:dyDescent="0.25">
      <c r="K205" s="58"/>
      <c r="L205" s="59"/>
      <c r="M205" s="54"/>
      <c r="N205" s="55"/>
      <c r="P205" s="58"/>
      <c r="Q205" s="59"/>
      <c r="R205" s="54"/>
      <c r="S205" s="55"/>
    </row>
    <row r="206" spans="11:19" x14ac:dyDescent="0.25">
      <c r="K206" s="58"/>
      <c r="L206" s="59"/>
      <c r="M206" s="54"/>
      <c r="N206" s="55"/>
      <c r="P206" s="58"/>
      <c r="Q206" s="59"/>
      <c r="R206" s="54"/>
      <c r="S206" s="55"/>
    </row>
    <row r="207" spans="11:19" x14ac:dyDescent="0.25">
      <c r="K207" s="58"/>
      <c r="L207" s="59"/>
      <c r="M207" s="54"/>
      <c r="N207" s="55"/>
      <c r="P207" s="58"/>
      <c r="Q207" s="59"/>
      <c r="R207" s="54"/>
      <c r="S207" s="55"/>
    </row>
    <row r="208" spans="11:19" x14ac:dyDescent="0.25">
      <c r="K208" s="58"/>
      <c r="L208" s="59"/>
      <c r="M208" s="54"/>
      <c r="N208" s="55"/>
      <c r="P208" s="58"/>
      <c r="Q208" s="59"/>
      <c r="R208" s="54"/>
      <c r="S208" s="55"/>
    </row>
    <row r="209" spans="11:19" x14ac:dyDescent="0.25">
      <c r="K209" s="58"/>
      <c r="L209" s="59"/>
      <c r="M209" s="54"/>
      <c r="N209" s="55"/>
      <c r="P209" s="58"/>
      <c r="Q209" s="59"/>
      <c r="R209" s="54"/>
      <c r="S209" s="55"/>
    </row>
    <row r="210" spans="11:19" x14ac:dyDescent="0.25">
      <c r="K210" s="58"/>
      <c r="L210" s="59"/>
      <c r="M210" s="54"/>
      <c r="N210" s="55"/>
      <c r="P210" s="58"/>
      <c r="Q210" s="59"/>
      <c r="R210" s="54"/>
      <c r="S210" s="55"/>
    </row>
    <row r="211" spans="11:19" x14ac:dyDescent="0.25">
      <c r="K211" s="58"/>
      <c r="L211" s="59"/>
      <c r="M211" s="54"/>
      <c r="N211" s="55"/>
      <c r="P211" s="58"/>
      <c r="Q211" s="59"/>
      <c r="R211" s="54"/>
      <c r="S211" s="55"/>
    </row>
    <row r="212" spans="11:19" x14ac:dyDescent="0.25">
      <c r="K212" s="58"/>
      <c r="L212" s="59"/>
      <c r="M212" s="54"/>
      <c r="N212" s="55"/>
      <c r="P212" s="58"/>
      <c r="Q212" s="59"/>
      <c r="R212" s="54"/>
      <c r="S212" s="55"/>
    </row>
    <row r="213" spans="11:19" x14ac:dyDescent="0.25">
      <c r="K213" s="58"/>
      <c r="L213" s="59"/>
      <c r="M213" s="54"/>
      <c r="N213" s="55"/>
      <c r="P213" s="58"/>
      <c r="Q213" s="59"/>
      <c r="R213" s="54"/>
      <c r="S213" s="55"/>
    </row>
    <row r="214" spans="11:19" x14ac:dyDescent="0.25">
      <c r="K214" s="58"/>
      <c r="L214" s="59"/>
      <c r="M214" s="54"/>
      <c r="N214" s="55"/>
      <c r="P214" s="58"/>
      <c r="Q214" s="59"/>
      <c r="R214" s="54"/>
      <c r="S214" s="55"/>
    </row>
    <row r="215" spans="11:19" x14ac:dyDescent="0.25">
      <c r="K215" s="58"/>
      <c r="L215" s="59"/>
      <c r="M215" s="54"/>
      <c r="N215" s="55"/>
      <c r="P215" s="58"/>
      <c r="Q215" s="59"/>
      <c r="R215" s="54"/>
      <c r="S215" s="55"/>
    </row>
    <row r="216" spans="11:19" x14ac:dyDescent="0.25">
      <c r="K216" s="58"/>
      <c r="L216" s="59"/>
      <c r="M216" s="54"/>
      <c r="N216" s="55"/>
      <c r="P216" s="58"/>
      <c r="Q216" s="59"/>
      <c r="R216" s="54"/>
      <c r="S216" s="55"/>
    </row>
    <row r="217" spans="11:19" x14ac:dyDescent="0.25">
      <c r="K217" s="58"/>
      <c r="L217" s="59"/>
      <c r="M217" s="54"/>
      <c r="N217" s="55"/>
      <c r="P217" s="58"/>
      <c r="Q217" s="59"/>
      <c r="R217" s="54"/>
      <c r="S217" s="55"/>
    </row>
    <row r="218" spans="11:19" x14ac:dyDescent="0.25">
      <c r="K218" s="58"/>
      <c r="L218" s="59"/>
      <c r="M218" s="54"/>
      <c r="N218" s="55"/>
      <c r="P218" s="58"/>
      <c r="Q218" s="59"/>
      <c r="R218" s="54"/>
      <c r="S218" s="55"/>
    </row>
    <row r="219" spans="11:19" x14ac:dyDescent="0.25">
      <c r="K219" s="58"/>
      <c r="L219" s="59"/>
      <c r="M219" s="54"/>
      <c r="N219" s="55"/>
      <c r="P219" s="58"/>
      <c r="Q219" s="59"/>
      <c r="R219" s="54"/>
      <c r="S219" s="55"/>
    </row>
    <row r="220" spans="11:19" x14ac:dyDescent="0.25">
      <c r="K220" s="58"/>
      <c r="L220" s="59"/>
      <c r="M220" s="54"/>
      <c r="N220" s="55"/>
      <c r="P220" s="58"/>
      <c r="Q220" s="59"/>
      <c r="R220" s="54"/>
      <c r="S220" s="55"/>
    </row>
    <row r="221" spans="11:19" x14ac:dyDescent="0.25">
      <c r="K221" s="58"/>
      <c r="L221" s="59"/>
      <c r="M221" s="54"/>
      <c r="N221" s="55"/>
      <c r="P221" s="58"/>
      <c r="Q221" s="59"/>
      <c r="R221" s="54"/>
      <c r="S221" s="55"/>
    </row>
    <row r="222" spans="11:19" x14ac:dyDescent="0.25">
      <c r="K222" s="58"/>
      <c r="L222" s="59"/>
      <c r="M222" s="54"/>
      <c r="N222" s="55"/>
      <c r="P222" s="58"/>
      <c r="Q222" s="59"/>
      <c r="R222" s="54"/>
      <c r="S222" s="55"/>
    </row>
    <row r="223" spans="11:19" x14ac:dyDescent="0.25">
      <c r="K223" s="58"/>
      <c r="L223" s="59"/>
      <c r="M223" s="54"/>
      <c r="N223" s="55"/>
      <c r="P223" s="58"/>
      <c r="Q223" s="59"/>
      <c r="R223" s="54"/>
      <c r="S223" s="55"/>
    </row>
    <row r="224" spans="11:19" x14ac:dyDescent="0.25">
      <c r="K224" s="58"/>
      <c r="L224" s="59"/>
      <c r="M224" s="54"/>
      <c r="N224" s="55"/>
      <c r="P224" s="58"/>
      <c r="Q224" s="59"/>
      <c r="R224" s="54"/>
      <c r="S224" s="55"/>
    </row>
    <row r="225" spans="11:19" x14ac:dyDescent="0.25">
      <c r="K225" s="58"/>
      <c r="L225" s="59"/>
      <c r="M225" s="54"/>
      <c r="N225" s="55"/>
      <c r="P225" s="58"/>
      <c r="Q225" s="59"/>
      <c r="R225" s="54"/>
      <c r="S225" s="55"/>
    </row>
    <row r="226" spans="11:19" x14ac:dyDescent="0.25">
      <c r="K226" s="58"/>
      <c r="L226" s="59"/>
      <c r="M226" s="54"/>
      <c r="N226" s="55"/>
      <c r="P226" s="58"/>
      <c r="Q226" s="59"/>
      <c r="R226" s="54"/>
      <c r="S226" s="55"/>
    </row>
    <row r="227" spans="11:19" x14ac:dyDescent="0.25">
      <c r="K227" s="58"/>
      <c r="L227" s="59"/>
      <c r="M227" s="54"/>
      <c r="N227" s="55"/>
      <c r="P227" s="58"/>
      <c r="Q227" s="59"/>
      <c r="R227" s="54"/>
      <c r="S227" s="55"/>
    </row>
    <row r="228" spans="11:19" x14ac:dyDescent="0.25">
      <c r="K228" s="58"/>
      <c r="L228" s="59"/>
      <c r="M228" s="54"/>
      <c r="N228" s="55"/>
      <c r="P228" s="58"/>
      <c r="Q228" s="59"/>
      <c r="R228" s="54"/>
      <c r="S228" s="55"/>
    </row>
    <row r="229" spans="11:19" x14ac:dyDescent="0.25">
      <c r="K229" s="58"/>
      <c r="L229" s="59"/>
      <c r="M229" s="54"/>
      <c r="N229" s="55"/>
      <c r="P229" s="58"/>
      <c r="Q229" s="59"/>
      <c r="R229" s="54"/>
      <c r="S229" s="55"/>
    </row>
    <row r="230" spans="11:19" x14ac:dyDescent="0.25">
      <c r="K230" s="58"/>
      <c r="L230" s="59"/>
      <c r="M230" s="54"/>
      <c r="N230" s="55"/>
      <c r="P230" s="58"/>
      <c r="Q230" s="59"/>
      <c r="R230" s="54"/>
      <c r="S230" s="55"/>
    </row>
    <row r="231" spans="11:19" x14ac:dyDescent="0.25">
      <c r="K231" s="58"/>
      <c r="L231" s="59"/>
      <c r="M231" s="54"/>
      <c r="N231" s="55"/>
      <c r="P231" s="58"/>
      <c r="Q231" s="59"/>
      <c r="R231" s="54"/>
      <c r="S231" s="55"/>
    </row>
    <row r="232" spans="11:19" x14ac:dyDescent="0.25">
      <c r="K232" s="58"/>
      <c r="L232" s="59"/>
      <c r="M232" s="54"/>
      <c r="N232" s="55"/>
      <c r="P232" s="58"/>
      <c r="Q232" s="59"/>
      <c r="R232" s="54"/>
      <c r="S232" s="55"/>
    </row>
    <row r="233" spans="11:19" x14ac:dyDescent="0.25">
      <c r="K233" s="58"/>
      <c r="L233" s="59"/>
      <c r="M233" s="54"/>
      <c r="N233" s="55"/>
      <c r="P233" s="58"/>
      <c r="Q233" s="59"/>
      <c r="R233" s="54"/>
      <c r="S233" s="55"/>
    </row>
    <row r="234" spans="11:19" x14ac:dyDescent="0.25">
      <c r="K234" s="58"/>
      <c r="L234" s="59"/>
      <c r="M234" s="54"/>
      <c r="N234" s="55"/>
      <c r="P234" s="58"/>
      <c r="Q234" s="59"/>
      <c r="R234" s="54"/>
      <c r="S234" s="55"/>
    </row>
    <row r="235" spans="11:19" x14ac:dyDescent="0.25">
      <c r="K235" s="58"/>
      <c r="L235" s="59"/>
      <c r="M235" s="54"/>
      <c r="N235" s="55"/>
      <c r="P235" s="58"/>
      <c r="Q235" s="59"/>
      <c r="R235" s="54"/>
      <c r="S235" s="55"/>
    </row>
    <row r="236" spans="11:19" x14ac:dyDescent="0.25">
      <c r="K236" s="58"/>
      <c r="L236" s="59"/>
      <c r="M236" s="54"/>
      <c r="N236" s="55"/>
      <c r="P236" s="58"/>
      <c r="Q236" s="59"/>
      <c r="R236" s="54"/>
      <c r="S236" s="55"/>
    </row>
    <row r="237" spans="11:19" x14ac:dyDescent="0.25">
      <c r="K237" s="58"/>
      <c r="L237" s="59"/>
      <c r="M237" s="54"/>
      <c r="N237" s="55"/>
      <c r="P237" s="58"/>
      <c r="Q237" s="59"/>
      <c r="R237" s="54"/>
      <c r="S237" s="55"/>
    </row>
    <row r="238" spans="11:19" x14ac:dyDescent="0.25">
      <c r="K238" s="58"/>
      <c r="L238" s="59"/>
      <c r="M238" s="54"/>
      <c r="N238" s="55"/>
      <c r="P238" s="58"/>
      <c r="Q238" s="59"/>
      <c r="R238" s="54"/>
      <c r="S238" s="55"/>
    </row>
    <row r="239" spans="11:19" x14ac:dyDescent="0.25">
      <c r="K239" s="58"/>
      <c r="L239" s="59"/>
      <c r="M239" s="54"/>
      <c r="N239" s="55"/>
      <c r="P239" s="58"/>
      <c r="Q239" s="59"/>
      <c r="R239" s="54"/>
      <c r="S239" s="55"/>
    </row>
    <row r="240" spans="11:19" x14ac:dyDescent="0.25">
      <c r="K240" s="58"/>
      <c r="L240" s="59"/>
      <c r="M240" s="54"/>
      <c r="N240" s="55"/>
      <c r="P240" s="58"/>
      <c r="Q240" s="59"/>
      <c r="R240" s="54"/>
      <c r="S240" s="55"/>
    </row>
    <row r="241" spans="11:19" x14ac:dyDescent="0.25">
      <c r="K241" s="58"/>
      <c r="L241" s="59"/>
      <c r="M241" s="54"/>
      <c r="N241" s="55"/>
      <c r="P241" s="58"/>
      <c r="Q241" s="59"/>
      <c r="R241" s="54"/>
      <c r="S241" s="55"/>
    </row>
    <row r="242" spans="11:19" x14ac:dyDescent="0.25">
      <c r="K242" s="58"/>
      <c r="L242" s="59"/>
      <c r="M242" s="54"/>
      <c r="N242" s="55"/>
      <c r="P242" s="58"/>
      <c r="Q242" s="59"/>
      <c r="R242" s="54"/>
      <c r="S242" s="55"/>
    </row>
    <row r="243" spans="11:19" x14ac:dyDescent="0.25">
      <c r="K243" s="58"/>
      <c r="L243" s="59"/>
      <c r="M243" s="54"/>
      <c r="N243" s="55"/>
      <c r="P243" s="58"/>
      <c r="Q243" s="59"/>
      <c r="R243" s="54"/>
      <c r="S243" s="55"/>
    </row>
    <row r="244" spans="11:19" x14ac:dyDescent="0.25">
      <c r="K244" s="58"/>
      <c r="L244" s="59"/>
      <c r="M244" s="54"/>
      <c r="N244" s="55"/>
      <c r="P244" s="58"/>
      <c r="Q244" s="59"/>
      <c r="R244" s="54"/>
      <c r="S244" s="55"/>
    </row>
    <row r="245" spans="11:19" x14ac:dyDescent="0.25">
      <c r="K245" s="58"/>
      <c r="L245" s="59"/>
      <c r="M245" s="54"/>
      <c r="N245" s="55"/>
      <c r="P245" s="58"/>
      <c r="Q245" s="59"/>
      <c r="R245" s="54"/>
      <c r="S245" s="55"/>
    </row>
    <row r="246" spans="11:19" x14ac:dyDescent="0.25">
      <c r="K246" s="58"/>
      <c r="L246" s="59"/>
      <c r="M246" s="54"/>
      <c r="N246" s="55"/>
      <c r="P246" s="58"/>
      <c r="Q246" s="59"/>
      <c r="R246" s="54"/>
      <c r="S246" s="55"/>
    </row>
    <row r="247" spans="11:19" x14ac:dyDescent="0.25">
      <c r="K247" s="58"/>
      <c r="L247" s="59"/>
      <c r="M247" s="54"/>
      <c r="N247" s="55"/>
      <c r="P247" s="58"/>
      <c r="Q247" s="59"/>
      <c r="R247" s="54"/>
      <c r="S247" s="55"/>
    </row>
    <row r="248" spans="11:19" x14ac:dyDescent="0.25">
      <c r="K248" s="58"/>
      <c r="L248" s="59"/>
      <c r="M248" s="54"/>
      <c r="N248" s="55"/>
      <c r="P248" s="58"/>
      <c r="Q248" s="59"/>
      <c r="R248" s="54"/>
      <c r="S248" s="55"/>
    </row>
    <row r="249" spans="11:19" x14ac:dyDescent="0.25">
      <c r="K249" s="58"/>
      <c r="L249" s="59"/>
      <c r="M249" s="54"/>
      <c r="N249" s="55"/>
      <c r="P249" s="58"/>
      <c r="Q249" s="59"/>
      <c r="R249" s="54"/>
      <c r="S249" s="55"/>
    </row>
    <row r="250" spans="11:19" x14ac:dyDescent="0.25">
      <c r="K250" s="58"/>
      <c r="L250" s="59"/>
      <c r="M250" s="54"/>
      <c r="N250" s="55"/>
      <c r="P250" s="58"/>
      <c r="Q250" s="59"/>
      <c r="R250" s="54"/>
      <c r="S250" s="55"/>
    </row>
    <row r="251" spans="11:19" x14ac:dyDescent="0.25">
      <c r="K251" s="58"/>
      <c r="L251" s="59"/>
      <c r="M251" s="54"/>
      <c r="N251" s="55"/>
      <c r="P251" s="58"/>
      <c r="Q251" s="59"/>
      <c r="R251" s="54"/>
      <c r="S251" s="55"/>
    </row>
    <row r="252" spans="11:19" x14ac:dyDescent="0.25">
      <c r="K252" s="58"/>
      <c r="L252" s="59"/>
      <c r="M252" s="54"/>
      <c r="N252" s="55"/>
      <c r="P252" s="58"/>
      <c r="Q252" s="59"/>
      <c r="R252" s="54"/>
      <c r="S252" s="55"/>
    </row>
    <row r="253" spans="11:19" x14ac:dyDescent="0.25">
      <c r="K253" s="58"/>
      <c r="L253" s="59"/>
      <c r="M253" s="54"/>
      <c r="N253" s="55"/>
      <c r="P253" s="58"/>
      <c r="Q253" s="59"/>
      <c r="R253" s="54"/>
      <c r="S253" s="55"/>
    </row>
    <row r="254" spans="11:19" x14ac:dyDescent="0.25">
      <c r="K254" s="58"/>
      <c r="L254" s="59"/>
      <c r="M254" s="54"/>
      <c r="N254" s="55"/>
      <c r="P254" s="58"/>
      <c r="Q254" s="59"/>
      <c r="R254" s="54"/>
      <c r="S254" s="55"/>
    </row>
    <row r="255" spans="11:19" x14ac:dyDescent="0.25">
      <c r="K255" s="58"/>
      <c r="L255" s="59"/>
      <c r="M255" s="54"/>
      <c r="N255" s="55"/>
      <c r="P255" s="58"/>
      <c r="Q255" s="59"/>
      <c r="R255" s="54"/>
      <c r="S255" s="55"/>
    </row>
    <row r="256" spans="11:19" x14ac:dyDescent="0.25">
      <c r="K256" s="58"/>
      <c r="L256" s="59"/>
      <c r="M256" s="54"/>
      <c r="N256" s="55"/>
      <c r="P256" s="58"/>
      <c r="Q256" s="59"/>
      <c r="R256" s="54"/>
      <c r="S256" s="55"/>
    </row>
    <row r="257" spans="11:19" x14ac:dyDescent="0.25">
      <c r="K257" s="58"/>
      <c r="L257" s="59"/>
      <c r="M257" s="54"/>
      <c r="N257" s="55"/>
      <c r="P257" s="58"/>
      <c r="Q257" s="59"/>
      <c r="R257" s="54"/>
      <c r="S257" s="55"/>
    </row>
    <row r="258" spans="11:19" x14ac:dyDescent="0.25">
      <c r="K258" s="58"/>
      <c r="L258" s="59"/>
      <c r="M258" s="54"/>
      <c r="N258" s="55"/>
      <c r="P258" s="58"/>
      <c r="Q258" s="59"/>
      <c r="R258" s="54"/>
      <c r="S258" s="55"/>
    </row>
    <row r="259" spans="11:19" x14ac:dyDescent="0.25">
      <c r="K259" s="58"/>
      <c r="L259" s="59"/>
      <c r="M259" s="54"/>
      <c r="N259" s="55"/>
      <c r="P259" s="58"/>
      <c r="Q259" s="59"/>
      <c r="R259" s="54"/>
      <c r="S259" s="55"/>
    </row>
    <row r="260" spans="11:19" x14ac:dyDescent="0.25">
      <c r="K260" s="58"/>
      <c r="L260" s="59"/>
      <c r="M260" s="54"/>
      <c r="N260" s="55"/>
      <c r="P260" s="58"/>
      <c r="Q260" s="59"/>
      <c r="R260" s="54"/>
      <c r="S260" s="55"/>
    </row>
    <row r="261" spans="11:19" x14ac:dyDescent="0.25">
      <c r="K261" s="58"/>
      <c r="L261" s="59"/>
      <c r="M261" s="54"/>
      <c r="N261" s="55"/>
      <c r="P261" s="58"/>
      <c r="Q261" s="59"/>
      <c r="R261" s="54"/>
      <c r="S261" s="55"/>
    </row>
    <row r="262" spans="11:19" x14ac:dyDescent="0.25">
      <c r="K262" s="58"/>
      <c r="L262" s="59"/>
      <c r="M262" s="54"/>
      <c r="N262" s="55"/>
      <c r="P262" s="58"/>
      <c r="Q262" s="59"/>
      <c r="R262" s="54"/>
      <c r="S262" s="55"/>
    </row>
    <row r="263" spans="11:19" x14ac:dyDescent="0.25">
      <c r="K263" s="58"/>
      <c r="L263" s="59"/>
      <c r="M263" s="54"/>
      <c r="N263" s="55"/>
      <c r="P263" s="58"/>
      <c r="Q263" s="59"/>
      <c r="R263" s="54"/>
      <c r="S263" s="55"/>
    </row>
    <row r="264" spans="11:19" x14ac:dyDescent="0.25">
      <c r="K264" s="58"/>
      <c r="L264" s="59"/>
      <c r="M264" s="54"/>
      <c r="N264" s="55"/>
      <c r="P264" s="58"/>
      <c r="Q264" s="59"/>
      <c r="R264" s="54"/>
      <c r="S264" s="55"/>
    </row>
    <row r="265" spans="11:19" x14ac:dyDescent="0.25">
      <c r="K265" s="58"/>
      <c r="L265" s="59"/>
      <c r="M265" s="54"/>
      <c r="N265" s="55"/>
      <c r="P265" s="58"/>
      <c r="Q265" s="59"/>
      <c r="R265" s="54"/>
      <c r="S265" s="55"/>
    </row>
    <row r="266" spans="11:19" x14ac:dyDescent="0.25">
      <c r="K266" s="58"/>
      <c r="L266" s="59"/>
      <c r="M266" s="54"/>
      <c r="N266" s="55"/>
      <c r="P266" s="58"/>
      <c r="Q266" s="59"/>
      <c r="R266" s="54"/>
      <c r="S266" s="55"/>
    </row>
    <row r="267" spans="11:19" x14ac:dyDescent="0.25">
      <c r="K267" s="58"/>
      <c r="L267" s="59"/>
      <c r="M267" s="54"/>
      <c r="N267" s="55"/>
      <c r="P267" s="58"/>
      <c r="Q267" s="59"/>
      <c r="R267" s="54"/>
      <c r="S267" s="55"/>
    </row>
    <row r="268" spans="11:19" x14ac:dyDescent="0.25">
      <c r="K268" s="58"/>
      <c r="L268" s="59"/>
      <c r="M268" s="54"/>
      <c r="N268" s="55"/>
      <c r="P268" s="58"/>
      <c r="Q268" s="59"/>
      <c r="R268" s="54"/>
      <c r="S268" s="55"/>
    </row>
    <row r="269" spans="11:19" x14ac:dyDescent="0.25">
      <c r="K269" s="58"/>
      <c r="L269" s="59"/>
      <c r="M269" s="54"/>
      <c r="N269" s="55"/>
      <c r="P269" s="58"/>
      <c r="Q269" s="59"/>
      <c r="R269" s="54"/>
      <c r="S269" s="55"/>
    </row>
    <row r="270" spans="11:19" x14ac:dyDescent="0.25">
      <c r="K270" s="58"/>
      <c r="L270" s="59"/>
      <c r="M270" s="54"/>
      <c r="N270" s="55"/>
      <c r="P270" s="58"/>
      <c r="Q270" s="59"/>
      <c r="R270" s="54"/>
      <c r="S270" s="55"/>
    </row>
    <row r="271" spans="11:19" x14ac:dyDescent="0.25">
      <c r="K271" s="58"/>
      <c r="L271" s="59"/>
      <c r="M271" s="54"/>
      <c r="N271" s="55"/>
      <c r="P271" s="58"/>
      <c r="Q271" s="59"/>
      <c r="R271" s="54"/>
      <c r="S271" s="55"/>
    </row>
    <row r="272" spans="11:19" x14ac:dyDescent="0.25">
      <c r="K272" s="58"/>
      <c r="L272" s="59"/>
      <c r="M272" s="54"/>
      <c r="N272" s="55"/>
      <c r="P272" s="58"/>
      <c r="Q272" s="59"/>
      <c r="R272" s="54"/>
      <c r="S272" s="55"/>
    </row>
    <row r="273" spans="11:19" x14ac:dyDescent="0.25">
      <c r="K273" s="58"/>
      <c r="L273" s="59"/>
      <c r="M273" s="54"/>
      <c r="N273" s="55"/>
      <c r="P273" s="58"/>
      <c r="Q273" s="59"/>
      <c r="R273" s="54"/>
      <c r="S273" s="55"/>
    </row>
    <row r="274" spans="11:19" x14ac:dyDescent="0.25">
      <c r="K274" s="58"/>
      <c r="L274" s="59"/>
      <c r="M274" s="54"/>
      <c r="N274" s="55"/>
      <c r="P274" s="58"/>
      <c r="Q274" s="59"/>
      <c r="R274" s="54"/>
      <c r="S274" s="55"/>
    </row>
    <row r="275" spans="11:19" x14ac:dyDescent="0.25">
      <c r="K275" s="58"/>
      <c r="L275" s="59"/>
      <c r="M275" s="54"/>
      <c r="N275" s="55"/>
      <c r="P275" s="58"/>
      <c r="Q275" s="59"/>
      <c r="R275" s="54"/>
      <c r="S275" s="55"/>
    </row>
    <row r="276" spans="11:19" x14ac:dyDescent="0.25">
      <c r="K276" s="58"/>
      <c r="L276" s="59"/>
      <c r="M276" s="54"/>
      <c r="N276" s="55"/>
      <c r="P276" s="58"/>
      <c r="Q276" s="59"/>
      <c r="R276" s="54"/>
      <c r="S276" s="55"/>
    </row>
    <row r="277" spans="11:19" x14ac:dyDescent="0.25">
      <c r="K277" s="58"/>
      <c r="L277" s="59"/>
      <c r="M277" s="54"/>
      <c r="N277" s="55"/>
      <c r="P277" s="58"/>
      <c r="Q277" s="59"/>
      <c r="R277" s="54"/>
      <c r="S277" s="55"/>
    </row>
    <row r="278" spans="11:19" x14ac:dyDescent="0.25">
      <c r="K278" s="58"/>
      <c r="L278" s="59"/>
      <c r="M278" s="54"/>
      <c r="N278" s="55"/>
      <c r="P278" s="58"/>
      <c r="Q278" s="59"/>
      <c r="R278" s="54"/>
      <c r="S278" s="55"/>
    </row>
    <row r="279" spans="11:19" x14ac:dyDescent="0.25">
      <c r="K279" s="58"/>
      <c r="L279" s="59"/>
      <c r="M279" s="54"/>
      <c r="N279" s="55"/>
      <c r="P279" s="58"/>
      <c r="Q279" s="59"/>
      <c r="R279" s="54"/>
      <c r="S279" s="55"/>
    </row>
    <row r="280" spans="11:19" x14ac:dyDescent="0.25">
      <c r="K280" s="58"/>
      <c r="L280" s="59"/>
      <c r="M280" s="54"/>
      <c r="N280" s="55"/>
      <c r="P280" s="58"/>
      <c r="Q280" s="59"/>
      <c r="R280" s="54"/>
      <c r="S280" s="55"/>
    </row>
    <row r="281" spans="11:19" x14ac:dyDescent="0.25">
      <c r="K281" s="58"/>
      <c r="L281" s="59"/>
      <c r="M281" s="54"/>
      <c r="N281" s="55"/>
      <c r="P281" s="58"/>
      <c r="Q281" s="59"/>
      <c r="R281" s="54"/>
      <c r="S281" s="55"/>
    </row>
    <row r="282" spans="11:19" x14ac:dyDescent="0.25">
      <c r="K282" s="58"/>
      <c r="L282" s="59"/>
      <c r="M282" s="54"/>
      <c r="N282" s="55"/>
      <c r="P282" s="58"/>
      <c r="Q282" s="59"/>
      <c r="R282" s="54"/>
      <c r="S282" s="55"/>
    </row>
    <row r="283" spans="11:19" x14ac:dyDescent="0.25">
      <c r="K283" s="58"/>
      <c r="L283" s="59"/>
      <c r="M283" s="54"/>
      <c r="N283" s="55"/>
      <c r="P283" s="58"/>
      <c r="Q283" s="59"/>
      <c r="R283" s="54"/>
      <c r="S283" s="55"/>
    </row>
    <row r="284" spans="11:19" x14ac:dyDescent="0.25">
      <c r="K284" s="58"/>
      <c r="L284" s="59"/>
      <c r="M284" s="54"/>
      <c r="N284" s="55"/>
      <c r="P284" s="58"/>
      <c r="Q284" s="59"/>
      <c r="R284" s="54"/>
      <c r="S284" s="55"/>
    </row>
    <row r="285" spans="11:19" x14ac:dyDescent="0.25">
      <c r="K285" s="58"/>
      <c r="L285" s="59"/>
      <c r="M285" s="54"/>
      <c r="N285" s="55"/>
      <c r="P285" s="58"/>
      <c r="Q285" s="59"/>
      <c r="R285" s="54"/>
      <c r="S285" s="55"/>
    </row>
    <row r="286" spans="11:19" x14ac:dyDescent="0.25">
      <c r="K286" s="58"/>
      <c r="L286" s="59"/>
      <c r="M286" s="54"/>
      <c r="N286" s="55"/>
      <c r="P286" s="58"/>
      <c r="Q286" s="59"/>
      <c r="R286" s="54"/>
      <c r="S286" s="55"/>
    </row>
    <row r="287" spans="11:19" x14ac:dyDescent="0.25">
      <c r="K287" s="58"/>
      <c r="L287" s="59"/>
      <c r="M287" s="54"/>
      <c r="N287" s="55"/>
      <c r="P287" s="58"/>
      <c r="Q287" s="59"/>
      <c r="R287" s="54"/>
      <c r="S287" s="55"/>
    </row>
    <row r="288" spans="11:19" x14ac:dyDescent="0.25">
      <c r="K288" s="58"/>
      <c r="L288" s="59"/>
      <c r="M288" s="54"/>
      <c r="N288" s="55"/>
      <c r="P288" s="58"/>
      <c r="Q288" s="59"/>
      <c r="R288" s="54"/>
      <c r="S288" s="55"/>
    </row>
    <row r="289" spans="11:19" x14ac:dyDescent="0.25">
      <c r="K289" s="58"/>
      <c r="L289" s="59"/>
      <c r="M289" s="54"/>
      <c r="N289" s="55"/>
      <c r="P289" s="58"/>
      <c r="Q289" s="59"/>
      <c r="R289" s="54"/>
      <c r="S289" s="55"/>
    </row>
    <row r="290" spans="11:19" x14ac:dyDescent="0.25">
      <c r="K290" s="58"/>
      <c r="L290" s="59"/>
      <c r="M290" s="54"/>
      <c r="N290" s="55"/>
      <c r="P290" s="58"/>
      <c r="Q290" s="59"/>
      <c r="R290" s="54"/>
      <c r="S290" s="55"/>
    </row>
    <row r="291" spans="11:19" x14ac:dyDescent="0.25">
      <c r="K291" s="58"/>
      <c r="L291" s="59"/>
      <c r="M291" s="54"/>
      <c r="N291" s="55"/>
      <c r="P291" s="58"/>
      <c r="Q291" s="59"/>
      <c r="R291" s="54"/>
      <c r="S291" s="55"/>
    </row>
    <row r="292" spans="11:19" x14ac:dyDescent="0.25">
      <c r="K292" s="58"/>
      <c r="L292" s="59"/>
      <c r="M292" s="54"/>
      <c r="N292" s="55"/>
      <c r="P292" s="58"/>
      <c r="Q292" s="59"/>
      <c r="R292" s="54"/>
      <c r="S292" s="55"/>
    </row>
    <row r="293" spans="11:19" x14ac:dyDescent="0.25">
      <c r="K293" s="58"/>
      <c r="L293" s="59"/>
      <c r="M293" s="54"/>
      <c r="N293" s="55"/>
      <c r="P293" s="58"/>
      <c r="Q293" s="59"/>
      <c r="R293" s="54"/>
      <c r="S293" s="55"/>
    </row>
    <row r="294" spans="11:19" x14ac:dyDescent="0.25">
      <c r="K294" s="58"/>
      <c r="L294" s="59"/>
      <c r="M294" s="54"/>
      <c r="N294" s="55"/>
      <c r="P294" s="58"/>
      <c r="Q294" s="59"/>
      <c r="R294" s="54"/>
      <c r="S294" s="55"/>
    </row>
    <row r="295" spans="11:19" x14ac:dyDescent="0.25">
      <c r="K295" s="58"/>
      <c r="L295" s="59"/>
      <c r="M295" s="54"/>
      <c r="N295" s="55"/>
      <c r="P295" s="58"/>
      <c r="Q295" s="59"/>
      <c r="R295" s="54"/>
      <c r="S295" s="55"/>
    </row>
    <row r="296" spans="11:19" x14ac:dyDescent="0.25">
      <c r="K296" s="58"/>
      <c r="L296" s="59"/>
      <c r="M296" s="54"/>
      <c r="N296" s="55"/>
      <c r="P296" s="58"/>
      <c r="Q296" s="59"/>
      <c r="R296" s="54"/>
      <c r="S296" s="55"/>
    </row>
    <row r="297" spans="11:19" x14ac:dyDescent="0.25">
      <c r="K297" s="58"/>
      <c r="L297" s="59"/>
      <c r="M297" s="54"/>
      <c r="N297" s="55"/>
      <c r="P297" s="58"/>
      <c r="Q297" s="59"/>
      <c r="R297" s="54"/>
      <c r="S297" s="55"/>
    </row>
    <row r="298" spans="11:19" x14ac:dyDescent="0.25">
      <c r="K298" s="58"/>
      <c r="L298" s="59"/>
      <c r="M298" s="54"/>
      <c r="N298" s="55"/>
      <c r="P298" s="58"/>
      <c r="Q298" s="59"/>
      <c r="R298" s="54"/>
      <c r="S298" s="55"/>
    </row>
    <row r="299" spans="11:19" x14ac:dyDescent="0.25">
      <c r="K299" s="58"/>
      <c r="L299" s="59"/>
      <c r="M299" s="54"/>
      <c r="N299" s="55"/>
      <c r="P299" s="58"/>
      <c r="Q299" s="59"/>
      <c r="R299" s="54"/>
      <c r="S299" s="55"/>
    </row>
    <row r="300" spans="11:19" x14ac:dyDescent="0.25">
      <c r="K300" s="58"/>
      <c r="L300" s="59"/>
      <c r="M300" s="54"/>
      <c r="N300" s="55"/>
      <c r="P300" s="58"/>
      <c r="Q300" s="59"/>
      <c r="R300" s="54"/>
      <c r="S300" s="55"/>
    </row>
    <row r="301" spans="11:19" x14ac:dyDescent="0.25">
      <c r="K301" s="58"/>
      <c r="L301" s="59"/>
      <c r="M301" s="54"/>
      <c r="N301" s="55"/>
      <c r="P301" s="58"/>
      <c r="Q301" s="59"/>
      <c r="R301" s="54"/>
      <c r="S301" s="55"/>
    </row>
    <row r="302" spans="11:19" x14ac:dyDescent="0.25">
      <c r="K302" s="58"/>
      <c r="L302" s="59"/>
      <c r="M302" s="54"/>
      <c r="N302" s="55"/>
      <c r="P302" s="58"/>
      <c r="Q302" s="59"/>
      <c r="R302" s="54"/>
      <c r="S302" s="55"/>
    </row>
    <row r="303" spans="11:19" x14ac:dyDescent="0.25">
      <c r="K303" s="58"/>
      <c r="L303" s="59"/>
      <c r="M303" s="54"/>
      <c r="N303" s="55"/>
      <c r="P303" s="58"/>
      <c r="Q303" s="59"/>
      <c r="R303" s="54"/>
      <c r="S303" s="55"/>
    </row>
    <row r="304" spans="11:19" x14ac:dyDescent="0.25">
      <c r="K304" s="58"/>
      <c r="L304" s="59"/>
      <c r="M304" s="54"/>
      <c r="N304" s="55"/>
      <c r="P304" s="58"/>
      <c r="Q304" s="59"/>
      <c r="R304" s="54"/>
      <c r="S304" s="55"/>
    </row>
    <row r="305" spans="11:19" x14ac:dyDescent="0.25">
      <c r="K305" s="58"/>
      <c r="L305" s="59"/>
      <c r="M305" s="54"/>
      <c r="N305" s="55"/>
      <c r="P305" s="58"/>
      <c r="Q305" s="59"/>
      <c r="R305" s="54"/>
      <c r="S305" s="55"/>
    </row>
    <row r="306" spans="11:19" x14ac:dyDescent="0.25">
      <c r="K306" s="58"/>
      <c r="L306" s="59"/>
      <c r="M306" s="54"/>
      <c r="N306" s="55"/>
      <c r="P306" s="58"/>
      <c r="Q306" s="59"/>
      <c r="R306" s="54"/>
      <c r="S306" s="55"/>
    </row>
    <row r="307" spans="11:19" x14ac:dyDescent="0.25">
      <c r="K307" s="58"/>
      <c r="L307" s="59"/>
      <c r="M307" s="54"/>
      <c r="N307" s="55"/>
      <c r="P307" s="58"/>
      <c r="Q307" s="59"/>
      <c r="R307" s="54"/>
      <c r="S307" s="55"/>
    </row>
    <row r="308" spans="11:19" x14ac:dyDescent="0.25">
      <c r="K308" s="58"/>
      <c r="L308" s="59"/>
      <c r="M308" s="54"/>
      <c r="N308" s="55"/>
      <c r="P308" s="58"/>
      <c r="Q308" s="59"/>
      <c r="R308" s="54"/>
      <c r="S308" s="55"/>
    </row>
    <row r="309" spans="11:19" x14ac:dyDescent="0.25">
      <c r="K309" s="58"/>
      <c r="L309" s="59"/>
      <c r="M309" s="54"/>
      <c r="N309" s="55"/>
      <c r="P309" s="58"/>
      <c r="Q309" s="59"/>
      <c r="R309" s="54"/>
      <c r="S309" s="55"/>
    </row>
    <row r="310" spans="11:19" x14ac:dyDescent="0.25">
      <c r="K310" s="58"/>
      <c r="L310" s="59"/>
      <c r="M310" s="54"/>
      <c r="N310" s="55"/>
      <c r="P310" s="58"/>
      <c r="Q310" s="59"/>
      <c r="R310" s="54"/>
      <c r="S310" s="55"/>
    </row>
    <row r="311" spans="11:19" x14ac:dyDescent="0.25">
      <c r="K311" s="58"/>
      <c r="L311" s="59"/>
      <c r="M311" s="54"/>
      <c r="N311" s="55"/>
      <c r="P311" s="58"/>
      <c r="Q311" s="59"/>
      <c r="R311" s="54"/>
      <c r="S311" s="55"/>
    </row>
    <row r="312" spans="11:19" x14ac:dyDescent="0.25">
      <c r="K312" s="58"/>
      <c r="L312" s="59"/>
      <c r="M312" s="54"/>
      <c r="N312" s="55"/>
      <c r="P312" s="58"/>
      <c r="Q312" s="59"/>
      <c r="R312" s="54"/>
      <c r="S312" s="55"/>
    </row>
    <row r="313" spans="11:19" x14ac:dyDescent="0.25">
      <c r="K313" s="58"/>
      <c r="L313" s="59"/>
      <c r="M313" s="54"/>
      <c r="N313" s="55"/>
      <c r="P313" s="58"/>
      <c r="Q313" s="59"/>
      <c r="R313" s="54"/>
      <c r="S313" s="55"/>
    </row>
    <row r="314" spans="11:19" x14ac:dyDescent="0.25">
      <c r="K314" s="58"/>
      <c r="L314" s="59"/>
      <c r="M314" s="54"/>
      <c r="N314" s="55"/>
      <c r="P314" s="58"/>
      <c r="Q314" s="59"/>
      <c r="R314" s="54"/>
      <c r="S314" s="55"/>
    </row>
    <row r="315" spans="11:19" x14ac:dyDescent="0.25">
      <c r="K315" s="58"/>
      <c r="L315" s="59"/>
      <c r="M315" s="54"/>
      <c r="N315" s="55"/>
      <c r="P315" s="58"/>
      <c r="Q315" s="59"/>
      <c r="R315" s="54"/>
      <c r="S315" s="55"/>
    </row>
    <row r="316" spans="11:19" x14ac:dyDescent="0.25">
      <c r="K316" s="58"/>
      <c r="L316" s="59"/>
      <c r="M316" s="54"/>
      <c r="N316" s="55"/>
      <c r="P316" s="58"/>
      <c r="Q316" s="59"/>
      <c r="R316" s="54"/>
      <c r="S316" s="55"/>
    </row>
    <row r="317" spans="11:19" x14ac:dyDescent="0.25">
      <c r="K317" s="58"/>
      <c r="L317" s="59"/>
      <c r="M317" s="54"/>
      <c r="N317" s="55"/>
      <c r="P317" s="58"/>
      <c r="Q317" s="59"/>
      <c r="R317" s="54"/>
      <c r="S317" s="55"/>
    </row>
    <row r="318" spans="11:19" x14ac:dyDescent="0.25">
      <c r="K318" s="58"/>
      <c r="L318" s="59"/>
      <c r="M318" s="54"/>
      <c r="N318" s="55"/>
      <c r="P318" s="58"/>
      <c r="Q318" s="59"/>
      <c r="R318" s="54"/>
      <c r="S318" s="55"/>
    </row>
    <row r="319" spans="11:19" x14ac:dyDescent="0.25">
      <c r="K319" s="58"/>
      <c r="L319" s="59"/>
      <c r="M319" s="54"/>
      <c r="N319" s="55"/>
      <c r="P319" s="58"/>
      <c r="Q319" s="59"/>
      <c r="R319" s="54"/>
      <c r="S319" s="55"/>
    </row>
    <row r="320" spans="11:19" x14ac:dyDescent="0.25">
      <c r="K320" s="58"/>
      <c r="L320" s="59"/>
      <c r="M320" s="54"/>
      <c r="N320" s="55"/>
      <c r="P320" s="58"/>
      <c r="Q320" s="59"/>
      <c r="R320" s="54"/>
      <c r="S320" s="55"/>
    </row>
    <row r="321" spans="11:19" x14ac:dyDescent="0.25">
      <c r="K321" s="58"/>
      <c r="L321" s="59"/>
      <c r="M321" s="54"/>
      <c r="N321" s="55"/>
      <c r="P321" s="58"/>
      <c r="Q321" s="59"/>
      <c r="R321" s="54"/>
      <c r="S321" s="55"/>
    </row>
    <row r="322" spans="11:19" x14ac:dyDescent="0.25">
      <c r="K322" s="58"/>
      <c r="L322" s="59"/>
      <c r="M322" s="54"/>
      <c r="N322" s="55"/>
      <c r="P322" s="58"/>
      <c r="Q322" s="59"/>
      <c r="R322" s="54"/>
      <c r="S322" s="55"/>
    </row>
    <row r="323" spans="11:19" x14ac:dyDescent="0.25">
      <c r="K323" s="58"/>
      <c r="L323" s="59"/>
      <c r="M323" s="54"/>
      <c r="N323" s="55"/>
      <c r="P323" s="58"/>
      <c r="Q323" s="59"/>
      <c r="R323" s="54"/>
      <c r="S323" s="55"/>
    </row>
    <row r="324" spans="11:19" x14ac:dyDescent="0.25">
      <c r="K324" s="58"/>
      <c r="L324" s="59"/>
      <c r="M324" s="54"/>
      <c r="N324" s="55"/>
      <c r="P324" s="58"/>
      <c r="Q324" s="59"/>
      <c r="R324" s="54"/>
      <c r="S324" s="55"/>
    </row>
    <row r="325" spans="11:19" x14ac:dyDescent="0.25">
      <c r="K325" s="58"/>
      <c r="L325" s="59"/>
      <c r="M325" s="54"/>
      <c r="N325" s="55"/>
      <c r="P325" s="58"/>
      <c r="Q325" s="59"/>
      <c r="R325" s="54"/>
      <c r="S325" s="55"/>
    </row>
    <row r="326" spans="11:19" x14ac:dyDescent="0.25">
      <c r="K326" s="58"/>
      <c r="L326" s="59"/>
      <c r="M326" s="54"/>
      <c r="N326" s="55"/>
      <c r="P326" s="58"/>
      <c r="Q326" s="59"/>
      <c r="R326" s="54"/>
      <c r="S326" s="55"/>
    </row>
    <row r="327" spans="11:19" x14ac:dyDescent="0.25">
      <c r="K327" s="58"/>
      <c r="L327" s="59"/>
      <c r="M327" s="54"/>
      <c r="N327" s="55"/>
      <c r="P327" s="58"/>
      <c r="Q327" s="59"/>
      <c r="R327" s="54"/>
      <c r="S327" s="55"/>
    </row>
    <row r="328" spans="11:19" x14ac:dyDescent="0.25">
      <c r="K328" s="58"/>
      <c r="L328" s="59"/>
      <c r="M328" s="54"/>
      <c r="N328" s="55"/>
      <c r="P328" s="58"/>
      <c r="Q328" s="59"/>
      <c r="R328" s="54"/>
      <c r="S328" s="55"/>
    </row>
    <row r="329" spans="11:19" x14ac:dyDescent="0.25">
      <c r="K329" s="58"/>
      <c r="L329" s="59"/>
      <c r="M329" s="54"/>
      <c r="N329" s="55"/>
      <c r="P329" s="58"/>
      <c r="Q329" s="59"/>
      <c r="R329" s="54"/>
      <c r="S329" s="55"/>
    </row>
    <row r="330" spans="11:19" x14ac:dyDescent="0.25">
      <c r="K330" s="58"/>
      <c r="L330" s="59"/>
      <c r="M330" s="54"/>
      <c r="N330" s="55"/>
      <c r="P330" s="58"/>
      <c r="Q330" s="59"/>
      <c r="R330" s="54"/>
      <c r="S330" s="55"/>
    </row>
    <row r="331" spans="11:19" x14ac:dyDescent="0.25">
      <c r="K331" s="58"/>
      <c r="L331" s="59"/>
      <c r="M331" s="54"/>
      <c r="N331" s="55"/>
      <c r="P331" s="58"/>
      <c r="Q331" s="59"/>
      <c r="R331" s="54"/>
      <c r="S331" s="55"/>
    </row>
    <row r="332" spans="11:19" x14ac:dyDescent="0.25">
      <c r="K332" s="58"/>
      <c r="L332" s="59"/>
      <c r="M332" s="54"/>
      <c r="N332" s="55"/>
      <c r="P332" s="58"/>
      <c r="Q332" s="59"/>
      <c r="R332" s="54"/>
      <c r="S332" s="55"/>
    </row>
    <row r="333" spans="11:19" x14ac:dyDescent="0.25">
      <c r="K333" s="58"/>
      <c r="L333" s="59"/>
      <c r="M333" s="54"/>
      <c r="N333" s="55"/>
      <c r="P333" s="58"/>
      <c r="Q333" s="59"/>
      <c r="R333" s="54"/>
      <c r="S333" s="55"/>
    </row>
    <row r="334" spans="11:19" x14ac:dyDescent="0.25">
      <c r="K334" s="58"/>
      <c r="L334" s="59"/>
      <c r="M334" s="54"/>
      <c r="N334" s="55"/>
      <c r="P334" s="58"/>
      <c r="Q334" s="59"/>
      <c r="R334" s="54"/>
      <c r="S334" s="55"/>
    </row>
    <row r="335" spans="11:19" x14ac:dyDescent="0.25">
      <c r="K335" s="58"/>
      <c r="L335" s="59"/>
      <c r="M335" s="54"/>
      <c r="N335" s="55"/>
      <c r="P335" s="58"/>
      <c r="Q335" s="59"/>
      <c r="R335" s="54"/>
      <c r="S335" s="55"/>
    </row>
    <row r="336" spans="11:19" x14ac:dyDescent="0.25">
      <c r="K336" s="58"/>
      <c r="L336" s="59"/>
      <c r="M336" s="54"/>
      <c r="N336" s="55"/>
      <c r="P336" s="58"/>
      <c r="Q336" s="59"/>
      <c r="R336" s="54"/>
      <c r="S336" s="55"/>
    </row>
    <row r="337" spans="11:19" x14ac:dyDescent="0.25">
      <c r="K337" s="58"/>
      <c r="L337" s="59"/>
      <c r="M337" s="54"/>
      <c r="N337" s="55"/>
      <c r="P337" s="58"/>
      <c r="Q337" s="59"/>
      <c r="R337" s="54"/>
      <c r="S337" s="55"/>
    </row>
    <row r="338" spans="11:19" x14ac:dyDescent="0.25">
      <c r="K338" s="58"/>
      <c r="L338" s="59"/>
      <c r="M338" s="54"/>
      <c r="N338" s="55"/>
      <c r="P338" s="58"/>
      <c r="Q338" s="59"/>
      <c r="R338" s="54"/>
      <c r="S338" s="55"/>
    </row>
    <row r="339" spans="11:19" x14ac:dyDescent="0.25">
      <c r="K339" s="58"/>
      <c r="L339" s="59"/>
      <c r="M339" s="54"/>
      <c r="N339" s="55"/>
      <c r="P339" s="58"/>
      <c r="Q339" s="59"/>
      <c r="R339" s="54"/>
      <c r="S339" s="55"/>
    </row>
    <row r="340" spans="11:19" x14ac:dyDescent="0.25">
      <c r="K340" s="58"/>
      <c r="L340" s="59"/>
      <c r="M340" s="54"/>
      <c r="N340" s="55"/>
      <c r="P340" s="58"/>
      <c r="Q340" s="59"/>
      <c r="R340" s="54"/>
      <c r="S340" s="55"/>
    </row>
    <row r="341" spans="11:19" x14ac:dyDescent="0.25">
      <c r="K341" s="58"/>
      <c r="L341" s="59"/>
      <c r="M341" s="54"/>
      <c r="N341" s="55"/>
      <c r="P341" s="58"/>
      <c r="Q341" s="59"/>
      <c r="R341" s="54"/>
      <c r="S341" s="55"/>
    </row>
    <row r="342" spans="11:19" x14ac:dyDescent="0.25">
      <c r="K342" s="58"/>
      <c r="L342" s="59"/>
      <c r="M342" s="54"/>
      <c r="N342" s="55"/>
      <c r="P342" s="58"/>
      <c r="Q342" s="59"/>
      <c r="R342" s="54"/>
      <c r="S342" s="55"/>
    </row>
    <row r="343" spans="11:19" x14ac:dyDescent="0.25">
      <c r="K343" s="58"/>
      <c r="L343" s="59"/>
      <c r="M343" s="54"/>
      <c r="N343" s="55"/>
      <c r="P343" s="58"/>
      <c r="Q343" s="59"/>
      <c r="R343" s="54"/>
      <c r="S343" s="55"/>
    </row>
    <row r="344" spans="11:19" x14ac:dyDescent="0.25">
      <c r="K344" s="58"/>
      <c r="L344" s="59"/>
      <c r="M344" s="54"/>
      <c r="N344" s="55"/>
      <c r="P344" s="58"/>
      <c r="Q344" s="59"/>
      <c r="R344" s="54"/>
      <c r="S344" s="55"/>
    </row>
    <row r="345" spans="11:19" x14ac:dyDescent="0.25">
      <c r="K345" s="58"/>
      <c r="L345" s="59"/>
      <c r="M345" s="54"/>
      <c r="N345" s="55"/>
      <c r="P345" s="58"/>
      <c r="Q345" s="59"/>
      <c r="R345" s="54"/>
      <c r="S345" s="55"/>
    </row>
    <row r="346" spans="11:19" x14ac:dyDescent="0.25">
      <c r="K346" s="58"/>
      <c r="L346" s="59"/>
      <c r="M346" s="54"/>
      <c r="N346" s="55"/>
      <c r="P346" s="58"/>
      <c r="Q346" s="59"/>
      <c r="R346" s="54"/>
      <c r="S346" s="55"/>
    </row>
    <row r="347" spans="11:19" x14ac:dyDescent="0.25">
      <c r="K347" s="58"/>
      <c r="L347" s="59"/>
      <c r="M347" s="54"/>
      <c r="N347" s="55"/>
      <c r="P347" s="58"/>
      <c r="Q347" s="59"/>
      <c r="R347" s="54"/>
      <c r="S347" s="55"/>
    </row>
    <row r="348" spans="11:19" ht="15.75" thickBot="1" x14ac:dyDescent="0.3">
      <c r="K348" s="60"/>
      <c r="L348" s="61"/>
      <c r="M348" s="56"/>
      <c r="N348" s="57"/>
      <c r="P348" s="60"/>
      <c r="Q348" s="61"/>
      <c r="R348" s="56"/>
      <c r="S348" s="57"/>
    </row>
  </sheetData>
  <mergeCells count="4">
    <mergeCell ref="A8:D8"/>
    <mergeCell ref="F8:I8"/>
    <mergeCell ref="K8:N8"/>
    <mergeCell ref="P8:S8"/>
  </mergeCells>
  <conditionalFormatting sqref="G3">
    <cfRule type="cellIs" dxfId="124" priority="5" operator="greaterThan">
      <formula>$J$4</formula>
    </cfRule>
  </conditionalFormatting>
  <conditionalFormatting sqref="T5">
    <cfRule type="cellIs" dxfId="123" priority="1" operator="greaterThan">
      <formula>$T$6</formula>
    </cfRule>
    <cfRule type="cellIs" dxfId="122" priority="4" operator="lessThan">
      <formula>$T$6</formula>
    </cfRule>
  </conditionalFormatting>
  <conditionalFormatting sqref="T6">
    <cfRule type="cellIs" dxfId="121" priority="2" operator="greaterThan">
      <formula>$T$5</formula>
    </cfRule>
    <cfRule type="cellIs" dxfId="120" priority="3" operator="lessThan">
      <formula>$T$5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F2075-C6FD-4BDA-BEAC-F84610A2F68D}">
  <sheetPr codeName="Sheet28"/>
  <dimension ref="A1:T348"/>
  <sheetViews>
    <sheetView zoomScale="90" zoomScaleNormal="90" workbookViewId="0">
      <pane ySplit="9" topLeftCell="A10" activePane="bottomLeft" state="frozen"/>
      <selection pane="bottomLeft" activeCell="A14" sqref="A14"/>
    </sheetView>
  </sheetViews>
  <sheetFormatPr baseColWidth="10" defaultColWidth="9.140625" defaultRowHeight="15" x14ac:dyDescent="0.25"/>
  <cols>
    <col min="2" max="2" width="11.85546875" bestFit="1" customWidth="1"/>
    <col min="3" max="3" width="17.140625" bestFit="1" customWidth="1"/>
    <col min="4" max="4" width="14.5703125" customWidth="1"/>
    <col min="5" max="7" width="14.5703125" bestFit="1" customWidth="1"/>
    <col min="8" max="8" width="18.7109375" bestFit="1" customWidth="1"/>
    <col min="9" max="9" width="16.28515625" bestFit="1" customWidth="1"/>
    <col min="10" max="10" width="14" bestFit="1" customWidth="1"/>
    <col min="12" max="12" width="11.85546875" bestFit="1" customWidth="1"/>
    <col min="13" max="13" width="17.140625" bestFit="1" customWidth="1"/>
    <col min="14" max="14" width="14.42578125" bestFit="1" customWidth="1"/>
    <col min="15" max="15" width="8.7109375" customWidth="1"/>
    <col min="17" max="17" width="14.85546875" bestFit="1" customWidth="1"/>
    <col min="18" max="18" width="17.140625" bestFit="1" customWidth="1"/>
    <col min="19" max="19" width="14.85546875" bestFit="1" customWidth="1"/>
    <col min="20" max="20" width="12.42578125" bestFit="1" customWidth="1"/>
    <col min="22" max="23" width="14.5703125" bestFit="1" customWidth="1"/>
    <col min="24" max="24" width="15.85546875" bestFit="1" customWidth="1"/>
    <col min="26" max="26" width="15.85546875" bestFit="1" customWidth="1"/>
  </cols>
  <sheetData>
    <row r="1" spans="1:20" ht="15.75" thickBot="1" x14ac:dyDescent="0.3">
      <c r="C1" s="1" t="s">
        <v>0</v>
      </c>
      <c r="D1" s="2" t="s">
        <v>1</v>
      </c>
      <c r="E1" s="1" t="s">
        <v>2</v>
      </c>
      <c r="F1" s="2" t="s">
        <v>3</v>
      </c>
      <c r="G1" s="63" t="s">
        <v>4</v>
      </c>
      <c r="H1" s="81" t="s">
        <v>24</v>
      </c>
      <c r="I1" s="66" t="s">
        <v>5</v>
      </c>
      <c r="J1" s="3">
        <v>368</v>
      </c>
      <c r="M1" s="1" t="s">
        <v>5</v>
      </c>
      <c r="N1" s="4" t="s">
        <v>6</v>
      </c>
      <c r="P1" t="s">
        <v>0</v>
      </c>
      <c r="Q1">
        <f>SUM(E10:E54)</f>
        <v>1</v>
      </c>
      <c r="R1" t="s">
        <v>2</v>
      </c>
      <c r="S1">
        <f>(M3/M2)*Q1</f>
        <v>0.66666666666666674</v>
      </c>
    </row>
    <row r="2" spans="1:20" ht="15.75" thickBot="1" x14ac:dyDescent="0.3">
      <c r="B2" s="5" t="s">
        <v>7</v>
      </c>
      <c r="C2" s="6">
        <f>SUMPRODUCT(C10:C118,E10:E118)</f>
        <v>823261</v>
      </c>
      <c r="D2" s="7">
        <f>SUMPRODUCT(H10:H118,J10:J118)</f>
        <v>0</v>
      </c>
      <c r="E2" s="6">
        <f>SUMPRODUCT(M10:M348,O10:O348)</f>
        <v>594508.00000000012</v>
      </c>
      <c r="F2" s="7">
        <f>SUMPRODUCT(R10:R348,T10:T348)</f>
        <v>0</v>
      </c>
      <c r="G2" s="64">
        <f>C2+D2+E2+F2</f>
        <v>1417769</v>
      </c>
      <c r="H2" s="82">
        <v>24786935</v>
      </c>
      <c r="I2" s="67" t="s">
        <v>6</v>
      </c>
      <c r="J2" s="8">
        <v>334</v>
      </c>
      <c r="L2" s="5" t="s">
        <v>8</v>
      </c>
      <c r="M2" s="9">
        <v>0.6</v>
      </c>
      <c r="N2" s="10">
        <v>0.25</v>
      </c>
      <c r="P2" t="s">
        <v>3</v>
      </c>
      <c r="Q2">
        <f>SUM(T10:T64)</f>
        <v>0</v>
      </c>
      <c r="R2" t="s">
        <v>1</v>
      </c>
      <c r="S2">
        <f>(N2/N3)*Q2</f>
        <v>0</v>
      </c>
    </row>
    <row r="3" spans="1:20" ht="15.75" thickBot="1" x14ac:dyDescent="0.3">
      <c r="B3" s="11" t="s">
        <v>9</v>
      </c>
      <c r="C3" s="12">
        <f>SUMPRODUCT(B10:B118,E10:E118)</f>
        <v>30.326086956521738</v>
      </c>
      <c r="D3" s="13">
        <f>SUMPRODUCT(G10:G118,J10:J118)</f>
        <v>0</v>
      </c>
      <c r="E3" s="12">
        <f>SUMPRODUCT(L10:L348,O10:O348)</f>
        <v>20.217391304347828</v>
      </c>
      <c r="F3" s="13">
        <f>SUMPRODUCT(Q10:Q348,T10:T348)</f>
        <v>0</v>
      </c>
      <c r="G3" s="65">
        <f>SUM(C3:F3)</f>
        <v>50.543478260869563</v>
      </c>
      <c r="H3" s="80">
        <f>(H2-G2)/G2</f>
        <v>16.483056125504227</v>
      </c>
      <c r="I3" s="67" t="s">
        <v>10</v>
      </c>
      <c r="J3" s="8">
        <f>11160</f>
        <v>11160</v>
      </c>
      <c r="L3" s="14" t="s">
        <v>11</v>
      </c>
      <c r="M3" s="15">
        <v>0.4</v>
      </c>
      <c r="N3" s="16">
        <v>0.75</v>
      </c>
      <c r="P3" t="s">
        <v>0</v>
      </c>
      <c r="Q3">
        <v>1</v>
      </c>
      <c r="R3" t="s">
        <v>2</v>
      </c>
      <c r="S3">
        <f>(M3/M2)*Q3</f>
        <v>0.66666666666666674</v>
      </c>
    </row>
    <row r="4" spans="1:20" ht="15.75" thickBot="1" x14ac:dyDescent="0.3">
      <c r="B4" s="14" t="s">
        <v>12</v>
      </c>
      <c r="C4" s="17">
        <f>SUM(E10:E118)*J3</f>
        <v>11160</v>
      </c>
      <c r="D4" s="18">
        <f>SUM(J10:J118)*J3</f>
        <v>0</v>
      </c>
      <c r="E4" s="17">
        <f>SUM(O10:O348)*J3</f>
        <v>7440.0000000000009</v>
      </c>
      <c r="F4" s="18">
        <f>SUM(T10:T348)*J3</f>
        <v>0</v>
      </c>
      <c r="G4" s="19">
        <f>SUM(C4:F4)</f>
        <v>18600</v>
      </c>
      <c r="H4" s="20"/>
      <c r="I4" s="21" t="s">
        <v>13</v>
      </c>
      <c r="J4" s="22">
        <v>100000</v>
      </c>
      <c r="L4" s="5" t="s">
        <v>14</v>
      </c>
      <c r="M4" s="76">
        <f>C4/(C4+E4)</f>
        <v>0.6</v>
      </c>
      <c r="N4" s="77" t="e">
        <f>D4/(D4+F4)</f>
        <v>#DIV/0!</v>
      </c>
      <c r="O4" s="23"/>
      <c r="P4" t="s">
        <v>3</v>
      </c>
      <c r="Q4">
        <v>1</v>
      </c>
      <c r="R4" t="s">
        <v>1</v>
      </c>
      <c r="S4">
        <f>(N2/N3)*Q4</f>
        <v>0.33333333333333331</v>
      </c>
    </row>
    <row r="5" spans="1:20" ht="15.75" thickBot="1" x14ac:dyDescent="0.3">
      <c r="B5" s="24" t="s">
        <v>15</v>
      </c>
      <c r="C5" s="25">
        <v>217620</v>
      </c>
      <c r="D5" s="26">
        <v>74400</v>
      </c>
      <c r="E5" s="27">
        <v>145080</v>
      </c>
      <c r="F5" s="26">
        <v>223200</v>
      </c>
      <c r="G5" s="28">
        <f>SUM(C5:F5)</f>
        <v>660300</v>
      </c>
      <c r="H5" s="20"/>
      <c r="I5" s="20"/>
      <c r="L5" s="29" t="s">
        <v>16</v>
      </c>
      <c r="M5" s="78">
        <f>E4/(C4+E4)</f>
        <v>0.4</v>
      </c>
      <c r="N5" s="79" t="e">
        <f>F4/(D4+F4)</f>
        <v>#DIV/0!</v>
      </c>
      <c r="O5" s="23"/>
      <c r="P5" t="s">
        <v>0</v>
      </c>
      <c r="Q5" s="88">
        <v>27146.957706093192</v>
      </c>
      <c r="R5" t="s">
        <v>2</v>
      </c>
      <c r="S5" s="88">
        <v>29405.772043010755</v>
      </c>
      <c r="T5">
        <f>Q5*Q3+S5*S3</f>
        <v>46750.805734767026</v>
      </c>
    </row>
    <row r="6" spans="1:20" ht="15.75" thickBot="1" x14ac:dyDescent="0.3">
      <c r="B6" s="24" t="s">
        <v>17</v>
      </c>
      <c r="C6" s="27">
        <f>C5-C4</f>
        <v>206460</v>
      </c>
      <c r="D6" s="30">
        <f>D5-D4</f>
        <v>74400</v>
      </c>
      <c r="E6" s="27">
        <f>E5-E4</f>
        <v>137640</v>
      </c>
      <c r="F6" s="30">
        <f>F5-F4</f>
        <v>223200</v>
      </c>
      <c r="H6" s="20"/>
      <c r="I6" s="20"/>
      <c r="J6" s="62"/>
      <c r="N6" s="23"/>
      <c r="O6" s="23"/>
      <c r="P6" t="s">
        <v>3</v>
      </c>
      <c r="Q6" s="88">
        <v>24785.014695340502</v>
      </c>
      <c r="R6" t="s">
        <v>1</v>
      </c>
      <c r="S6" s="88">
        <v>25114.615232974909</v>
      </c>
      <c r="T6">
        <f>Q6*Q4+S6*S4</f>
        <v>33156.55310633214</v>
      </c>
    </row>
    <row r="7" spans="1:20" ht="15.75" thickBot="1" x14ac:dyDescent="0.3"/>
    <row r="8" spans="1:20" ht="15.75" thickBot="1" x14ac:dyDescent="0.3">
      <c r="A8" s="113" t="s">
        <v>18</v>
      </c>
      <c r="B8" s="114"/>
      <c r="C8" s="114"/>
      <c r="D8" s="115"/>
      <c r="E8" s="31"/>
      <c r="F8" s="113" t="s">
        <v>19</v>
      </c>
      <c r="G8" s="114"/>
      <c r="H8" s="114"/>
      <c r="I8" s="115"/>
      <c r="J8" s="31"/>
      <c r="K8" s="113" t="s">
        <v>20</v>
      </c>
      <c r="L8" s="114"/>
      <c r="M8" s="114"/>
      <c r="N8" s="115"/>
      <c r="O8" s="31"/>
      <c r="P8" s="113" t="s">
        <v>21</v>
      </c>
      <c r="Q8" s="114"/>
      <c r="R8" s="114"/>
      <c r="S8" s="115"/>
    </row>
    <row r="9" spans="1:20" ht="15.75" thickBot="1" x14ac:dyDescent="0.3">
      <c r="A9" s="32" t="s">
        <v>22</v>
      </c>
      <c r="B9" s="33" t="s">
        <v>9</v>
      </c>
      <c r="C9" s="33" t="s">
        <v>7</v>
      </c>
      <c r="D9" s="34" t="s">
        <v>23</v>
      </c>
      <c r="E9" s="31"/>
      <c r="F9" s="32" t="s">
        <v>22</v>
      </c>
      <c r="G9" s="33" t="s">
        <v>9</v>
      </c>
      <c r="H9" s="33" t="s">
        <v>7</v>
      </c>
      <c r="I9" s="34" t="s">
        <v>23</v>
      </c>
      <c r="J9" s="31"/>
      <c r="K9" s="32" t="s">
        <v>22</v>
      </c>
      <c r="L9" s="33" t="s">
        <v>9</v>
      </c>
      <c r="M9" s="33" t="s">
        <v>7</v>
      </c>
      <c r="N9" s="34" t="s">
        <v>23</v>
      </c>
      <c r="O9" s="31"/>
      <c r="P9" s="35" t="s">
        <v>22</v>
      </c>
      <c r="Q9" s="36" t="s">
        <v>9</v>
      </c>
      <c r="R9" s="36" t="s">
        <v>7</v>
      </c>
      <c r="S9" s="37" t="s">
        <v>23</v>
      </c>
    </row>
    <row r="10" spans="1:20" x14ac:dyDescent="0.25">
      <c r="A10" s="38">
        <v>15</v>
      </c>
      <c r="B10" s="39">
        <f>$J$3/$J$1</f>
        <v>30.326086956521738</v>
      </c>
      <c r="C10" s="40">
        <v>823261</v>
      </c>
      <c r="D10" s="41">
        <f>C10/B10</f>
        <v>27146.957706093192</v>
      </c>
      <c r="E10">
        <v>1</v>
      </c>
      <c r="F10" s="86">
        <v>9</v>
      </c>
      <c r="G10" s="68">
        <f>$J$3/$J$2</f>
        <v>33.41317365269461</v>
      </c>
      <c r="H10" s="87">
        <v>839159</v>
      </c>
      <c r="I10" s="69">
        <f>H10/G10</f>
        <v>25114.615232974909</v>
      </c>
      <c r="K10" s="89">
        <v>99</v>
      </c>
      <c r="L10" s="90">
        <f>$J$3/$J$1</f>
        <v>30.326086956521738</v>
      </c>
      <c r="M10" s="91">
        <v>891762</v>
      </c>
      <c r="N10" s="92">
        <f>M10/L10</f>
        <v>29405.772043010755</v>
      </c>
      <c r="O10">
        <v>0.66666666666666674</v>
      </c>
      <c r="P10" s="86">
        <v>31</v>
      </c>
      <c r="Q10" s="68">
        <f>$J$3/$J$2</f>
        <v>33.41317365269461</v>
      </c>
      <c r="R10" s="87">
        <v>828146</v>
      </c>
      <c r="S10" s="69">
        <f>R10/Q10</f>
        <v>24785.014695340502</v>
      </c>
    </row>
    <row r="11" spans="1:20" x14ac:dyDescent="0.25">
      <c r="A11" s="58">
        <v>4</v>
      </c>
      <c r="B11" s="68">
        <f t="shared" ref="B11:B54" si="0">$J$3/$J$1</f>
        <v>30.326086956521738</v>
      </c>
      <c r="C11" s="54">
        <v>748702</v>
      </c>
      <c r="D11" s="69">
        <f t="shared" ref="D11:D54" si="1">C11/B11</f>
        <v>24688.381362007171</v>
      </c>
      <c r="F11" s="58">
        <v>1</v>
      </c>
      <c r="G11" s="68">
        <f t="shared" ref="G11:G54" si="2">$J$3/$J$2</f>
        <v>33.41317365269461</v>
      </c>
      <c r="H11" s="54">
        <v>816679</v>
      </c>
      <c r="I11" s="69">
        <f t="shared" ref="I11:I54" si="3">H11/G11</f>
        <v>24441.826702508963</v>
      </c>
      <c r="K11" s="58">
        <v>22</v>
      </c>
      <c r="L11" s="68">
        <f t="shared" ref="L11:L64" si="4">$J$3/$J$1</f>
        <v>30.326086956521738</v>
      </c>
      <c r="M11" s="54">
        <v>787867</v>
      </c>
      <c r="N11" s="69">
        <f t="shared" ref="N11:N64" si="5">M11/L11</f>
        <v>25979.843727598567</v>
      </c>
      <c r="P11" s="58">
        <v>95</v>
      </c>
      <c r="Q11" s="68">
        <f t="shared" ref="Q11:Q64" si="6">$J$3/$J$2</f>
        <v>33.41317365269461</v>
      </c>
      <c r="R11" s="54">
        <v>778683</v>
      </c>
      <c r="S11" s="69">
        <f t="shared" ref="S11:S64" si="7">R11/Q11</f>
        <v>23304.670430107526</v>
      </c>
    </row>
    <row r="12" spans="1:20" x14ac:dyDescent="0.25">
      <c r="A12" s="58">
        <v>75</v>
      </c>
      <c r="B12" s="68">
        <f t="shared" si="0"/>
        <v>30.326086956521738</v>
      </c>
      <c r="C12" s="54">
        <v>700923</v>
      </c>
      <c r="D12" s="69">
        <f t="shared" si="1"/>
        <v>23112.873118279571</v>
      </c>
      <c r="F12" s="58">
        <v>3</v>
      </c>
      <c r="G12" s="68">
        <f t="shared" si="2"/>
        <v>33.41317365269461</v>
      </c>
      <c r="H12" s="54">
        <v>637399</v>
      </c>
      <c r="I12" s="69">
        <f t="shared" si="3"/>
        <v>19076.278315412186</v>
      </c>
      <c r="K12" s="58">
        <v>83</v>
      </c>
      <c r="L12" s="68">
        <f t="shared" si="4"/>
        <v>30.326086956521738</v>
      </c>
      <c r="M12" s="54">
        <v>776669</v>
      </c>
      <c r="N12" s="69">
        <f t="shared" si="5"/>
        <v>25610.590681003585</v>
      </c>
      <c r="P12" s="58">
        <v>32</v>
      </c>
      <c r="Q12" s="68">
        <f t="shared" si="6"/>
        <v>33.41317365269461</v>
      </c>
      <c r="R12" s="54">
        <v>742165</v>
      </c>
      <c r="S12" s="69">
        <f t="shared" si="7"/>
        <v>22211.748207885306</v>
      </c>
    </row>
    <row r="13" spans="1:20" x14ac:dyDescent="0.25">
      <c r="A13" s="58">
        <v>61</v>
      </c>
      <c r="B13" s="68">
        <f t="shared" si="0"/>
        <v>30.326086956521738</v>
      </c>
      <c r="C13" s="54">
        <v>594344</v>
      </c>
      <c r="D13" s="69">
        <f t="shared" si="1"/>
        <v>19598.440143369175</v>
      </c>
      <c r="F13" s="58">
        <v>89</v>
      </c>
      <c r="G13" s="68">
        <f t="shared" si="2"/>
        <v>33.41317365269461</v>
      </c>
      <c r="H13" s="54">
        <v>626952</v>
      </c>
      <c r="I13" s="69">
        <f t="shared" si="3"/>
        <v>18763.617204301077</v>
      </c>
      <c r="K13" s="58">
        <v>57</v>
      </c>
      <c r="L13" s="68">
        <f t="shared" si="4"/>
        <v>30.326086956521738</v>
      </c>
      <c r="M13" s="54">
        <v>764937</v>
      </c>
      <c r="N13" s="69">
        <f t="shared" si="5"/>
        <v>25223.729032258067</v>
      </c>
      <c r="P13" s="58">
        <v>86</v>
      </c>
      <c r="Q13" s="68">
        <f t="shared" si="6"/>
        <v>33.41317365269461</v>
      </c>
      <c r="R13" s="54">
        <v>708838</v>
      </c>
      <c r="S13" s="69">
        <f t="shared" si="7"/>
        <v>21214.327240143371</v>
      </c>
    </row>
    <row r="14" spans="1:20" x14ac:dyDescent="0.25">
      <c r="A14" s="58">
        <v>2</v>
      </c>
      <c r="B14" s="68">
        <f t="shared" si="0"/>
        <v>30.326086956521738</v>
      </c>
      <c r="C14" s="54">
        <v>573963</v>
      </c>
      <c r="D14" s="69">
        <f t="shared" si="1"/>
        <v>18926.378494623656</v>
      </c>
      <c r="F14" s="58">
        <v>74</v>
      </c>
      <c r="G14" s="68">
        <f t="shared" si="2"/>
        <v>33.41317365269461</v>
      </c>
      <c r="H14" s="54">
        <v>528188</v>
      </c>
      <c r="I14" s="69">
        <f t="shared" si="3"/>
        <v>15807.7770609319</v>
      </c>
      <c r="K14" s="58">
        <v>33</v>
      </c>
      <c r="L14" s="68">
        <f t="shared" si="4"/>
        <v>30.326086956521738</v>
      </c>
      <c r="M14" s="54">
        <v>739492</v>
      </c>
      <c r="N14" s="69">
        <f t="shared" si="5"/>
        <v>24384.682437275987</v>
      </c>
      <c r="P14" s="58">
        <v>44</v>
      </c>
      <c r="Q14" s="68">
        <f t="shared" si="6"/>
        <v>33.41317365269461</v>
      </c>
      <c r="R14" s="54">
        <v>644475</v>
      </c>
      <c r="S14" s="69">
        <f t="shared" si="7"/>
        <v>19288.051075268817</v>
      </c>
    </row>
    <row r="15" spans="1:20" x14ac:dyDescent="0.25">
      <c r="A15" s="58">
        <v>66</v>
      </c>
      <c r="B15" s="68">
        <f t="shared" si="0"/>
        <v>30.326086956521738</v>
      </c>
      <c r="C15" s="54">
        <v>543888</v>
      </c>
      <c r="D15" s="69">
        <f t="shared" si="1"/>
        <v>17934.65806451613</v>
      </c>
      <c r="F15" s="58">
        <v>7</v>
      </c>
      <c r="G15" s="68">
        <f t="shared" si="2"/>
        <v>33.41317365269461</v>
      </c>
      <c r="H15" s="54">
        <v>517706</v>
      </c>
      <c r="I15" s="69">
        <f t="shared" si="3"/>
        <v>15494.068458781363</v>
      </c>
      <c r="K15" s="58">
        <v>34</v>
      </c>
      <c r="L15" s="68">
        <f t="shared" si="4"/>
        <v>30.326086956521738</v>
      </c>
      <c r="M15" s="54">
        <v>706466</v>
      </c>
      <c r="N15" s="69">
        <f t="shared" si="5"/>
        <v>23295.653046594984</v>
      </c>
      <c r="P15" s="58">
        <v>43</v>
      </c>
      <c r="Q15" s="68">
        <f t="shared" si="6"/>
        <v>33.41317365269461</v>
      </c>
      <c r="R15" s="54">
        <v>600711</v>
      </c>
      <c r="S15" s="69">
        <f t="shared" si="7"/>
        <v>17978.268279569893</v>
      </c>
    </row>
    <row r="16" spans="1:20" x14ac:dyDescent="0.25">
      <c r="A16" s="58">
        <v>9</v>
      </c>
      <c r="B16" s="68">
        <f t="shared" si="0"/>
        <v>30.326086956521738</v>
      </c>
      <c r="C16" s="54">
        <v>458407</v>
      </c>
      <c r="D16" s="69">
        <f t="shared" si="1"/>
        <v>15115.929749103943</v>
      </c>
      <c r="F16" s="58">
        <v>16</v>
      </c>
      <c r="G16" s="68">
        <f t="shared" si="2"/>
        <v>33.41317365269461</v>
      </c>
      <c r="H16" s="54">
        <v>471825</v>
      </c>
      <c r="I16" s="69">
        <f t="shared" si="3"/>
        <v>14120.927419354839</v>
      </c>
      <c r="K16" s="58">
        <v>54</v>
      </c>
      <c r="L16" s="68">
        <f t="shared" si="4"/>
        <v>30.326086956521738</v>
      </c>
      <c r="M16" s="54">
        <v>704680</v>
      </c>
      <c r="N16" s="69">
        <f t="shared" si="5"/>
        <v>23236.759856630826</v>
      </c>
      <c r="P16" s="58">
        <v>54</v>
      </c>
      <c r="Q16" s="68">
        <f t="shared" si="6"/>
        <v>33.41317365269461</v>
      </c>
      <c r="R16" s="54">
        <v>600526</v>
      </c>
      <c r="S16" s="69">
        <f t="shared" si="7"/>
        <v>17972.73154121864</v>
      </c>
    </row>
    <row r="17" spans="1:19" x14ac:dyDescent="0.25">
      <c r="A17" s="58">
        <v>6</v>
      </c>
      <c r="B17" s="68">
        <f t="shared" si="0"/>
        <v>30.326086956521738</v>
      </c>
      <c r="C17" s="54">
        <v>413342</v>
      </c>
      <c r="D17" s="69">
        <f t="shared" si="1"/>
        <v>13629.915412186379</v>
      </c>
      <c r="F17" s="58">
        <v>20</v>
      </c>
      <c r="G17" s="68">
        <f t="shared" si="2"/>
        <v>33.41317365269461</v>
      </c>
      <c r="H17" s="54">
        <v>465526</v>
      </c>
      <c r="I17" s="69">
        <f t="shared" si="3"/>
        <v>13932.408960573477</v>
      </c>
      <c r="K17" s="58">
        <v>46</v>
      </c>
      <c r="L17" s="68">
        <f t="shared" si="4"/>
        <v>30.326086956521738</v>
      </c>
      <c r="M17" s="54">
        <v>647685</v>
      </c>
      <c r="N17" s="69">
        <f t="shared" si="5"/>
        <v>21357.354838709678</v>
      </c>
      <c r="P17" s="58">
        <v>33</v>
      </c>
      <c r="Q17" s="68">
        <f t="shared" si="6"/>
        <v>33.41317365269461</v>
      </c>
      <c r="R17" s="54">
        <v>533105</v>
      </c>
      <c r="S17" s="69">
        <f t="shared" si="7"/>
        <v>15954.934587813621</v>
      </c>
    </row>
    <row r="18" spans="1:19" x14ac:dyDescent="0.25">
      <c r="A18" s="58">
        <v>90</v>
      </c>
      <c r="B18" s="68">
        <f t="shared" si="0"/>
        <v>30.326086956521738</v>
      </c>
      <c r="C18" s="54">
        <v>390167</v>
      </c>
      <c r="D18" s="69">
        <f t="shared" si="1"/>
        <v>12865.721863799283</v>
      </c>
      <c r="F18" s="58">
        <v>71</v>
      </c>
      <c r="G18" s="68">
        <f t="shared" si="2"/>
        <v>33.41317365269461</v>
      </c>
      <c r="H18" s="54">
        <v>459240</v>
      </c>
      <c r="I18" s="69">
        <f t="shared" si="3"/>
        <v>13744.279569892473</v>
      </c>
      <c r="K18" s="58">
        <v>35</v>
      </c>
      <c r="L18" s="68">
        <f t="shared" si="4"/>
        <v>30.326086956521738</v>
      </c>
      <c r="M18" s="54">
        <v>520964</v>
      </c>
      <c r="N18" s="69">
        <f t="shared" si="5"/>
        <v>17178.741218637992</v>
      </c>
      <c r="P18" s="58">
        <v>29</v>
      </c>
      <c r="Q18" s="68">
        <f t="shared" si="6"/>
        <v>33.41317365269461</v>
      </c>
      <c r="R18" s="54">
        <v>466819</v>
      </c>
      <c r="S18" s="69">
        <f t="shared" si="7"/>
        <v>13971.106272401434</v>
      </c>
    </row>
    <row r="19" spans="1:19" x14ac:dyDescent="0.25">
      <c r="A19" s="58">
        <v>10</v>
      </c>
      <c r="B19" s="68">
        <f t="shared" si="0"/>
        <v>30.326086956521738</v>
      </c>
      <c r="C19" s="54">
        <v>374487</v>
      </c>
      <c r="D19" s="69">
        <f t="shared" si="1"/>
        <v>12348.675268817206</v>
      </c>
      <c r="F19" s="58">
        <v>73</v>
      </c>
      <c r="G19" s="68">
        <f t="shared" si="2"/>
        <v>33.41317365269461</v>
      </c>
      <c r="H19" s="54">
        <v>435675</v>
      </c>
      <c r="I19" s="69">
        <f t="shared" si="3"/>
        <v>13039.018817204302</v>
      </c>
      <c r="K19" s="58">
        <v>28</v>
      </c>
      <c r="L19" s="68">
        <f t="shared" si="4"/>
        <v>30.326086956521738</v>
      </c>
      <c r="M19" s="54">
        <v>485282</v>
      </c>
      <c r="N19" s="69">
        <f t="shared" si="5"/>
        <v>16002.130465949822</v>
      </c>
      <c r="P19" s="58">
        <v>39</v>
      </c>
      <c r="Q19" s="68">
        <f t="shared" si="6"/>
        <v>33.41317365269461</v>
      </c>
      <c r="R19" s="54">
        <v>443533</v>
      </c>
      <c r="S19" s="69">
        <f t="shared" si="7"/>
        <v>13274.195519713261</v>
      </c>
    </row>
    <row r="20" spans="1:19" x14ac:dyDescent="0.25">
      <c r="A20" s="58">
        <v>72</v>
      </c>
      <c r="B20" s="68">
        <f t="shared" si="0"/>
        <v>30.326086956521738</v>
      </c>
      <c r="C20" s="54">
        <v>339217</v>
      </c>
      <c r="D20" s="69">
        <f t="shared" si="1"/>
        <v>11185.65017921147</v>
      </c>
      <c r="F20" s="58">
        <v>4</v>
      </c>
      <c r="G20" s="68">
        <f t="shared" si="2"/>
        <v>33.41317365269461</v>
      </c>
      <c r="H20" s="54">
        <v>435251</v>
      </c>
      <c r="I20" s="69">
        <f t="shared" si="3"/>
        <v>13026.329211469534</v>
      </c>
      <c r="K20" s="58">
        <v>25</v>
      </c>
      <c r="L20" s="68">
        <f t="shared" si="4"/>
        <v>30.326086956521738</v>
      </c>
      <c r="M20" s="54">
        <v>428682</v>
      </c>
      <c r="N20" s="69">
        <f t="shared" si="5"/>
        <v>14135.750537634409</v>
      </c>
      <c r="P20" s="58">
        <v>85</v>
      </c>
      <c r="Q20" s="68">
        <f t="shared" si="6"/>
        <v>33.41317365269461</v>
      </c>
      <c r="R20" s="54">
        <v>400656</v>
      </c>
      <c r="S20" s="69">
        <f t="shared" si="7"/>
        <v>11990.959139784947</v>
      </c>
    </row>
    <row r="21" spans="1:19" x14ac:dyDescent="0.25">
      <c r="A21" s="58">
        <v>63</v>
      </c>
      <c r="B21" s="68">
        <f t="shared" si="0"/>
        <v>30.326086956521738</v>
      </c>
      <c r="C21" s="54">
        <v>148379</v>
      </c>
      <c r="D21" s="69">
        <f t="shared" si="1"/>
        <v>4892.7842293906815</v>
      </c>
      <c r="F21" s="58">
        <v>58</v>
      </c>
      <c r="G21" s="68">
        <f t="shared" si="2"/>
        <v>33.41317365269461</v>
      </c>
      <c r="H21" s="54">
        <v>425212</v>
      </c>
      <c r="I21" s="69">
        <f t="shared" si="3"/>
        <v>12725.878853046595</v>
      </c>
      <c r="K21" s="58">
        <v>53</v>
      </c>
      <c r="L21" s="68">
        <f t="shared" si="4"/>
        <v>30.326086956521738</v>
      </c>
      <c r="M21" s="54">
        <v>427876</v>
      </c>
      <c r="N21" s="69">
        <f t="shared" si="5"/>
        <v>14109.17275985663</v>
      </c>
      <c r="P21" s="58">
        <v>51</v>
      </c>
      <c r="Q21" s="68">
        <f t="shared" si="6"/>
        <v>33.41317365269461</v>
      </c>
      <c r="R21" s="54">
        <v>295735</v>
      </c>
      <c r="S21" s="69">
        <f t="shared" si="7"/>
        <v>8850.8503584229402</v>
      </c>
    </row>
    <row r="22" spans="1:19" x14ac:dyDescent="0.25">
      <c r="A22" s="58">
        <v>5</v>
      </c>
      <c r="B22" s="68">
        <f t="shared" si="0"/>
        <v>30.326086956521738</v>
      </c>
      <c r="C22" s="54">
        <v>135603</v>
      </c>
      <c r="D22" s="69">
        <f t="shared" si="1"/>
        <v>4471.4967741935488</v>
      </c>
      <c r="F22" s="58">
        <v>69</v>
      </c>
      <c r="G22" s="68">
        <f t="shared" si="2"/>
        <v>33.41317365269461</v>
      </c>
      <c r="H22" s="54">
        <v>301059</v>
      </c>
      <c r="I22" s="69">
        <f t="shared" si="3"/>
        <v>9010.188709677419</v>
      </c>
      <c r="K22" s="58">
        <v>30</v>
      </c>
      <c r="L22" s="68">
        <f t="shared" si="4"/>
        <v>30.326086956521738</v>
      </c>
      <c r="M22" s="54">
        <v>412457</v>
      </c>
      <c r="N22" s="69">
        <f t="shared" si="5"/>
        <v>13600.732616487456</v>
      </c>
      <c r="P22" s="58">
        <v>84</v>
      </c>
      <c r="Q22" s="68">
        <f t="shared" si="6"/>
        <v>33.41317365269461</v>
      </c>
      <c r="R22" s="54">
        <v>277116</v>
      </c>
      <c r="S22" s="69">
        <f t="shared" si="7"/>
        <v>8293.6150537634403</v>
      </c>
    </row>
    <row r="23" spans="1:19" x14ac:dyDescent="0.25">
      <c r="A23" s="58">
        <v>89</v>
      </c>
      <c r="B23" s="68">
        <f t="shared" si="0"/>
        <v>30.326086956521738</v>
      </c>
      <c r="C23" s="54">
        <v>43767</v>
      </c>
      <c r="D23" s="69">
        <f t="shared" si="1"/>
        <v>1443.2129032258065</v>
      </c>
      <c r="F23" s="58">
        <v>91</v>
      </c>
      <c r="G23" s="68">
        <f t="shared" si="2"/>
        <v>33.41317365269461</v>
      </c>
      <c r="H23" s="54">
        <v>248437</v>
      </c>
      <c r="I23" s="69">
        <f t="shared" si="3"/>
        <v>7435.3008960573479</v>
      </c>
      <c r="K23" s="58">
        <v>45</v>
      </c>
      <c r="L23" s="68">
        <f t="shared" si="4"/>
        <v>30.326086956521738</v>
      </c>
      <c r="M23" s="54">
        <v>411553</v>
      </c>
      <c r="N23" s="69">
        <f t="shared" si="5"/>
        <v>13570.923297491039</v>
      </c>
      <c r="P23" s="58">
        <v>100</v>
      </c>
      <c r="Q23" s="68">
        <f t="shared" si="6"/>
        <v>33.41317365269461</v>
      </c>
      <c r="R23" s="54">
        <v>196154</v>
      </c>
      <c r="S23" s="69">
        <f t="shared" si="7"/>
        <v>5870.5587813620077</v>
      </c>
    </row>
    <row r="24" spans="1:19" x14ac:dyDescent="0.25">
      <c r="A24" s="58">
        <v>8</v>
      </c>
      <c r="B24" s="68">
        <f t="shared" si="0"/>
        <v>30.326086956521738</v>
      </c>
      <c r="C24" s="54">
        <v>-31569</v>
      </c>
      <c r="D24" s="69">
        <f t="shared" si="1"/>
        <v>-1040.9849462365592</v>
      </c>
      <c r="F24" s="58">
        <v>75</v>
      </c>
      <c r="G24" s="68">
        <f t="shared" si="2"/>
        <v>33.41317365269461</v>
      </c>
      <c r="H24" s="54">
        <v>241104</v>
      </c>
      <c r="I24" s="69">
        <f t="shared" si="3"/>
        <v>7215.8365591397851</v>
      </c>
      <c r="K24" s="58">
        <v>43</v>
      </c>
      <c r="L24" s="68">
        <f t="shared" si="4"/>
        <v>30.326086956521738</v>
      </c>
      <c r="M24" s="54">
        <v>287718</v>
      </c>
      <c r="N24" s="69">
        <f t="shared" si="5"/>
        <v>9487.4752688172048</v>
      </c>
      <c r="P24" s="58">
        <v>56</v>
      </c>
      <c r="Q24" s="68">
        <f t="shared" si="6"/>
        <v>33.41317365269461</v>
      </c>
      <c r="R24" s="54">
        <v>175558</v>
      </c>
      <c r="S24" s="69">
        <f t="shared" si="7"/>
        <v>5254.1551971326162</v>
      </c>
    </row>
    <row r="25" spans="1:19" x14ac:dyDescent="0.25">
      <c r="A25" s="58">
        <v>62</v>
      </c>
      <c r="B25" s="68">
        <f t="shared" si="0"/>
        <v>30.326086956521738</v>
      </c>
      <c r="C25" s="54">
        <v>-50310</v>
      </c>
      <c r="D25" s="69">
        <f t="shared" si="1"/>
        <v>-1658.9677419354839</v>
      </c>
      <c r="F25" s="58">
        <v>21</v>
      </c>
      <c r="G25" s="68">
        <f t="shared" si="2"/>
        <v>33.41317365269461</v>
      </c>
      <c r="H25" s="54">
        <v>182068</v>
      </c>
      <c r="I25" s="69">
        <f t="shared" si="3"/>
        <v>5448.9885304659501</v>
      </c>
      <c r="K25" s="58">
        <v>47</v>
      </c>
      <c r="L25" s="68">
        <f t="shared" si="4"/>
        <v>30.326086956521738</v>
      </c>
      <c r="M25" s="54">
        <v>244892</v>
      </c>
      <c r="N25" s="69">
        <f t="shared" si="5"/>
        <v>8075.2917562724015</v>
      </c>
      <c r="P25" s="58">
        <v>24</v>
      </c>
      <c r="Q25" s="68">
        <f t="shared" si="6"/>
        <v>33.41317365269461</v>
      </c>
      <c r="R25" s="54">
        <v>71007</v>
      </c>
      <c r="S25" s="69">
        <f t="shared" si="7"/>
        <v>2125.1198924731184</v>
      </c>
    </row>
    <row r="26" spans="1:19" x14ac:dyDescent="0.25">
      <c r="A26" s="58">
        <v>20</v>
      </c>
      <c r="B26" s="68">
        <f t="shared" si="0"/>
        <v>30.326086956521738</v>
      </c>
      <c r="C26" s="54">
        <v>-55320</v>
      </c>
      <c r="D26" s="69">
        <f t="shared" si="1"/>
        <v>-1824.1720430107528</v>
      </c>
      <c r="F26" s="58">
        <v>59</v>
      </c>
      <c r="G26" s="68">
        <f t="shared" si="2"/>
        <v>33.41317365269461</v>
      </c>
      <c r="H26" s="54">
        <v>167225</v>
      </c>
      <c r="I26" s="69">
        <f t="shared" si="3"/>
        <v>5004.7625448028675</v>
      </c>
      <c r="K26" s="58">
        <v>27</v>
      </c>
      <c r="L26" s="68">
        <f t="shared" si="4"/>
        <v>30.326086956521738</v>
      </c>
      <c r="M26" s="54">
        <v>217246</v>
      </c>
      <c r="N26" s="69">
        <f t="shared" si="5"/>
        <v>7163.6673835125448</v>
      </c>
      <c r="P26" s="58">
        <v>94</v>
      </c>
      <c r="Q26" s="68">
        <f t="shared" si="6"/>
        <v>33.41317365269461</v>
      </c>
      <c r="R26" s="54">
        <v>48569</v>
      </c>
      <c r="S26" s="69">
        <f t="shared" si="7"/>
        <v>1453.5883512544804</v>
      </c>
    </row>
    <row r="27" spans="1:19" x14ac:dyDescent="0.25">
      <c r="A27" s="58">
        <v>14</v>
      </c>
      <c r="B27" s="68">
        <f t="shared" si="0"/>
        <v>30.326086956521738</v>
      </c>
      <c r="C27" s="54">
        <v>-99929</v>
      </c>
      <c r="D27" s="69">
        <f t="shared" si="1"/>
        <v>-3295.1498207885306</v>
      </c>
      <c r="F27" s="58">
        <v>63</v>
      </c>
      <c r="G27" s="68">
        <f t="shared" si="2"/>
        <v>33.41317365269461</v>
      </c>
      <c r="H27" s="54">
        <v>-59023</v>
      </c>
      <c r="I27" s="69">
        <f t="shared" si="3"/>
        <v>-1766.4589605734768</v>
      </c>
      <c r="K27" s="58">
        <v>98</v>
      </c>
      <c r="L27" s="68">
        <f t="shared" si="4"/>
        <v>30.326086956521738</v>
      </c>
      <c r="M27" s="54">
        <v>186371</v>
      </c>
      <c r="N27" s="69">
        <f t="shared" si="5"/>
        <v>6145.5670250896055</v>
      </c>
      <c r="P27" s="58">
        <v>98</v>
      </c>
      <c r="Q27" s="68">
        <f t="shared" si="6"/>
        <v>33.41317365269461</v>
      </c>
      <c r="R27" s="54">
        <v>42432</v>
      </c>
      <c r="S27" s="69">
        <f t="shared" si="7"/>
        <v>1269.9182795698925</v>
      </c>
    </row>
    <row r="28" spans="1:19" x14ac:dyDescent="0.25">
      <c r="A28" s="58">
        <v>59</v>
      </c>
      <c r="B28" s="68">
        <f t="shared" si="0"/>
        <v>30.326086956521738</v>
      </c>
      <c r="C28" s="54">
        <v>-120499</v>
      </c>
      <c r="D28" s="69">
        <f t="shared" si="1"/>
        <v>-3973.4437275985665</v>
      </c>
      <c r="F28" s="58">
        <v>70</v>
      </c>
      <c r="G28" s="68">
        <f t="shared" si="2"/>
        <v>33.41317365269461</v>
      </c>
      <c r="H28" s="54">
        <v>-82956</v>
      </c>
      <c r="I28" s="69">
        <f t="shared" si="3"/>
        <v>-2482.7333333333336</v>
      </c>
      <c r="K28" s="58">
        <v>82</v>
      </c>
      <c r="L28" s="68">
        <f t="shared" si="4"/>
        <v>30.326086956521738</v>
      </c>
      <c r="M28" s="54">
        <v>157735</v>
      </c>
      <c r="N28" s="69">
        <f t="shared" si="5"/>
        <v>5201.2974910394269</v>
      </c>
      <c r="P28" s="58">
        <v>79</v>
      </c>
      <c r="Q28" s="68">
        <f t="shared" si="6"/>
        <v>33.41317365269461</v>
      </c>
      <c r="R28" s="54">
        <v>-17472</v>
      </c>
      <c r="S28" s="69">
        <f t="shared" si="7"/>
        <v>-522.9075268817204</v>
      </c>
    </row>
    <row r="29" spans="1:19" x14ac:dyDescent="0.25">
      <c r="A29" s="58">
        <v>11</v>
      </c>
      <c r="B29" s="68">
        <f t="shared" si="0"/>
        <v>30.326086956521738</v>
      </c>
      <c r="C29" s="54">
        <v>-150180</v>
      </c>
      <c r="D29" s="69">
        <f t="shared" si="1"/>
        <v>-4952.1720430107525</v>
      </c>
      <c r="F29" s="58">
        <v>64</v>
      </c>
      <c r="G29" s="68">
        <f t="shared" si="2"/>
        <v>33.41317365269461</v>
      </c>
      <c r="H29" s="54">
        <v>-163863</v>
      </c>
      <c r="I29" s="69">
        <f t="shared" si="3"/>
        <v>-4904.1435483870973</v>
      </c>
      <c r="K29" s="58">
        <v>39</v>
      </c>
      <c r="L29" s="68">
        <f t="shared" si="4"/>
        <v>30.326086956521738</v>
      </c>
      <c r="M29" s="54">
        <v>75371</v>
      </c>
      <c r="N29" s="69">
        <f t="shared" si="5"/>
        <v>2485.3519713261649</v>
      </c>
      <c r="P29" s="58">
        <v>30</v>
      </c>
      <c r="Q29" s="68">
        <f t="shared" si="6"/>
        <v>33.41317365269461</v>
      </c>
      <c r="R29" s="54">
        <v>-18899</v>
      </c>
      <c r="S29" s="69">
        <f t="shared" si="7"/>
        <v>-565.61523297491044</v>
      </c>
    </row>
    <row r="30" spans="1:19" x14ac:dyDescent="0.25">
      <c r="A30" s="58">
        <v>19</v>
      </c>
      <c r="B30" s="68">
        <f t="shared" si="0"/>
        <v>30.326086956521738</v>
      </c>
      <c r="C30" s="54">
        <v>-212225</v>
      </c>
      <c r="D30" s="69">
        <f t="shared" si="1"/>
        <v>-6998.1003584229393</v>
      </c>
      <c r="F30" s="58">
        <v>8</v>
      </c>
      <c r="G30" s="68">
        <f t="shared" si="2"/>
        <v>33.41317365269461</v>
      </c>
      <c r="H30" s="54">
        <v>-187009</v>
      </c>
      <c r="I30" s="69">
        <f t="shared" si="3"/>
        <v>-5596.8643369175625</v>
      </c>
      <c r="K30" s="58">
        <v>79</v>
      </c>
      <c r="L30" s="68">
        <f t="shared" si="4"/>
        <v>30.326086956521738</v>
      </c>
      <c r="M30" s="54">
        <v>42924</v>
      </c>
      <c r="N30" s="69">
        <f t="shared" si="5"/>
        <v>1415.4150537634409</v>
      </c>
      <c r="P30" s="99">
        <v>99</v>
      </c>
      <c r="Q30" s="100">
        <f t="shared" si="6"/>
        <v>33.41317365269461</v>
      </c>
      <c r="R30" s="101">
        <v>-53380</v>
      </c>
      <c r="S30" s="102">
        <f t="shared" si="7"/>
        <v>-1597.573476702509</v>
      </c>
    </row>
    <row r="31" spans="1:19" x14ac:dyDescent="0.25">
      <c r="A31" s="58">
        <v>7</v>
      </c>
      <c r="B31" s="68">
        <f t="shared" si="0"/>
        <v>30.326086956521738</v>
      </c>
      <c r="C31" s="54">
        <v>-425925</v>
      </c>
      <c r="D31" s="69">
        <f t="shared" si="1"/>
        <v>-14044.83870967742</v>
      </c>
      <c r="F31" s="58">
        <v>61</v>
      </c>
      <c r="G31" s="68">
        <f t="shared" si="2"/>
        <v>33.41317365269461</v>
      </c>
      <c r="H31" s="54">
        <v>-223907</v>
      </c>
      <c r="I31" s="69">
        <f t="shared" si="3"/>
        <v>-6701.159318996416</v>
      </c>
      <c r="K31" s="58">
        <v>49</v>
      </c>
      <c r="L31" s="68">
        <f t="shared" si="4"/>
        <v>30.326086956521738</v>
      </c>
      <c r="M31" s="54">
        <v>-35135</v>
      </c>
      <c r="N31" s="69">
        <f t="shared" si="5"/>
        <v>-1158.573476702509</v>
      </c>
      <c r="P31" s="58">
        <v>76</v>
      </c>
      <c r="Q31" s="68">
        <f t="shared" si="6"/>
        <v>33.41317365269461</v>
      </c>
      <c r="R31" s="54">
        <v>-134133</v>
      </c>
      <c r="S31" s="69">
        <f t="shared" si="7"/>
        <v>-4014.3747311827956</v>
      </c>
    </row>
    <row r="32" spans="1:19" x14ac:dyDescent="0.25">
      <c r="A32" s="58">
        <v>88</v>
      </c>
      <c r="B32" s="68">
        <f t="shared" si="0"/>
        <v>30.326086956521738</v>
      </c>
      <c r="C32" s="54">
        <v>-426293</v>
      </c>
      <c r="D32" s="69">
        <f t="shared" si="1"/>
        <v>-14056.973476702509</v>
      </c>
      <c r="F32" s="58">
        <v>92</v>
      </c>
      <c r="G32" s="68">
        <f t="shared" si="2"/>
        <v>33.41317365269461</v>
      </c>
      <c r="H32" s="54">
        <v>-299484</v>
      </c>
      <c r="I32" s="69">
        <f t="shared" si="3"/>
        <v>-8963.0516129032258</v>
      </c>
      <c r="K32" s="58">
        <v>86</v>
      </c>
      <c r="L32" s="68">
        <f t="shared" si="4"/>
        <v>30.326086956521738</v>
      </c>
      <c r="M32" s="54">
        <v>-36114</v>
      </c>
      <c r="N32" s="69">
        <f t="shared" si="5"/>
        <v>-1190.8559139784948</v>
      </c>
      <c r="P32" s="58">
        <v>27</v>
      </c>
      <c r="Q32" s="68">
        <f t="shared" si="6"/>
        <v>33.41317365269461</v>
      </c>
      <c r="R32" s="54">
        <v>-237585</v>
      </c>
      <c r="S32" s="69">
        <f t="shared" si="7"/>
        <v>-7110.5188172043008</v>
      </c>
    </row>
    <row r="33" spans="1:19" x14ac:dyDescent="0.25">
      <c r="A33" s="58">
        <v>1</v>
      </c>
      <c r="B33" s="68">
        <f t="shared" si="0"/>
        <v>30.326086956521738</v>
      </c>
      <c r="C33" s="54">
        <v>-436549</v>
      </c>
      <c r="D33" s="69">
        <f t="shared" si="1"/>
        <v>-14395.164157706093</v>
      </c>
      <c r="F33" s="58">
        <v>93</v>
      </c>
      <c r="G33" s="68">
        <f t="shared" si="2"/>
        <v>33.41317365269461</v>
      </c>
      <c r="H33" s="54">
        <v>-392062</v>
      </c>
      <c r="I33" s="69">
        <f t="shared" si="3"/>
        <v>-11733.755197132617</v>
      </c>
      <c r="K33" s="58">
        <v>95</v>
      </c>
      <c r="L33" s="68">
        <f t="shared" si="4"/>
        <v>30.326086956521738</v>
      </c>
      <c r="M33" s="54">
        <v>-117870</v>
      </c>
      <c r="N33" s="69">
        <f t="shared" si="5"/>
        <v>-3886.7526881720432</v>
      </c>
      <c r="P33" s="58">
        <v>49</v>
      </c>
      <c r="Q33" s="68">
        <f t="shared" si="6"/>
        <v>33.41317365269461</v>
      </c>
      <c r="R33" s="54">
        <v>-320509</v>
      </c>
      <c r="S33" s="69">
        <f t="shared" si="7"/>
        <v>-9592.2944444444438</v>
      </c>
    </row>
    <row r="34" spans="1:19" x14ac:dyDescent="0.25">
      <c r="A34" s="58">
        <v>16</v>
      </c>
      <c r="B34" s="68">
        <f t="shared" si="0"/>
        <v>30.326086956521738</v>
      </c>
      <c r="C34" s="54">
        <v>-516654</v>
      </c>
      <c r="D34" s="69">
        <f t="shared" si="1"/>
        <v>-17036.619354838709</v>
      </c>
      <c r="F34" s="58">
        <v>17</v>
      </c>
      <c r="G34" s="68">
        <f t="shared" si="2"/>
        <v>33.41317365269461</v>
      </c>
      <c r="H34" s="54">
        <v>-421127</v>
      </c>
      <c r="I34" s="69">
        <f t="shared" si="3"/>
        <v>-12603.621684587813</v>
      </c>
      <c r="K34" s="58">
        <v>42</v>
      </c>
      <c r="L34" s="68">
        <f t="shared" si="4"/>
        <v>30.326086956521738</v>
      </c>
      <c r="M34" s="54">
        <v>-137859</v>
      </c>
      <c r="N34" s="69">
        <f t="shared" si="5"/>
        <v>-4545.8881720430109</v>
      </c>
      <c r="P34" s="58">
        <v>47</v>
      </c>
      <c r="Q34" s="68">
        <f t="shared" si="6"/>
        <v>33.41317365269461</v>
      </c>
      <c r="R34" s="54">
        <v>-338573</v>
      </c>
      <c r="S34" s="69">
        <f t="shared" si="7"/>
        <v>-10132.919534050179</v>
      </c>
    </row>
    <row r="35" spans="1:19" x14ac:dyDescent="0.25">
      <c r="A35" s="58">
        <v>73</v>
      </c>
      <c r="B35" s="68">
        <f t="shared" si="0"/>
        <v>30.326086956521738</v>
      </c>
      <c r="C35" s="54">
        <v>-526062</v>
      </c>
      <c r="D35" s="69">
        <f t="shared" si="1"/>
        <v>-17346.847311827958</v>
      </c>
      <c r="F35" s="58">
        <v>5</v>
      </c>
      <c r="G35" s="68">
        <f t="shared" si="2"/>
        <v>33.41317365269461</v>
      </c>
      <c r="H35" s="54">
        <v>-473972</v>
      </c>
      <c r="I35" s="69">
        <f t="shared" si="3"/>
        <v>-14185.183512544803</v>
      </c>
      <c r="K35" s="58">
        <v>50</v>
      </c>
      <c r="L35" s="68">
        <f t="shared" si="4"/>
        <v>30.326086956521738</v>
      </c>
      <c r="M35" s="54">
        <v>-141217</v>
      </c>
      <c r="N35" s="69">
        <f t="shared" si="5"/>
        <v>-4656.6179211469534</v>
      </c>
      <c r="P35" s="58">
        <v>34</v>
      </c>
      <c r="Q35" s="68">
        <f t="shared" si="6"/>
        <v>33.41317365269461</v>
      </c>
      <c r="R35" s="54">
        <v>-343537</v>
      </c>
      <c r="S35" s="69">
        <f t="shared" si="7"/>
        <v>-10281.483691756273</v>
      </c>
    </row>
    <row r="36" spans="1:19" x14ac:dyDescent="0.25">
      <c r="A36" s="58">
        <v>69</v>
      </c>
      <c r="B36" s="68">
        <f t="shared" si="0"/>
        <v>30.326086956521738</v>
      </c>
      <c r="C36" s="54">
        <v>-582190</v>
      </c>
      <c r="D36" s="69">
        <f t="shared" si="1"/>
        <v>-19197.663082437277</v>
      </c>
      <c r="F36" s="58">
        <v>67</v>
      </c>
      <c r="G36" s="68">
        <f t="shared" si="2"/>
        <v>33.41317365269461</v>
      </c>
      <c r="H36" s="54">
        <v>-479440</v>
      </c>
      <c r="I36" s="69">
        <f t="shared" si="3"/>
        <v>-14348.831541218638</v>
      </c>
      <c r="K36" s="58">
        <v>24</v>
      </c>
      <c r="L36" s="68">
        <f t="shared" si="4"/>
        <v>30.326086956521738</v>
      </c>
      <c r="M36" s="54">
        <v>-265494</v>
      </c>
      <c r="N36" s="69">
        <f t="shared" si="5"/>
        <v>-8754.6408602150532</v>
      </c>
      <c r="P36" s="58">
        <v>26</v>
      </c>
      <c r="Q36" s="68">
        <f t="shared" si="6"/>
        <v>33.41317365269461</v>
      </c>
      <c r="R36" s="54">
        <v>-410208</v>
      </c>
      <c r="S36" s="69">
        <f t="shared" si="7"/>
        <v>-12276.834408602152</v>
      </c>
    </row>
    <row r="37" spans="1:19" x14ac:dyDescent="0.25">
      <c r="A37" s="58">
        <v>17</v>
      </c>
      <c r="B37" s="68">
        <f t="shared" si="0"/>
        <v>30.326086956521738</v>
      </c>
      <c r="C37" s="54">
        <v>-710390</v>
      </c>
      <c r="D37" s="69">
        <f t="shared" si="1"/>
        <v>-23425.046594982079</v>
      </c>
      <c r="F37" s="58">
        <v>65</v>
      </c>
      <c r="G37" s="68">
        <f t="shared" si="2"/>
        <v>33.41317365269461</v>
      </c>
      <c r="H37" s="54">
        <v>-681880</v>
      </c>
      <c r="I37" s="69">
        <f t="shared" si="3"/>
        <v>-20407.519713261649</v>
      </c>
      <c r="K37" s="58">
        <v>44</v>
      </c>
      <c r="L37" s="68">
        <f t="shared" si="4"/>
        <v>30.326086956521738</v>
      </c>
      <c r="M37" s="54">
        <v>-279807</v>
      </c>
      <c r="N37" s="69">
        <f t="shared" si="5"/>
        <v>-9226.6107526881715</v>
      </c>
      <c r="P37" s="58">
        <v>55</v>
      </c>
      <c r="Q37" s="68">
        <f t="shared" si="6"/>
        <v>33.41317365269461</v>
      </c>
      <c r="R37" s="54">
        <v>-412943</v>
      </c>
      <c r="S37" s="69">
        <f t="shared" si="7"/>
        <v>-12358.688351254481</v>
      </c>
    </row>
    <row r="38" spans="1:19" x14ac:dyDescent="0.25">
      <c r="A38" s="58">
        <v>12</v>
      </c>
      <c r="B38" s="68">
        <f t="shared" si="0"/>
        <v>30.326086956521738</v>
      </c>
      <c r="C38" s="54">
        <v>-753136</v>
      </c>
      <c r="D38" s="69">
        <f t="shared" si="1"/>
        <v>-24834.592114695341</v>
      </c>
      <c r="F38" s="95">
        <v>15</v>
      </c>
      <c r="G38" s="96">
        <f t="shared" si="2"/>
        <v>33.41317365269461</v>
      </c>
      <c r="H38" s="97">
        <v>-737370</v>
      </c>
      <c r="I38" s="98">
        <f t="shared" si="3"/>
        <v>-22068.241935483871</v>
      </c>
      <c r="J38">
        <v>0</v>
      </c>
      <c r="K38" s="58">
        <v>78</v>
      </c>
      <c r="L38" s="68">
        <f t="shared" si="4"/>
        <v>30.326086956521738</v>
      </c>
      <c r="M38" s="54">
        <v>-450754</v>
      </c>
      <c r="N38" s="69">
        <f t="shared" si="5"/>
        <v>-14863.572759856632</v>
      </c>
      <c r="P38" s="58">
        <v>22</v>
      </c>
      <c r="Q38" s="68">
        <f t="shared" si="6"/>
        <v>33.41317365269461</v>
      </c>
      <c r="R38" s="54">
        <v>-443480</v>
      </c>
      <c r="S38" s="69">
        <f t="shared" si="7"/>
        <v>-13272.609318996416</v>
      </c>
    </row>
    <row r="39" spans="1:19" x14ac:dyDescent="0.25">
      <c r="A39" s="58">
        <v>58</v>
      </c>
      <c r="B39" s="68">
        <f t="shared" si="0"/>
        <v>30.326086956521738</v>
      </c>
      <c r="C39" s="54">
        <v>-793953</v>
      </c>
      <c r="D39" s="69">
        <f t="shared" si="1"/>
        <v>-26180.529032258066</v>
      </c>
      <c r="F39" s="58">
        <v>6</v>
      </c>
      <c r="G39" s="68">
        <f t="shared" si="2"/>
        <v>33.41317365269461</v>
      </c>
      <c r="H39" s="54">
        <v>-760719</v>
      </c>
      <c r="I39" s="69">
        <f t="shared" si="3"/>
        <v>-22767.038172043012</v>
      </c>
      <c r="K39" s="58">
        <v>81</v>
      </c>
      <c r="L39" s="68">
        <f t="shared" si="4"/>
        <v>30.326086956521738</v>
      </c>
      <c r="M39" s="54">
        <v>-460974</v>
      </c>
      <c r="N39" s="69">
        <f t="shared" si="5"/>
        <v>-15200.576344086023</v>
      </c>
      <c r="P39" s="58">
        <v>97</v>
      </c>
      <c r="Q39" s="68">
        <f t="shared" si="6"/>
        <v>33.41317365269461</v>
      </c>
      <c r="R39" s="54">
        <v>-474669</v>
      </c>
      <c r="S39" s="69">
        <f t="shared" si="7"/>
        <v>-14206.043548387097</v>
      </c>
    </row>
    <row r="40" spans="1:19" x14ac:dyDescent="0.25">
      <c r="A40" s="58">
        <v>68</v>
      </c>
      <c r="B40" s="68">
        <f t="shared" si="0"/>
        <v>30.326086956521738</v>
      </c>
      <c r="C40" s="54">
        <v>-803861</v>
      </c>
      <c r="D40" s="69">
        <f t="shared" si="1"/>
        <v>-26507.244444444445</v>
      </c>
      <c r="F40" s="58">
        <v>18</v>
      </c>
      <c r="G40" s="68">
        <f t="shared" si="2"/>
        <v>33.41317365269461</v>
      </c>
      <c r="H40" s="54">
        <v>-824942</v>
      </c>
      <c r="I40" s="69">
        <f t="shared" si="3"/>
        <v>-24689.124372759856</v>
      </c>
      <c r="K40" s="58">
        <v>48</v>
      </c>
      <c r="L40" s="68">
        <f t="shared" si="4"/>
        <v>30.326086956521738</v>
      </c>
      <c r="M40" s="54">
        <v>-522318</v>
      </c>
      <c r="N40" s="69">
        <f t="shared" si="5"/>
        <v>-17223.389247311829</v>
      </c>
      <c r="P40" s="58">
        <v>57</v>
      </c>
      <c r="Q40" s="68">
        <f t="shared" si="6"/>
        <v>33.41317365269461</v>
      </c>
      <c r="R40" s="54">
        <v>-519769</v>
      </c>
      <c r="S40" s="69">
        <f t="shared" si="7"/>
        <v>-15555.810573476703</v>
      </c>
    </row>
    <row r="41" spans="1:19" x14ac:dyDescent="0.25">
      <c r="A41" s="58">
        <v>60</v>
      </c>
      <c r="B41" s="68">
        <f t="shared" si="0"/>
        <v>30.326086956521738</v>
      </c>
      <c r="C41" s="54">
        <v>-850901</v>
      </c>
      <c r="D41" s="69">
        <f t="shared" si="1"/>
        <v>-28058.384229390682</v>
      </c>
      <c r="F41" s="58">
        <v>11</v>
      </c>
      <c r="G41" s="68">
        <f t="shared" si="2"/>
        <v>33.41317365269461</v>
      </c>
      <c r="H41" s="54">
        <v>-906527</v>
      </c>
      <c r="I41" s="69">
        <f t="shared" si="3"/>
        <v>-27130.825985663083</v>
      </c>
      <c r="K41" s="58">
        <v>87</v>
      </c>
      <c r="L41" s="68">
        <f t="shared" si="4"/>
        <v>30.326086956521738</v>
      </c>
      <c r="M41" s="54">
        <v>-542332</v>
      </c>
      <c r="N41" s="69">
        <f t="shared" si="5"/>
        <v>-17883.349103942652</v>
      </c>
      <c r="P41" s="58">
        <v>35</v>
      </c>
      <c r="Q41" s="68">
        <f t="shared" si="6"/>
        <v>33.41317365269461</v>
      </c>
      <c r="R41" s="54">
        <v>-552149</v>
      </c>
      <c r="S41" s="69">
        <f t="shared" si="7"/>
        <v>-16524.889426523299</v>
      </c>
    </row>
    <row r="42" spans="1:19" x14ac:dyDescent="0.25">
      <c r="A42" s="58">
        <v>74</v>
      </c>
      <c r="B42" s="68">
        <f t="shared" si="0"/>
        <v>30.326086956521738</v>
      </c>
      <c r="C42" s="54">
        <v>-871942</v>
      </c>
      <c r="D42" s="69">
        <f t="shared" si="1"/>
        <v>-28752.209318996418</v>
      </c>
      <c r="F42" s="58">
        <v>14</v>
      </c>
      <c r="G42" s="68">
        <f t="shared" si="2"/>
        <v>33.41317365269461</v>
      </c>
      <c r="H42" s="54">
        <v>-923878</v>
      </c>
      <c r="I42" s="69">
        <f t="shared" si="3"/>
        <v>-27650.112186379931</v>
      </c>
      <c r="K42" s="58">
        <v>41</v>
      </c>
      <c r="L42" s="68">
        <f t="shared" si="4"/>
        <v>30.326086956521738</v>
      </c>
      <c r="M42" s="54">
        <v>-545075</v>
      </c>
      <c r="N42" s="69">
        <f t="shared" si="5"/>
        <v>-17973.799283154123</v>
      </c>
      <c r="P42" s="58">
        <v>81</v>
      </c>
      <c r="Q42" s="68">
        <f t="shared" si="6"/>
        <v>33.41317365269461</v>
      </c>
      <c r="R42" s="54">
        <v>-553719</v>
      </c>
      <c r="S42" s="69">
        <f t="shared" si="7"/>
        <v>-16571.876881720429</v>
      </c>
    </row>
    <row r="43" spans="1:19" x14ac:dyDescent="0.25">
      <c r="A43" s="58">
        <v>71</v>
      </c>
      <c r="B43" s="68">
        <f t="shared" si="0"/>
        <v>30.326086956521738</v>
      </c>
      <c r="C43" s="54">
        <v>-879757</v>
      </c>
      <c r="D43" s="69">
        <f t="shared" si="1"/>
        <v>-29009.908243727601</v>
      </c>
      <c r="F43" s="58">
        <v>90</v>
      </c>
      <c r="G43" s="68">
        <f t="shared" si="2"/>
        <v>33.41317365269461</v>
      </c>
      <c r="H43" s="54">
        <v>-944796</v>
      </c>
      <c r="I43" s="69">
        <f t="shared" si="3"/>
        <v>-28276.152688172042</v>
      </c>
      <c r="K43" s="58">
        <v>23</v>
      </c>
      <c r="L43" s="68">
        <f t="shared" si="4"/>
        <v>30.326086956521738</v>
      </c>
      <c r="M43" s="54">
        <v>-550483</v>
      </c>
      <c r="N43" s="69">
        <f t="shared" si="5"/>
        <v>-18152.127598566309</v>
      </c>
      <c r="P43" s="58">
        <v>25</v>
      </c>
      <c r="Q43" s="68">
        <f t="shared" si="6"/>
        <v>33.41317365269461</v>
      </c>
      <c r="R43" s="54">
        <v>-602771</v>
      </c>
      <c r="S43" s="69">
        <f t="shared" si="7"/>
        <v>-18039.920609318997</v>
      </c>
    </row>
    <row r="44" spans="1:19" x14ac:dyDescent="0.25">
      <c r="A44" s="58">
        <v>13</v>
      </c>
      <c r="B44" s="68">
        <f t="shared" si="0"/>
        <v>30.326086956521738</v>
      </c>
      <c r="C44" s="54">
        <v>-1072053</v>
      </c>
      <c r="D44" s="69">
        <f t="shared" si="1"/>
        <v>-35350.851612903229</v>
      </c>
      <c r="F44" s="58">
        <v>88</v>
      </c>
      <c r="G44" s="68">
        <f t="shared" si="2"/>
        <v>33.41317365269461</v>
      </c>
      <c r="H44" s="54">
        <v>-964689</v>
      </c>
      <c r="I44" s="69">
        <f t="shared" si="3"/>
        <v>-28871.516666666666</v>
      </c>
      <c r="K44" s="58">
        <v>55</v>
      </c>
      <c r="L44" s="68">
        <f t="shared" si="4"/>
        <v>30.326086956521738</v>
      </c>
      <c r="M44" s="54">
        <v>-592287</v>
      </c>
      <c r="N44" s="69">
        <f t="shared" si="5"/>
        <v>-19530.610752688171</v>
      </c>
      <c r="P44" s="58">
        <v>23</v>
      </c>
      <c r="Q44" s="68">
        <f t="shared" si="6"/>
        <v>33.41317365269461</v>
      </c>
      <c r="R44" s="54">
        <v>-625997</v>
      </c>
      <c r="S44" s="69">
        <f t="shared" si="7"/>
        <v>-18735.035663082439</v>
      </c>
    </row>
    <row r="45" spans="1:19" x14ac:dyDescent="0.25">
      <c r="A45" s="58">
        <v>92</v>
      </c>
      <c r="B45" s="68">
        <f t="shared" si="0"/>
        <v>30.326086956521738</v>
      </c>
      <c r="C45" s="54">
        <v>-1105120</v>
      </c>
      <c r="D45" s="69">
        <f t="shared" si="1"/>
        <v>-36441.232974910396</v>
      </c>
      <c r="F45" s="58">
        <v>10</v>
      </c>
      <c r="G45" s="68">
        <f t="shared" si="2"/>
        <v>33.41317365269461</v>
      </c>
      <c r="H45" s="54">
        <v>-1019506</v>
      </c>
      <c r="I45" s="69">
        <f t="shared" si="3"/>
        <v>-30512.097132616487</v>
      </c>
      <c r="K45" s="58">
        <v>31</v>
      </c>
      <c r="L45" s="68">
        <f t="shared" si="4"/>
        <v>30.326086956521738</v>
      </c>
      <c r="M45" s="54">
        <v>-620072</v>
      </c>
      <c r="N45" s="69">
        <f t="shared" si="5"/>
        <v>-20446.818637992834</v>
      </c>
      <c r="P45" s="58">
        <v>78</v>
      </c>
      <c r="Q45" s="68">
        <f t="shared" si="6"/>
        <v>33.41317365269461</v>
      </c>
      <c r="R45" s="54">
        <v>-732192</v>
      </c>
      <c r="S45" s="69">
        <f t="shared" si="7"/>
        <v>-21913.273118279569</v>
      </c>
    </row>
    <row r="46" spans="1:19" x14ac:dyDescent="0.25">
      <c r="A46" s="58">
        <v>21</v>
      </c>
      <c r="B46" s="68">
        <f t="shared" si="0"/>
        <v>30.326086956521738</v>
      </c>
      <c r="C46" s="54">
        <v>-1124143</v>
      </c>
      <c r="D46" s="69">
        <f t="shared" si="1"/>
        <v>-37068.514695340506</v>
      </c>
      <c r="F46" s="58">
        <v>2</v>
      </c>
      <c r="G46" s="68">
        <f t="shared" si="2"/>
        <v>33.41317365269461</v>
      </c>
      <c r="H46" s="54">
        <v>-1048073</v>
      </c>
      <c r="I46" s="69">
        <f t="shared" si="3"/>
        <v>-31367.059318996417</v>
      </c>
      <c r="K46" s="58">
        <v>40</v>
      </c>
      <c r="L46" s="68">
        <f t="shared" si="4"/>
        <v>30.326086956521738</v>
      </c>
      <c r="M46" s="54">
        <v>-658386</v>
      </c>
      <c r="N46" s="69">
        <f t="shared" si="5"/>
        <v>-21710.219354838711</v>
      </c>
      <c r="P46" s="58">
        <v>41</v>
      </c>
      <c r="Q46" s="68">
        <f t="shared" si="6"/>
        <v>33.41317365269461</v>
      </c>
      <c r="R46" s="54">
        <v>-890843</v>
      </c>
      <c r="S46" s="69">
        <f t="shared" si="7"/>
        <v>-26661.430286738352</v>
      </c>
    </row>
    <row r="47" spans="1:19" x14ac:dyDescent="0.25">
      <c r="A47" s="58">
        <v>64</v>
      </c>
      <c r="B47" s="68">
        <f t="shared" si="0"/>
        <v>30.326086956521738</v>
      </c>
      <c r="C47" s="54">
        <v>-1198677</v>
      </c>
      <c r="D47" s="69">
        <f t="shared" si="1"/>
        <v>-39526.26666666667</v>
      </c>
      <c r="F47" s="58">
        <v>12</v>
      </c>
      <c r="G47" s="68">
        <f t="shared" si="2"/>
        <v>33.41317365269461</v>
      </c>
      <c r="H47" s="54">
        <v>-1098022</v>
      </c>
      <c r="I47" s="69">
        <f t="shared" si="3"/>
        <v>-32861.948745519716</v>
      </c>
      <c r="K47" s="58">
        <v>97</v>
      </c>
      <c r="L47" s="68">
        <f t="shared" si="4"/>
        <v>30.326086956521738</v>
      </c>
      <c r="M47" s="54">
        <v>-661431</v>
      </c>
      <c r="N47" s="69">
        <f t="shared" si="5"/>
        <v>-21810.627956989247</v>
      </c>
      <c r="P47" s="58">
        <v>48</v>
      </c>
      <c r="Q47" s="68">
        <f t="shared" si="6"/>
        <v>33.41317365269461</v>
      </c>
      <c r="R47" s="54">
        <v>-914243</v>
      </c>
      <c r="S47" s="69">
        <f t="shared" si="7"/>
        <v>-27361.752867383515</v>
      </c>
    </row>
    <row r="48" spans="1:19" x14ac:dyDescent="0.25">
      <c r="A48" s="58">
        <v>3</v>
      </c>
      <c r="B48" s="68">
        <f t="shared" si="0"/>
        <v>30.326086956521738</v>
      </c>
      <c r="C48" s="54">
        <v>-1231829</v>
      </c>
      <c r="D48" s="69">
        <f t="shared" si="1"/>
        <v>-40619.450896057351</v>
      </c>
      <c r="F48" s="58">
        <v>72</v>
      </c>
      <c r="G48" s="68">
        <f t="shared" si="2"/>
        <v>33.41317365269461</v>
      </c>
      <c r="H48" s="54">
        <v>-1168137</v>
      </c>
      <c r="I48" s="69">
        <f t="shared" si="3"/>
        <v>-34960.372580645162</v>
      </c>
      <c r="K48" s="58">
        <v>56</v>
      </c>
      <c r="L48" s="68">
        <f t="shared" si="4"/>
        <v>30.326086956521738</v>
      </c>
      <c r="M48" s="54">
        <v>-736742</v>
      </c>
      <c r="N48" s="69">
        <f t="shared" si="5"/>
        <v>-24294.001433691756</v>
      </c>
      <c r="P48" s="58">
        <v>96</v>
      </c>
      <c r="Q48" s="68">
        <f t="shared" si="6"/>
        <v>33.41317365269461</v>
      </c>
      <c r="R48" s="54">
        <v>-944950</v>
      </c>
      <c r="S48" s="69">
        <f t="shared" si="7"/>
        <v>-28280.76164874552</v>
      </c>
    </row>
    <row r="49" spans="1:19" x14ac:dyDescent="0.25">
      <c r="A49" s="58">
        <v>70</v>
      </c>
      <c r="B49" s="68">
        <f t="shared" si="0"/>
        <v>30.326086956521738</v>
      </c>
      <c r="C49" s="54">
        <v>-1290356</v>
      </c>
      <c r="D49" s="69">
        <f t="shared" si="1"/>
        <v>-42549.373476702509</v>
      </c>
      <c r="F49" s="58">
        <v>62</v>
      </c>
      <c r="G49" s="68">
        <f t="shared" si="2"/>
        <v>33.41317365269461</v>
      </c>
      <c r="H49" s="54">
        <v>-1177761</v>
      </c>
      <c r="I49" s="69">
        <f t="shared" si="3"/>
        <v>-35248.402688172042</v>
      </c>
      <c r="K49" s="58">
        <v>85</v>
      </c>
      <c r="L49" s="68">
        <f t="shared" si="4"/>
        <v>30.326086956521738</v>
      </c>
      <c r="M49" s="54">
        <v>-789944</v>
      </c>
      <c r="N49" s="69">
        <f t="shared" si="5"/>
        <v>-26048.332616487456</v>
      </c>
      <c r="P49" s="58">
        <v>82</v>
      </c>
      <c r="Q49" s="68">
        <f t="shared" si="6"/>
        <v>33.41317365269461</v>
      </c>
      <c r="R49" s="54">
        <v>-954865</v>
      </c>
      <c r="S49" s="69">
        <f t="shared" si="7"/>
        <v>-28577.500896057347</v>
      </c>
    </row>
    <row r="50" spans="1:19" x14ac:dyDescent="0.25">
      <c r="A50" s="58">
        <v>65</v>
      </c>
      <c r="B50" s="68">
        <f t="shared" si="0"/>
        <v>30.326086956521738</v>
      </c>
      <c r="C50" s="54">
        <v>-1335361</v>
      </c>
      <c r="D50" s="69">
        <f t="shared" si="1"/>
        <v>-44033.409318996419</v>
      </c>
      <c r="F50" s="58">
        <v>19</v>
      </c>
      <c r="G50" s="68">
        <f t="shared" si="2"/>
        <v>33.41317365269461</v>
      </c>
      <c r="H50" s="54">
        <v>-1251057</v>
      </c>
      <c r="I50" s="69">
        <f t="shared" si="3"/>
        <v>-37442.028494623657</v>
      </c>
      <c r="K50" s="58">
        <v>26</v>
      </c>
      <c r="L50" s="68">
        <f t="shared" si="4"/>
        <v>30.326086956521738</v>
      </c>
      <c r="M50" s="54">
        <v>-946136</v>
      </c>
      <c r="N50" s="69">
        <f t="shared" si="5"/>
        <v>-31198.749820788533</v>
      </c>
      <c r="P50" s="58">
        <v>50</v>
      </c>
      <c r="Q50" s="68">
        <f t="shared" si="6"/>
        <v>33.41317365269461</v>
      </c>
      <c r="R50" s="54">
        <v>-1011749</v>
      </c>
      <c r="S50" s="69">
        <f t="shared" si="7"/>
        <v>-30279.943189964157</v>
      </c>
    </row>
    <row r="51" spans="1:19" x14ac:dyDescent="0.25">
      <c r="A51" s="58">
        <v>18</v>
      </c>
      <c r="B51" s="68">
        <f t="shared" si="0"/>
        <v>30.326086956521738</v>
      </c>
      <c r="C51" s="54">
        <v>-1388548</v>
      </c>
      <c r="D51" s="69">
        <f t="shared" si="1"/>
        <v>-45787.2458781362</v>
      </c>
      <c r="F51" s="58">
        <v>68</v>
      </c>
      <c r="G51" s="68">
        <f t="shared" si="2"/>
        <v>33.41317365269461</v>
      </c>
      <c r="H51" s="54">
        <v>-1292553</v>
      </c>
      <c r="I51" s="69">
        <f t="shared" si="3"/>
        <v>-38683.933870967739</v>
      </c>
      <c r="K51" s="58">
        <v>84</v>
      </c>
      <c r="L51" s="68">
        <f t="shared" si="4"/>
        <v>30.326086956521738</v>
      </c>
      <c r="M51" s="54">
        <v>-948146</v>
      </c>
      <c r="N51" s="69">
        <f t="shared" si="5"/>
        <v>-31265.029390681004</v>
      </c>
      <c r="P51" s="58">
        <v>40</v>
      </c>
      <c r="Q51" s="68">
        <f t="shared" si="6"/>
        <v>33.41317365269461</v>
      </c>
      <c r="R51" s="54">
        <v>-1028317</v>
      </c>
      <c r="S51" s="69">
        <f t="shared" si="7"/>
        <v>-30775.795519713261</v>
      </c>
    </row>
    <row r="52" spans="1:19" x14ac:dyDescent="0.25">
      <c r="A52" s="58">
        <v>91</v>
      </c>
      <c r="B52" s="68">
        <f t="shared" si="0"/>
        <v>30.326086956521738</v>
      </c>
      <c r="C52" s="54">
        <v>-1477388</v>
      </c>
      <c r="D52" s="69">
        <f t="shared" si="1"/>
        <v>-48716.736917562725</v>
      </c>
      <c r="F52" s="58">
        <v>60</v>
      </c>
      <c r="G52" s="68">
        <f t="shared" si="2"/>
        <v>33.41317365269461</v>
      </c>
      <c r="H52" s="54">
        <v>-1363928</v>
      </c>
      <c r="I52" s="69">
        <f t="shared" si="3"/>
        <v>-40820.067383512549</v>
      </c>
      <c r="K52" s="58">
        <v>37</v>
      </c>
      <c r="L52" s="68">
        <f t="shared" si="4"/>
        <v>30.326086956521738</v>
      </c>
      <c r="M52" s="54">
        <v>-1123636</v>
      </c>
      <c r="N52" s="69">
        <f t="shared" si="5"/>
        <v>-37051.796415770608</v>
      </c>
      <c r="P52" s="58">
        <v>45</v>
      </c>
      <c r="Q52" s="68">
        <f t="shared" si="6"/>
        <v>33.41317365269461</v>
      </c>
      <c r="R52" s="54">
        <v>-1108132</v>
      </c>
      <c r="S52" s="69">
        <f t="shared" si="7"/>
        <v>-33164.524014336916</v>
      </c>
    </row>
    <row r="53" spans="1:19" x14ac:dyDescent="0.25">
      <c r="A53" s="58">
        <v>67</v>
      </c>
      <c r="B53" s="68">
        <f t="shared" si="0"/>
        <v>30.326086956521738</v>
      </c>
      <c r="C53" s="54">
        <v>-1558535</v>
      </c>
      <c r="D53" s="69">
        <f t="shared" si="1"/>
        <v>-51392.551971326167</v>
      </c>
      <c r="F53" s="58">
        <v>66</v>
      </c>
      <c r="G53" s="68">
        <f t="shared" si="2"/>
        <v>33.41317365269461</v>
      </c>
      <c r="H53" s="54">
        <v>-1541082</v>
      </c>
      <c r="I53" s="69">
        <f t="shared" si="3"/>
        <v>-46121.988172043013</v>
      </c>
      <c r="K53" s="58">
        <v>77</v>
      </c>
      <c r="L53" s="68">
        <f t="shared" si="4"/>
        <v>30.326086956521738</v>
      </c>
      <c r="M53" s="54">
        <v>-1136517</v>
      </c>
      <c r="N53" s="69">
        <f t="shared" si="5"/>
        <v>-37476.546236559137</v>
      </c>
      <c r="P53" s="58">
        <v>37</v>
      </c>
      <c r="Q53" s="68">
        <f t="shared" si="6"/>
        <v>33.41317365269461</v>
      </c>
      <c r="R53" s="54">
        <v>-1231599</v>
      </c>
      <c r="S53" s="69">
        <f t="shared" si="7"/>
        <v>-36859.683333333334</v>
      </c>
    </row>
    <row r="54" spans="1:19" x14ac:dyDescent="0.25">
      <c r="A54" s="58">
        <v>93</v>
      </c>
      <c r="B54" s="68">
        <f t="shared" si="0"/>
        <v>30.326086956521738</v>
      </c>
      <c r="C54" s="54">
        <v>-1560391</v>
      </c>
      <c r="D54" s="69">
        <f t="shared" si="1"/>
        <v>-51453.753405017924</v>
      </c>
      <c r="F54" s="58">
        <v>13</v>
      </c>
      <c r="G54" s="68">
        <f t="shared" si="2"/>
        <v>33.41317365269461</v>
      </c>
      <c r="H54" s="54">
        <v>-1570807</v>
      </c>
      <c r="I54" s="69">
        <f t="shared" si="3"/>
        <v>-47011.607347670251</v>
      </c>
      <c r="K54" s="58">
        <v>94</v>
      </c>
      <c r="L54" s="68">
        <f t="shared" si="4"/>
        <v>30.326086956521738</v>
      </c>
      <c r="M54" s="54">
        <v>-1189690</v>
      </c>
      <c r="N54" s="69">
        <f t="shared" si="5"/>
        <v>-39229.921146953406</v>
      </c>
      <c r="P54" s="58">
        <v>80</v>
      </c>
      <c r="Q54" s="68">
        <f t="shared" si="6"/>
        <v>33.41317365269461</v>
      </c>
      <c r="R54" s="54">
        <v>-1261366</v>
      </c>
      <c r="S54" s="69">
        <f t="shared" si="7"/>
        <v>-37750.559498207884</v>
      </c>
    </row>
    <row r="55" spans="1:19" x14ac:dyDescent="0.25">
      <c r="A55" s="58"/>
      <c r="B55" s="59"/>
      <c r="C55" s="54"/>
      <c r="D55" s="55"/>
      <c r="F55" s="58"/>
      <c r="G55" s="59"/>
      <c r="H55" s="54"/>
      <c r="I55" s="55"/>
      <c r="K55" s="58">
        <v>32</v>
      </c>
      <c r="L55" s="68">
        <f t="shared" si="4"/>
        <v>30.326086956521738</v>
      </c>
      <c r="M55" s="54">
        <v>-1238968</v>
      </c>
      <c r="N55" s="69">
        <f t="shared" si="5"/>
        <v>-40854.858781362011</v>
      </c>
      <c r="P55" s="58">
        <v>52</v>
      </c>
      <c r="Q55" s="68">
        <f t="shared" si="6"/>
        <v>33.41317365269461</v>
      </c>
      <c r="R55" s="54">
        <v>-1306284</v>
      </c>
      <c r="S55" s="69">
        <f t="shared" si="7"/>
        <v>-39094.879569892473</v>
      </c>
    </row>
    <row r="56" spans="1:19" x14ac:dyDescent="0.25">
      <c r="A56" s="58"/>
      <c r="B56" s="59"/>
      <c r="C56" s="54"/>
      <c r="D56" s="55"/>
      <c r="F56" s="58"/>
      <c r="G56" s="59"/>
      <c r="H56" s="54"/>
      <c r="I56" s="55"/>
      <c r="K56" s="58">
        <v>36</v>
      </c>
      <c r="L56" s="68">
        <f t="shared" si="4"/>
        <v>30.326086956521738</v>
      </c>
      <c r="M56" s="54">
        <v>-1281241</v>
      </c>
      <c r="N56" s="69">
        <f t="shared" si="5"/>
        <v>-42248.807168458785</v>
      </c>
      <c r="P56" s="58">
        <v>38</v>
      </c>
      <c r="Q56" s="68">
        <f t="shared" si="6"/>
        <v>33.41317365269461</v>
      </c>
      <c r="R56" s="54">
        <v>-1308829</v>
      </c>
      <c r="S56" s="69">
        <f t="shared" si="7"/>
        <v>-39171.047132616492</v>
      </c>
    </row>
    <row r="57" spans="1:19" x14ac:dyDescent="0.25">
      <c r="A57" s="58"/>
      <c r="B57" s="59"/>
      <c r="C57" s="54"/>
      <c r="D57" s="55"/>
      <c r="F57" s="58"/>
      <c r="G57" s="59"/>
      <c r="H57" s="54"/>
      <c r="I57" s="55"/>
      <c r="K57" s="58">
        <v>29</v>
      </c>
      <c r="L57" s="68">
        <f t="shared" si="4"/>
        <v>30.326086956521738</v>
      </c>
      <c r="M57" s="54">
        <v>-1329121</v>
      </c>
      <c r="N57" s="69">
        <f t="shared" si="5"/>
        <v>-43827.645878136202</v>
      </c>
      <c r="P57" s="58">
        <v>46</v>
      </c>
      <c r="Q57" s="68">
        <f t="shared" si="6"/>
        <v>33.41317365269461</v>
      </c>
      <c r="R57" s="54">
        <v>-1311822</v>
      </c>
      <c r="S57" s="69">
        <f t="shared" si="7"/>
        <v>-39260.622580645162</v>
      </c>
    </row>
    <row r="58" spans="1:19" x14ac:dyDescent="0.25">
      <c r="A58" s="58"/>
      <c r="B58" s="59"/>
      <c r="C58" s="54"/>
      <c r="D58" s="55"/>
      <c r="F58" s="58"/>
      <c r="G58" s="59"/>
      <c r="H58" s="54"/>
      <c r="I58" s="55"/>
      <c r="K58" s="58">
        <v>80</v>
      </c>
      <c r="L58" s="68">
        <f t="shared" si="4"/>
        <v>30.326086956521738</v>
      </c>
      <c r="M58" s="54">
        <v>-1382584</v>
      </c>
      <c r="N58" s="69">
        <f t="shared" si="5"/>
        <v>-45590.583512544807</v>
      </c>
      <c r="P58" s="58">
        <v>53</v>
      </c>
      <c r="Q58" s="68">
        <f t="shared" si="6"/>
        <v>33.41317365269461</v>
      </c>
      <c r="R58" s="54">
        <v>-1316172</v>
      </c>
      <c r="S58" s="69">
        <f t="shared" si="7"/>
        <v>-39390.810752688172</v>
      </c>
    </row>
    <row r="59" spans="1:19" x14ac:dyDescent="0.25">
      <c r="A59" s="58"/>
      <c r="B59" s="59"/>
      <c r="C59" s="54"/>
      <c r="D59" s="55"/>
      <c r="F59" s="58"/>
      <c r="G59" s="59"/>
      <c r="H59" s="54"/>
      <c r="I59" s="55"/>
      <c r="K59" s="58">
        <v>38</v>
      </c>
      <c r="L59" s="68">
        <f t="shared" si="4"/>
        <v>30.326086956521738</v>
      </c>
      <c r="M59" s="54">
        <v>-1454904</v>
      </c>
      <c r="N59" s="69">
        <f t="shared" si="5"/>
        <v>-47975.329032258065</v>
      </c>
      <c r="P59" s="58">
        <v>87</v>
      </c>
      <c r="Q59" s="68">
        <f t="shared" si="6"/>
        <v>33.41317365269461</v>
      </c>
      <c r="R59" s="54">
        <v>-1394051</v>
      </c>
      <c r="S59" s="69">
        <f t="shared" si="7"/>
        <v>-41721.598028673834</v>
      </c>
    </row>
    <row r="60" spans="1:19" x14ac:dyDescent="0.25">
      <c r="A60" s="58"/>
      <c r="B60" s="59"/>
      <c r="C60" s="54"/>
      <c r="D60" s="55"/>
      <c r="F60" s="58"/>
      <c r="G60" s="59"/>
      <c r="H60" s="54"/>
      <c r="I60" s="55"/>
      <c r="K60" s="58">
        <v>96</v>
      </c>
      <c r="L60" s="68">
        <f t="shared" si="4"/>
        <v>30.326086956521738</v>
      </c>
      <c r="M60" s="54">
        <v>-1495940</v>
      </c>
      <c r="N60" s="69">
        <f t="shared" si="5"/>
        <v>-49328.487455197137</v>
      </c>
      <c r="P60" s="58">
        <v>36</v>
      </c>
      <c r="Q60" s="68">
        <f t="shared" si="6"/>
        <v>33.41317365269461</v>
      </c>
      <c r="R60" s="54">
        <v>-1395762</v>
      </c>
      <c r="S60" s="69">
        <f t="shared" si="7"/>
        <v>-41772.805376344084</v>
      </c>
    </row>
    <row r="61" spans="1:19" x14ac:dyDescent="0.25">
      <c r="A61" s="58"/>
      <c r="B61" s="59"/>
      <c r="C61" s="54"/>
      <c r="D61" s="55"/>
      <c r="F61" s="58"/>
      <c r="G61" s="59"/>
      <c r="H61" s="54"/>
      <c r="I61" s="55"/>
      <c r="K61" s="58">
        <v>76</v>
      </c>
      <c r="L61" s="68">
        <f t="shared" si="4"/>
        <v>30.326086956521738</v>
      </c>
      <c r="M61" s="54">
        <v>-1505954</v>
      </c>
      <c r="N61" s="69">
        <f t="shared" si="5"/>
        <v>-49658.698207885303</v>
      </c>
      <c r="P61" s="58">
        <v>42</v>
      </c>
      <c r="Q61" s="68">
        <f t="shared" si="6"/>
        <v>33.41317365269461</v>
      </c>
      <c r="R61" s="54">
        <v>-1449513</v>
      </c>
      <c r="S61" s="69">
        <f t="shared" si="7"/>
        <v>-43381.48225806452</v>
      </c>
    </row>
    <row r="62" spans="1:19" x14ac:dyDescent="0.25">
      <c r="A62" s="58"/>
      <c r="B62" s="59"/>
      <c r="C62" s="54"/>
      <c r="D62" s="55"/>
      <c r="F62" s="58"/>
      <c r="G62" s="59"/>
      <c r="H62" s="54"/>
      <c r="I62" s="55"/>
      <c r="K62" s="58">
        <v>52</v>
      </c>
      <c r="L62" s="68">
        <f t="shared" si="4"/>
        <v>30.326086956521738</v>
      </c>
      <c r="M62" s="54">
        <v>-1572435</v>
      </c>
      <c r="N62" s="69">
        <f t="shared" si="5"/>
        <v>-51850.903225806454</v>
      </c>
      <c r="P62" s="58">
        <v>28</v>
      </c>
      <c r="Q62" s="68">
        <f t="shared" si="6"/>
        <v>33.41317365269461</v>
      </c>
      <c r="R62" s="54">
        <v>-1475625</v>
      </c>
      <c r="S62" s="69">
        <f t="shared" si="7"/>
        <v>-44162.970430107525</v>
      </c>
    </row>
    <row r="63" spans="1:19" x14ac:dyDescent="0.25">
      <c r="A63" s="58"/>
      <c r="B63" s="59"/>
      <c r="C63" s="54"/>
      <c r="D63" s="55"/>
      <c r="F63" s="58"/>
      <c r="G63" s="59"/>
      <c r="H63" s="54"/>
      <c r="I63" s="55"/>
      <c r="K63" s="58">
        <v>100</v>
      </c>
      <c r="L63" s="68">
        <f t="shared" si="4"/>
        <v>30.326086956521738</v>
      </c>
      <c r="M63" s="54">
        <v>-1597710</v>
      </c>
      <c r="N63" s="69">
        <f t="shared" si="5"/>
        <v>-52684.344086021505</v>
      </c>
      <c r="P63" s="58">
        <v>83</v>
      </c>
      <c r="Q63" s="68">
        <f t="shared" si="6"/>
        <v>33.41317365269461</v>
      </c>
      <c r="R63" s="54">
        <v>-1533913</v>
      </c>
      <c r="S63" s="69">
        <f t="shared" si="7"/>
        <v>-45907.432078853046</v>
      </c>
    </row>
    <row r="64" spans="1:19" x14ac:dyDescent="0.25">
      <c r="A64" s="58"/>
      <c r="B64" s="59"/>
      <c r="C64" s="54"/>
      <c r="D64" s="55"/>
      <c r="F64" s="58"/>
      <c r="G64" s="59"/>
      <c r="H64" s="54"/>
      <c r="I64" s="55"/>
      <c r="K64" s="58">
        <v>51</v>
      </c>
      <c r="L64" s="68">
        <f t="shared" si="4"/>
        <v>30.326086956521738</v>
      </c>
      <c r="M64" s="54">
        <v>-1602000</v>
      </c>
      <c r="N64" s="69">
        <f t="shared" si="5"/>
        <v>-52825.806451612902</v>
      </c>
      <c r="P64" s="58">
        <v>77</v>
      </c>
      <c r="Q64" s="68">
        <f t="shared" si="6"/>
        <v>33.41317365269461</v>
      </c>
      <c r="R64" s="54">
        <v>-1545855</v>
      </c>
      <c r="S64" s="69">
        <f t="shared" si="7"/>
        <v>-46264.836021505376</v>
      </c>
    </row>
    <row r="65" spans="1:19" x14ac:dyDescent="0.25">
      <c r="A65" s="58"/>
      <c r="B65" s="59"/>
      <c r="C65" s="54"/>
      <c r="D65" s="55"/>
      <c r="F65" s="58"/>
      <c r="G65" s="59"/>
      <c r="H65" s="54"/>
      <c r="I65" s="55"/>
      <c r="K65" s="58"/>
      <c r="L65" s="59"/>
      <c r="M65" s="54"/>
      <c r="N65" s="55"/>
      <c r="P65" s="58"/>
      <c r="Q65" s="59"/>
      <c r="R65" s="54"/>
      <c r="S65" s="55"/>
    </row>
    <row r="66" spans="1:19" x14ac:dyDescent="0.25">
      <c r="A66" s="58"/>
      <c r="B66" s="59"/>
      <c r="C66" s="54"/>
      <c r="D66" s="55"/>
      <c r="F66" s="58"/>
      <c r="G66" s="59"/>
      <c r="H66" s="54"/>
      <c r="I66" s="55"/>
      <c r="K66" s="58"/>
      <c r="L66" s="59"/>
      <c r="M66" s="54"/>
      <c r="N66" s="55"/>
      <c r="P66" s="58"/>
      <c r="Q66" s="59"/>
      <c r="R66" s="54"/>
      <c r="S66" s="55"/>
    </row>
    <row r="67" spans="1:19" x14ac:dyDescent="0.25">
      <c r="A67" s="58"/>
      <c r="B67" s="59"/>
      <c r="C67" s="54"/>
      <c r="D67" s="55"/>
      <c r="F67" s="58"/>
      <c r="G67" s="59"/>
      <c r="H67" s="54"/>
      <c r="I67" s="55"/>
      <c r="K67" s="58"/>
      <c r="L67" s="59"/>
      <c r="M67" s="54"/>
      <c r="N67" s="55"/>
      <c r="P67" s="58"/>
      <c r="Q67" s="59"/>
      <c r="R67" s="54"/>
      <c r="S67" s="55"/>
    </row>
    <row r="68" spans="1:19" x14ac:dyDescent="0.25">
      <c r="A68" s="58"/>
      <c r="B68" s="59"/>
      <c r="C68" s="54"/>
      <c r="D68" s="55"/>
      <c r="F68" s="58"/>
      <c r="G68" s="59"/>
      <c r="H68" s="54"/>
      <c r="I68" s="55"/>
      <c r="K68" s="58"/>
      <c r="L68" s="59"/>
      <c r="M68" s="54"/>
      <c r="N68" s="55"/>
      <c r="P68" s="58"/>
      <c r="Q68" s="59"/>
      <c r="R68" s="54"/>
      <c r="S68" s="55"/>
    </row>
    <row r="69" spans="1:19" x14ac:dyDescent="0.25">
      <c r="A69" s="58"/>
      <c r="B69" s="59"/>
      <c r="C69" s="54"/>
      <c r="D69" s="55"/>
      <c r="F69" s="58"/>
      <c r="G69" s="59"/>
      <c r="H69" s="54"/>
      <c r="I69" s="55"/>
      <c r="K69" s="58"/>
      <c r="L69" s="59"/>
      <c r="M69" s="54"/>
      <c r="N69" s="55"/>
      <c r="P69" s="58"/>
      <c r="Q69" s="59"/>
      <c r="R69" s="54"/>
      <c r="S69" s="55"/>
    </row>
    <row r="70" spans="1:19" x14ac:dyDescent="0.25">
      <c r="A70" s="58"/>
      <c r="B70" s="59"/>
      <c r="C70" s="54"/>
      <c r="D70" s="55"/>
      <c r="F70" s="58"/>
      <c r="G70" s="59"/>
      <c r="H70" s="54"/>
      <c r="I70" s="55"/>
      <c r="K70" s="58"/>
      <c r="L70" s="59"/>
      <c r="M70" s="54"/>
      <c r="N70" s="55"/>
      <c r="P70" s="58"/>
      <c r="Q70" s="59"/>
      <c r="R70" s="54"/>
      <c r="S70" s="55"/>
    </row>
    <row r="71" spans="1:19" x14ac:dyDescent="0.25">
      <c r="A71" s="58"/>
      <c r="B71" s="59"/>
      <c r="C71" s="54"/>
      <c r="D71" s="55"/>
      <c r="F71" s="58"/>
      <c r="G71" s="59"/>
      <c r="H71" s="54"/>
      <c r="I71" s="55"/>
      <c r="K71" s="58"/>
      <c r="L71" s="59"/>
      <c r="M71" s="54"/>
      <c r="N71" s="55"/>
      <c r="P71" s="58"/>
      <c r="Q71" s="59"/>
      <c r="R71" s="54"/>
      <c r="S71" s="55"/>
    </row>
    <row r="72" spans="1:19" x14ac:dyDescent="0.25">
      <c r="A72" s="58"/>
      <c r="B72" s="59"/>
      <c r="C72" s="54"/>
      <c r="D72" s="55"/>
      <c r="F72" s="58"/>
      <c r="G72" s="59"/>
      <c r="H72" s="54"/>
      <c r="I72" s="55"/>
      <c r="K72" s="58"/>
      <c r="L72" s="59"/>
      <c r="M72" s="54"/>
      <c r="N72" s="55"/>
      <c r="P72" s="58"/>
      <c r="Q72" s="59"/>
      <c r="R72" s="54"/>
      <c r="S72" s="55"/>
    </row>
    <row r="73" spans="1:19" x14ac:dyDescent="0.25">
      <c r="A73" s="58"/>
      <c r="B73" s="59"/>
      <c r="C73" s="54"/>
      <c r="D73" s="55"/>
      <c r="F73" s="58"/>
      <c r="G73" s="59"/>
      <c r="H73" s="54"/>
      <c r="I73" s="55"/>
      <c r="K73" s="58"/>
      <c r="L73" s="59"/>
      <c r="M73" s="54"/>
      <c r="N73" s="55"/>
      <c r="P73" s="58"/>
      <c r="Q73" s="59"/>
      <c r="R73" s="54"/>
      <c r="S73" s="55"/>
    </row>
    <row r="74" spans="1:19" x14ac:dyDescent="0.25">
      <c r="A74" s="58"/>
      <c r="B74" s="59"/>
      <c r="C74" s="54"/>
      <c r="D74" s="55"/>
      <c r="F74" s="58"/>
      <c r="G74" s="59"/>
      <c r="H74" s="54"/>
      <c r="I74" s="55"/>
      <c r="K74" s="58"/>
      <c r="L74" s="59"/>
      <c r="M74" s="54"/>
      <c r="N74" s="55"/>
      <c r="P74" s="58"/>
      <c r="Q74" s="59"/>
      <c r="R74" s="54"/>
      <c r="S74" s="55"/>
    </row>
    <row r="75" spans="1:19" x14ac:dyDescent="0.25">
      <c r="A75" s="58"/>
      <c r="B75" s="59"/>
      <c r="C75" s="54"/>
      <c r="D75" s="55"/>
      <c r="F75" s="58"/>
      <c r="G75" s="59"/>
      <c r="H75" s="54"/>
      <c r="I75" s="55"/>
      <c r="K75" s="58"/>
      <c r="L75" s="59"/>
      <c r="M75" s="54"/>
      <c r="N75" s="55"/>
      <c r="P75" s="58"/>
      <c r="Q75" s="59"/>
      <c r="R75" s="54"/>
      <c r="S75" s="55"/>
    </row>
    <row r="76" spans="1:19" x14ac:dyDescent="0.25">
      <c r="A76" s="58"/>
      <c r="B76" s="59"/>
      <c r="C76" s="54"/>
      <c r="D76" s="55"/>
      <c r="F76" s="58"/>
      <c r="G76" s="59"/>
      <c r="H76" s="54"/>
      <c r="I76" s="55"/>
      <c r="K76" s="58"/>
      <c r="L76" s="59"/>
      <c r="M76" s="54"/>
      <c r="N76" s="55"/>
      <c r="P76" s="58"/>
      <c r="Q76" s="59"/>
      <c r="R76" s="54"/>
      <c r="S76" s="55"/>
    </row>
    <row r="77" spans="1:19" x14ac:dyDescent="0.25">
      <c r="A77" s="58"/>
      <c r="B77" s="59"/>
      <c r="C77" s="54"/>
      <c r="D77" s="55"/>
      <c r="F77" s="58"/>
      <c r="G77" s="59"/>
      <c r="H77" s="54"/>
      <c r="I77" s="55"/>
      <c r="K77" s="58"/>
      <c r="L77" s="59"/>
      <c r="M77" s="54"/>
      <c r="N77" s="55"/>
      <c r="P77" s="58"/>
      <c r="Q77" s="59"/>
      <c r="R77" s="54"/>
      <c r="S77" s="55"/>
    </row>
    <row r="78" spans="1:19" x14ac:dyDescent="0.25">
      <c r="A78" s="58"/>
      <c r="B78" s="59"/>
      <c r="C78" s="54"/>
      <c r="D78" s="55"/>
      <c r="F78" s="58"/>
      <c r="G78" s="59"/>
      <c r="H78" s="54"/>
      <c r="I78" s="55"/>
      <c r="K78" s="58"/>
      <c r="L78" s="59"/>
      <c r="M78" s="54"/>
      <c r="N78" s="55"/>
      <c r="P78" s="58"/>
      <c r="Q78" s="59"/>
      <c r="R78" s="54"/>
      <c r="S78" s="55"/>
    </row>
    <row r="79" spans="1:19" x14ac:dyDescent="0.25">
      <c r="A79" s="58"/>
      <c r="B79" s="59"/>
      <c r="C79" s="54"/>
      <c r="D79" s="55"/>
      <c r="F79" s="58"/>
      <c r="G79" s="59"/>
      <c r="H79" s="54"/>
      <c r="I79" s="55"/>
      <c r="K79" s="58"/>
      <c r="L79" s="59"/>
      <c r="M79" s="54"/>
      <c r="N79" s="55"/>
      <c r="P79" s="58"/>
      <c r="Q79" s="59"/>
      <c r="R79" s="54"/>
      <c r="S79" s="55"/>
    </row>
    <row r="80" spans="1:19" x14ac:dyDescent="0.25">
      <c r="A80" s="58"/>
      <c r="B80" s="59"/>
      <c r="C80" s="54"/>
      <c r="D80" s="55"/>
      <c r="F80" s="58"/>
      <c r="G80" s="59"/>
      <c r="H80" s="54"/>
      <c r="I80" s="55"/>
      <c r="K80" s="58"/>
      <c r="L80" s="59"/>
      <c r="M80" s="54"/>
      <c r="N80" s="55"/>
      <c r="P80" s="58"/>
      <c r="Q80" s="59"/>
      <c r="R80" s="54"/>
      <c r="S80" s="55"/>
    </row>
    <row r="81" spans="1:19" x14ac:dyDescent="0.25">
      <c r="A81" s="58"/>
      <c r="B81" s="59"/>
      <c r="C81" s="54"/>
      <c r="D81" s="55"/>
      <c r="F81" s="58"/>
      <c r="G81" s="59"/>
      <c r="H81" s="54"/>
      <c r="I81" s="55"/>
      <c r="K81" s="58"/>
      <c r="L81" s="59"/>
      <c r="M81" s="54"/>
      <c r="N81" s="55"/>
      <c r="P81" s="58"/>
      <c r="Q81" s="59"/>
      <c r="R81" s="54"/>
      <c r="S81" s="55"/>
    </row>
    <row r="82" spans="1:19" x14ac:dyDescent="0.25">
      <c r="A82" s="58"/>
      <c r="B82" s="59"/>
      <c r="C82" s="54"/>
      <c r="D82" s="55"/>
      <c r="F82" s="58"/>
      <c r="G82" s="59"/>
      <c r="H82" s="54"/>
      <c r="I82" s="55"/>
      <c r="K82" s="58"/>
      <c r="L82" s="59"/>
      <c r="M82" s="54"/>
      <c r="N82" s="55"/>
      <c r="P82" s="58"/>
      <c r="Q82" s="59"/>
      <c r="R82" s="54"/>
      <c r="S82" s="55"/>
    </row>
    <row r="83" spans="1:19" x14ac:dyDescent="0.25">
      <c r="A83" s="58"/>
      <c r="B83" s="59"/>
      <c r="C83" s="54"/>
      <c r="D83" s="55"/>
      <c r="F83" s="58"/>
      <c r="G83" s="59"/>
      <c r="H83" s="54"/>
      <c r="I83" s="55"/>
      <c r="K83" s="58"/>
      <c r="L83" s="59"/>
      <c r="M83" s="54"/>
      <c r="N83" s="55"/>
      <c r="P83" s="58"/>
      <c r="Q83" s="59"/>
      <c r="R83" s="54"/>
      <c r="S83" s="55"/>
    </row>
    <row r="84" spans="1:19" x14ac:dyDescent="0.25">
      <c r="A84" s="58"/>
      <c r="B84" s="59"/>
      <c r="C84" s="54"/>
      <c r="D84" s="55"/>
      <c r="F84" s="58"/>
      <c r="G84" s="59"/>
      <c r="H84" s="54"/>
      <c r="I84" s="55"/>
      <c r="K84" s="58"/>
      <c r="L84" s="59"/>
      <c r="M84" s="54"/>
      <c r="N84" s="55"/>
      <c r="P84" s="58"/>
      <c r="Q84" s="59"/>
      <c r="R84" s="54"/>
      <c r="S84" s="55"/>
    </row>
    <row r="85" spans="1:19" x14ac:dyDescent="0.25">
      <c r="A85" s="58"/>
      <c r="B85" s="59"/>
      <c r="C85" s="54"/>
      <c r="D85" s="55"/>
      <c r="F85" s="58"/>
      <c r="G85" s="59"/>
      <c r="H85" s="54"/>
      <c r="I85" s="55"/>
      <c r="K85" s="58"/>
      <c r="L85" s="59"/>
      <c r="M85" s="54"/>
      <c r="N85" s="55"/>
      <c r="P85" s="58"/>
      <c r="Q85" s="59"/>
      <c r="R85" s="54"/>
      <c r="S85" s="55"/>
    </row>
    <row r="86" spans="1:19" x14ac:dyDescent="0.25">
      <c r="A86" s="58"/>
      <c r="B86" s="59"/>
      <c r="C86" s="54"/>
      <c r="D86" s="55"/>
      <c r="F86" s="58"/>
      <c r="G86" s="59"/>
      <c r="H86" s="54"/>
      <c r="I86" s="55"/>
      <c r="K86" s="58"/>
      <c r="L86" s="59"/>
      <c r="M86" s="54"/>
      <c r="N86" s="55"/>
      <c r="P86" s="58"/>
      <c r="Q86" s="59"/>
      <c r="R86" s="54"/>
      <c r="S86" s="55"/>
    </row>
    <row r="87" spans="1:19" x14ac:dyDescent="0.25">
      <c r="A87" s="58"/>
      <c r="B87" s="59"/>
      <c r="C87" s="54"/>
      <c r="D87" s="55"/>
      <c r="F87" s="58"/>
      <c r="G87" s="59"/>
      <c r="H87" s="54"/>
      <c r="I87" s="55"/>
      <c r="K87" s="58"/>
      <c r="L87" s="59"/>
      <c r="M87" s="54"/>
      <c r="N87" s="55"/>
      <c r="P87" s="58"/>
      <c r="Q87" s="59"/>
      <c r="R87" s="54"/>
      <c r="S87" s="55"/>
    </row>
    <row r="88" spans="1:19" x14ac:dyDescent="0.25">
      <c r="A88" s="58"/>
      <c r="B88" s="59"/>
      <c r="C88" s="54"/>
      <c r="D88" s="55"/>
      <c r="F88" s="58"/>
      <c r="G88" s="59"/>
      <c r="H88" s="54"/>
      <c r="I88" s="55"/>
      <c r="K88" s="58"/>
      <c r="L88" s="59"/>
      <c r="M88" s="54"/>
      <c r="N88" s="55"/>
      <c r="P88" s="58"/>
      <c r="Q88" s="59"/>
      <c r="R88" s="54"/>
      <c r="S88" s="55"/>
    </row>
    <row r="89" spans="1:19" x14ac:dyDescent="0.25">
      <c r="A89" s="58"/>
      <c r="B89" s="59"/>
      <c r="C89" s="54"/>
      <c r="D89" s="55"/>
      <c r="F89" s="58"/>
      <c r="G89" s="59"/>
      <c r="H89" s="54"/>
      <c r="I89" s="55"/>
      <c r="K89" s="58"/>
      <c r="L89" s="59"/>
      <c r="M89" s="54"/>
      <c r="N89" s="55"/>
      <c r="P89" s="58"/>
      <c r="Q89" s="59"/>
      <c r="R89" s="54"/>
      <c r="S89" s="55"/>
    </row>
    <row r="90" spans="1:19" x14ac:dyDescent="0.25">
      <c r="A90" s="58"/>
      <c r="B90" s="59"/>
      <c r="C90" s="54"/>
      <c r="D90" s="55"/>
      <c r="F90" s="58"/>
      <c r="G90" s="59"/>
      <c r="H90" s="54"/>
      <c r="I90" s="55"/>
      <c r="K90" s="58"/>
      <c r="L90" s="59"/>
      <c r="M90" s="54"/>
      <c r="N90" s="55"/>
      <c r="P90" s="58"/>
      <c r="Q90" s="59"/>
      <c r="R90" s="54"/>
      <c r="S90" s="55"/>
    </row>
    <row r="91" spans="1:19" x14ac:dyDescent="0.25">
      <c r="A91" s="58"/>
      <c r="B91" s="59"/>
      <c r="C91" s="54"/>
      <c r="D91" s="55"/>
      <c r="F91" s="58"/>
      <c r="G91" s="59"/>
      <c r="H91" s="54"/>
      <c r="I91" s="55"/>
      <c r="K91" s="58"/>
      <c r="L91" s="59"/>
      <c r="M91" s="54"/>
      <c r="N91" s="55"/>
      <c r="P91" s="58"/>
      <c r="Q91" s="59"/>
      <c r="R91" s="54"/>
      <c r="S91" s="55"/>
    </row>
    <row r="92" spans="1:19" x14ac:dyDescent="0.25">
      <c r="A92" s="58"/>
      <c r="B92" s="59"/>
      <c r="C92" s="54"/>
      <c r="D92" s="55"/>
      <c r="F92" s="58"/>
      <c r="G92" s="59"/>
      <c r="H92" s="54"/>
      <c r="I92" s="55"/>
      <c r="K92" s="58"/>
      <c r="L92" s="59"/>
      <c r="M92" s="54"/>
      <c r="N92" s="55"/>
      <c r="P92" s="58"/>
      <c r="Q92" s="59"/>
      <c r="R92" s="54"/>
      <c r="S92" s="55"/>
    </row>
    <row r="93" spans="1:19" x14ac:dyDescent="0.25">
      <c r="A93" s="58"/>
      <c r="B93" s="59"/>
      <c r="C93" s="54"/>
      <c r="D93" s="55"/>
      <c r="F93" s="58"/>
      <c r="G93" s="59"/>
      <c r="H93" s="54"/>
      <c r="I93" s="55"/>
      <c r="K93" s="58"/>
      <c r="L93" s="59"/>
      <c r="M93" s="54"/>
      <c r="N93" s="55"/>
      <c r="P93" s="58"/>
      <c r="Q93" s="59"/>
      <c r="R93" s="54"/>
      <c r="S93" s="55"/>
    </row>
    <row r="94" spans="1:19" x14ac:dyDescent="0.25">
      <c r="A94" s="58"/>
      <c r="B94" s="59"/>
      <c r="C94" s="54"/>
      <c r="D94" s="55"/>
      <c r="F94" s="58"/>
      <c r="G94" s="59"/>
      <c r="H94" s="54"/>
      <c r="I94" s="55"/>
      <c r="K94" s="58"/>
      <c r="L94" s="59"/>
      <c r="M94" s="54"/>
      <c r="N94" s="55"/>
      <c r="P94" s="58"/>
      <c r="Q94" s="59"/>
      <c r="R94" s="54"/>
      <c r="S94" s="55"/>
    </row>
    <row r="95" spans="1:19" x14ac:dyDescent="0.25">
      <c r="A95" s="58"/>
      <c r="B95" s="59"/>
      <c r="C95" s="54"/>
      <c r="D95" s="55"/>
      <c r="F95" s="58"/>
      <c r="G95" s="59"/>
      <c r="H95" s="54"/>
      <c r="I95" s="55"/>
      <c r="K95" s="58"/>
      <c r="L95" s="59"/>
      <c r="M95" s="54"/>
      <c r="N95" s="55"/>
      <c r="P95" s="58"/>
      <c r="Q95" s="59"/>
      <c r="R95" s="54"/>
      <c r="S95" s="55"/>
    </row>
    <row r="96" spans="1:19" x14ac:dyDescent="0.25">
      <c r="A96" s="58"/>
      <c r="B96" s="59"/>
      <c r="C96" s="54"/>
      <c r="D96" s="55"/>
      <c r="F96" s="58"/>
      <c r="G96" s="59"/>
      <c r="H96" s="54"/>
      <c r="I96" s="55"/>
      <c r="K96" s="58"/>
      <c r="L96" s="59"/>
      <c r="M96" s="54"/>
      <c r="N96" s="55"/>
      <c r="P96" s="58"/>
      <c r="Q96" s="59"/>
      <c r="R96" s="54"/>
      <c r="S96" s="55"/>
    </row>
    <row r="97" spans="1:19" x14ac:dyDescent="0.25">
      <c r="A97" s="58"/>
      <c r="B97" s="59"/>
      <c r="C97" s="54"/>
      <c r="D97" s="55"/>
      <c r="F97" s="58"/>
      <c r="G97" s="59"/>
      <c r="H97" s="54"/>
      <c r="I97" s="55"/>
      <c r="K97" s="58"/>
      <c r="L97" s="59"/>
      <c r="M97" s="54"/>
      <c r="N97" s="55"/>
      <c r="P97" s="58"/>
      <c r="Q97" s="59"/>
      <c r="R97" s="54"/>
      <c r="S97" s="55"/>
    </row>
    <row r="98" spans="1:19" x14ac:dyDescent="0.25">
      <c r="A98" s="58"/>
      <c r="B98" s="59"/>
      <c r="C98" s="54"/>
      <c r="D98" s="55"/>
      <c r="F98" s="58"/>
      <c r="G98" s="59"/>
      <c r="H98" s="54"/>
      <c r="I98" s="55"/>
      <c r="K98" s="58"/>
      <c r="L98" s="59"/>
      <c r="M98" s="54"/>
      <c r="N98" s="55"/>
      <c r="P98" s="58"/>
      <c r="Q98" s="59"/>
      <c r="R98" s="54"/>
      <c r="S98" s="55"/>
    </row>
    <row r="99" spans="1:19" x14ac:dyDescent="0.25">
      <c r="A99" s="58"/>
      <c r="B99" s="59"/>
      <c r="C99" s="54"/>
      <c r="D99" s="55"/>
      <c r="F99" s="58"/>
      <c r="G99" s="59"/>
      <c r="H99" s="54"/>
      <c r="I99" s="55"/>
      <c r="K99" s="58"/>
      <c r="L99" s="59"/>
      <c r="M99" s="54"/>
      <c r="N99" s="55"/>
      <c r="P99" s="58"/>
      <c r="Q99" s="59"/>
      <c r="R99" s="54"/>
      <c r="S99" s="55"/>
    </row>
    <row r="100" spans="1:19" x14ac:dyDescent="0.25">
      <c r="A100" s="58"/>
      <c r="B100" s="59"/>
      <c r="C100" s="54"/>
      <c r="D100" s="55"/>
      <c r="F100" s="58"/>
      <c r="G100" s="59"/>
      <c r="H100" s="54"/>
      <c r="I100" s="55"/>
      <c r="K100" s="58"/>
      <c r="L100" s="59"/>
      <c r="M100" s="54"/>
      <c r="N100" s="55"/>
      <c r="P100" s="58"/>
      <c r="Q100" s="59"/>
      <c r="R100" s="54"/>
      <c r="S100" s="55"/>
    </row>
    <row r="101" spans="1:19" x14ac:dyDescent="0.25">
      <c r="A101" s="58"/>
      <c r="B101" s="59"/>
      <c r="C101" s="54"/>
      <c r="D101" s="55"/>
      <c r="F101" s="58"/>
      <c r="G101" s="59"/>
      <c r="H101" s="54"/>
      <c r="I101" s="55"/>
      <c r="K101" s="58"/>
      <c r="L101" s="59"/>
      <c r="M101" s="54"/>
      <c r="N101" s="55"/>
      <c r="P101" s="58"/>
      <c r="Q101" s="59"/>
      <c r="R101" s="54"/>
      <c r="S101" s="55"/>
    </row>
    <row r="102" spans="1:19" x14ac:dyDescent="0.25">
      <c r="A102" s="58"/>
      <c r="B102" s="59"/>
      <c r="C102" s="54"/>
      <c r="D102" s="55"/>
      <c r="F102" s="58"/>
      <c r="G102" s="59"/>
      <c r="H102" s="54"/>
      <c r="I102" s="55"/>
      <c r="K102" s="58"/>
      <c r="L102" s="59"/>
      <c r="M102" s="54"/>
      <c r="N102" s="55"/>
      <c r="P102" s="58"/>
      <c r="Q102" s="59"/>
      <c r="R102" s="54"/>
      <c r="S102" s="55"/>
    </row>
    <row r="103" spans="1:19" x14ac:dyDescent="0.25">
      <c r="A103" s="58"/>
      <c r="B103" s="59"/>
      <c r="C103" s="54"/>
      <c r="D103" s="55"/>
      <c r="F103" s="58"/>
      <c r="G103" s="59"/>
      <c r="H103" s="54"/>
      <c r="I103" s="55"/>
      <c r="K103" s="58"/>
      <c r="L103" s="59"/>
      <c r="M103" s="54"/>
      <c r="N103" s="55"/>
      <c r="P103" s="58"/>
      <c r="Q103" s="59"/>
      <c r="R103" s="54"/>
      <c r="S103" s="55"/>
    </row>
    <row r="104" spans="1:19" x14ac:dyDescent="0.25">
      <c r="A104" s="58"/>
      <c r="B104" s="59"/>
      <c r="C104" s="54"/>
      <c r="D104" s="55"/>
      <c r="F104" s="58"/>
      <c r="G104" s="59"/>
      <c r="H104" s="54"/>
      <c r="I104" s="55"/>
      <c r="K104" s="58"/>
      <c r="L104" s="59"/>
      <c r="M104" s="54"/>
      <c r="N104" s="55"/>
      <c r="P104" s="58"/>
      <c r="Q104" s="59"/>
      <c r="R104" s="54"/>
      <c r="S104" s="55"/>
    </row>
    <row r="105" spans="1:19" x14ac:dyDescent="0.25">
      <c r="A105" s="58"/>
      <c r="B105" s="59"/>
      <c r="C105" s="54"/>
      <c r="D105" s="55"/>
      <c r="F105" s="58"/>
      <c r="G105" s="59"/>
      <c r="H105" s="54"/>
      <c r="I105" s="55"/>
      <c r="K105" s="58"/>
      <c r="L105" s="59"/>
      <c r="M105" s="54"/>
      <c r="N105" s="55"/>
      <c r="P105" s="58"/>
      <c r="Q105" s="59"/>
      <c r="R105" s="54"/>
      <c r="S105" s="55"/>
    </row>
    <row r="106" spans="1:19" x14ac:dyDescent="0.25">
      <c r="A106" s="58"/>
      <c r="B106" s="59"/>
      <c r="C106" s="54"/>
      <c r="D106" s="55"/>
      <c r="F106" s="58"/>
      <c r="G106" s="59"/>
      <c r="H106" s="54"/>
      <c r="I106" s="55"/>
      <c r="K106" s="58"/>
      <c r="L106" s="59"/>
      <c r="M106" s="54"/>
      <c r="N106" s="55"/>
      <c r="P106" s="58"/>
      <c r="Q106" s="59"/>
      <c r="R106" s="54"/>
      <c r="S106" s="55"/>
    </row>
    <row r="107" spans="1:19" x14ac:dyDescent="0.25">
      <c r="A107" s="58"/>
      <c r="B107" s="59"/>
      <c r="C107" s="54"/>
      <c r="D107" s="55"/>
      <c r="F107" s="58"/>
      <c r="G107" s="59"/>
      <c r="H107" s="54"/>
      <c r="I107" s="55"/>
      <c r="K107" s="58"/>
      <c r="L107" s="59"/>
      <c r="M107" s="54"/>
      <c r="N107" s="55"/>
      <c r="P107" s="58"/>
      <c r="Q107" s="59"/>
      <c r="R107" s="54"/>
      <c r="S107" s="55"/>
    </row>
    <row r="108" spans="1:19" x14ac:dyDescent="0.25">
      <c r="A108" s="58"/>
      <c r="B108" s="59"/>
      <c r="C108" s="54"/>
      <c r="D108" s="55"/>
      <c r="F108" s="58"/>
      <c r="G108" s="59"/>
      <c r="H108" s="54"/>
      <c r="I108" s="55"/>
      <c r="K108" s="58"/>
      <c r="L108" s="59"/>
      <c r="M108" s="54"/>
      <c r="N108" s="55"/>
      <c r="P108" s="58"/>
      <c r="Q108" s="59"/>
      <c r="R108" s="54"/>
      <c r="S108" s="55"/>
    </row>
    <row r="109" spans="1:19" x14ac:dyDescent="0.25">
      <c r="A109" s="58"/>
      <c r="B109" s="59"/>
      <c r="C109" s="54"/>
      <c r="D109" s="55"/>
      <c r="F109" s="58"/>
      <c r="G109" s="59"/>
      <c r="H109" s="54"/>
      <c r="I109" s="55"/>
      <c r="K109" s="58"/>
      <c r="L109" s="59"/>
      <c r="M109" s="54"/>
      <c r="N109" s="55"/>
      <c r="P109" s="58"/>
      <c r="Q109" s="59"/>
      <c r="R109" s="54"/>
      <c r="S109" s="55"/>
    </row>
    <row r="110" spans="1:19" x14ac:dyDescent="0.25">
      <c r="A110" s="58"/>
      <c r="B110" s="59"/>
      <c r="C110" s="54"/>
      <c r="D110" s="55"/>
      <c r="F110" s="58"/>
      <c r="G110" s="59"/>
      <c r="H110" s="54"/>
      <c r="I110" s="55"/>
      <c r="K110" s="58"/>
      <c r="L110" s="59"/>
      <c r="M110" s="54"/>
      <c r="N110" s="55"/>
      <c r="P110" s="58"/>
      <c r="Q110" s="59"/>
      <c r="R110" s="54"/>
      <c r="S110" s="55"/>
    </row>
    <row r="111" spans="1:19" x14ac:dyDescent="0.25">
      <c r="A111" s="58"/>
      <c r="B111" s="59"/>
      <c r="C111" s="54"/>
      <c r="D111" s="55"/>
      <c r="F111" s="58"/>
      <c r="G111" s="59"/>
      <c r="H111" s="54"/>
      <c r="I111" s="55"/>
      <c r="K111" s="58"/>
      <c r="L111" s="59"/>
      <c r="M111" s="54"/>
      <c r="N111" s="55"/>
      <c r="P111" s="58"/>
      <c r="Q111" s="59"/>
      <c r="R111" s="54"/>
      <c r="S111" s="55"/>
    </row>
    <row r="112" spans="1:19" x14ac:dyDescent="0.25">
      <c r="A112" s="58"/>
      <c r="B112" s="59"/>
      <c r="C112" s="54"/>
      <c r="D112" s="55"/>
      <c r="F112" s="58"/>
      <c r="G112" s="59"/>
      <c r="H112" s="54"/>
      <c r="I112" s="55"/>
      <c r="K112" s="58"/>
      <c r="L112" s="59"/>
      <c r="M112" s="54"/>
      <c r="N112" s="55"/>
      <c r="P112" s="58"/>
      <c r="Q112" s="59"/>
      <c r="R112" s="54"/>
      <c r="S112" s="55"/>
    </row>
    <row r="113" spans="1:19" x14ac:dyDescent="0.25">
      <c r="A113" s="58"/>
      <c r="B113" s="59"/>
      <c r="C113" s="54"/>
      <c r="D113" s="55"/>
      <c r="F113" s="58"/>
      <c r="G113" s="59"/>
      <c r="H113" s="54"/>
      <c r="I113" s="55"/>
      <c r="K113" s="58"/>
      <c r="L113" s="59"/>
      <c r="M113" s="54"/>
      <c r="N113" s="55"/>
      <c r="P113" s="58"/>
      <c r="Q113" s="59"/>
      <c r="R113" s="54"/>
      <c r="S113" s="55"/>
    </row>
    <row r="114" spans="1:19" x14ac:dyDescent="0.25">
      <c r="A114" s="58"/>
      <c r="B114" s="59"/>
      <c r="C114" s="54"/>
      <c r="D114" s="55"/>
      <c r="F114" s="58"/>
      <c r="G114" s="59"/>
      <c r="H114" s="54"/>
      <c r="I114" s="55"/>
      <c r="K114" s="58"/>
      <c r="L114" s="59"/>
      <c r="M114" s="54"/>
      <c r="N114" s="55"/>
      <c r="P114" s="58"/>
      <c r="Q114" s="59"/>
      <c r="R114" s="54"/>
      <c r="S114" s="55"/>
    </row>
    <row r="115" spans="1:19" x14ac:dyDescent="0.25">
      <c r="A115" s="58"/>
      <c r="B115" s="59"/>
      <c r="C115" s="54"/>
      <c r="D115" s="55"/>
      <c r="F115" s="58"/>
      <c r="G115" s="59"/>
      <c r="H115" s="54"/>
      <c r="I115" s="55"/>
      <c r="K115" s="58"/>
      <c r="L115" s="59"/>
      <c r="M115" s="54"/>
      <c r="N115" s="55"/>
      <c r="P115" s="58"/>
      <c r="Q115" s="59"/>
      <c r="R115" s="54"/>
      <c r="S115" s="55"/>
    </row>
    <row r="116" spans="1:19" x14ac:dyDescent="0.25">
      <c r="A116" s="58"/>
      <c r="B116" s="59"/>
      <c r="C116" s="54"/>
      <c r="D116" s="55"/>
      <c r="F116" s="58"/>
      <c r="G116" s="59"/>
      <c r="H116" s="54"/>
      <c r="I116" s="55"/>
      <c r="K116" s="58"/>
      <c r="L116" s="59"/>
      <c r="M116" s="54"/>
      <c r="N116" s="55"/>
      <c r="P116" s="58"/>
      <c r="Q116" s="59"/>
      <c r="R116" s="54"/>
      <c r="S116" s="55"/>
    </row>
    <row r="117" spans="1:19" x14ac:dyDescent="0.25">
      <c r="A117" s="58"/>
      <c r="B117" s="59"/>
      <c r="C117" s="54"/>
      <c r="D117" s="55"/>
      <c r="F117" s="58"/>
      <c r="G117" s="59"/>
      <c r="H117" s="54"/>
      <c r="I117" s="55"/>
      <c r="K117" s="58"/>
      <c r="L117" s="59"/>
      <c r="M117" s="54"/>
      <c r="N117" s="55"/>
      <c r="P117" s="58"/>
      <c r="Q117" s="59"/>
      <c r="R117" s="54"/>
      <c r="S117" s="55"/>
    </row>
    <row r="118" spans="1:19" ht="15.75" thickBot="1" x14ac:dyDescent="0.3">
      <c r="A118" s="60"/>
      <c r="B118" s="61"/>
      <c r="C118" s="56"/>
      <c r="D118" s="57"/>
      <c r="F118" s="60"/>
      <c r="G118" s="61"/>
      <c r="H118" s="56"/>
      <c r="I118" s="57"/>
      <c r="K118" s="58"/>
      <c r="L118" s="59"/>
      <c r="M118" s="54"/>
      <c r="N118" s="55"/>
      <c r="P118" s="58"/>
      <c r="Q118" s="59"/>
      <c r="R118" s="54"/>
      <c r="S118" s="55"/>
    </row>
    <row r="119" spans="1:19" x14ac:dyDescent="0.25">
      <c r="K119" s="58"/>
      <c r="L119" s="59"/>
      <c r="M119" s="54"/>
      <c r="N119" s="55"/>
      <c r="P119" s="58"/>
      <c r="Q119" s="59"/>
      <c r="R119" s="54"/>
      <c r="S119" s="55"/>
    </row>
    <row r="120" spans="1:19" x14ac:dyDescent="0.25">
      <c r="K120" s="58"/>
      <c r="L120" s="59"/>
      <c r="M120" s="54"/>
      <c r="N120" s="55"/>
      <c r="P120" s="58"/>
      <c r="Q120" s="59"/>
      <c r="R120" s="54"/>
      <c r="S120" s="55"/>
    </row>
    <row r="121" spans="1:19" x14ac:dyDescent="0.25">
      <c r="K121" s="58"/>
      <c r="L121" s="59"/>
      <c r="M121" s="54"/>
      <c r="N121" s="55"/>
      <c r="P121" s="58"/>
      <c r="Q121" s="59"/>
      <c r="R121" s="54"/>
      <c r="S121" s="55"/>
    </row>
    <row r="122" spans="1:19" x14ac:dyDescent="0.25">
      <c r="K122" s="58"/>
      <c r="L122" s="59"/>
      <c r="M122" s="54"/>
      <c r="N122" s="55"/>
      <c r="P122" s="58"/>
      <c r="Q122" s="59"/>
      <c r="R122" s="54"/>
      <c r="S122" s="55"/>
    </row>
    <row r="123" spans="1:19" x14ac:dyDescent="0.25">
      <c r="K123" s="58"/>
      <c r="L123" s="59"/>
      <c r="M123" s="54"/>
      <c r="N123" s="55"/>
      <c r="P123" s="58"/>
      <c r="Q123" s="59"/>
      <c r="R123" s="54"/>
      <c r="S123" s="55"/>
    </row>
    <row r="124" spans="1:19" x14ac:dyDescent="0.25">
      <c r="K124" s="58"/>
      <c r="L124" s="59"/>
      <c r="M124" s="54"/>
      <c r="N124" s="55"/>
      <c r="P124" s="58"/>
      <c r="Q124" s="59"/>
      <c r="R124" s="54"/>
      <c r="S124" s="55"/>
    </row>
    <row r="125" spans="1:19" x14ac:dyDescent="0.25">
      <c r="K125" s="58"/>
      <c r="L125" s="59"/>
      <c r="M125" s="54"/>
      <c r="N125" s="55"/>
      <c r="P125" s="58"/>
      <c r="Q125" s="59"/>
      <c r="R125" s="54"/>
      <c r="S125" s="55"/>
    </row>
    <row r="126" spans="1:19" x14ac:dyDescent="0.25">
      <c r="K126" s="58"/>
      <c r="L126" s="59"/>
      <c r="M126" s="54"/>
      <c r="N126" s="55"/>
      <c r="P126" s="58"/>
      <c r="Q126" s="59"/>
      <c r="R126" s="54"/>
      <c r="S126" s="55"/>
    </row>
    <row r="127" spans="1:19" x14ac:dyDescent="0.25">
      <c r="K127" s="58"/>
      <c r="L127" s="59"/>
      <c r="M127" s="54"/>
      <c r="N127" s="55"/>
      <c r="P127" s="58"/>
      <c r="Q127" s="59"/>
      <c r="R127" s="54"/>
      <c r="S127" s="55"/>
    </row>
    <row r="128" spans="1:19" x14ac:dyDescent="0.25">
      <c r="K128" s="58"/>
      <c r="L128" s="59"/>
      <c r="M128" s="54"/>
      <c r="N128" s="55"/>
      <c r="P128" s="58"/>
      <c r="Q128" s="59"/>
      <c r="R128" s="54"/>
      <c r="S128" s="55"/>
    </row>
    <row r="129" spans="11:19" x14ac:dyDescent="0.25">
      <c r="K129" s="58"/>
      <c r="L129" s="59"/>
      <c r="M129" s="54"/>
      <c r="N129" s="55"/>
      <c r="P129" s="58"/>
      <c r="Q129" s="59"/>
      <c r="R129" s="54"/>
      <c r="S129" s="55"/>
    </row>
    <row r="130" spans="11:19" x14ac:dyDescent="0.25">
      <c r="K130" s="58"/>
      <c r="L130" s="59"/>
      <c r="M130" s="54"/>
      <c r="N130" s="55"/>
      <c r="P130" s="58"/>
      <c r="Q130" s="59"/>
      <c r="R130" s="54"/>
      <c r="S130" s="55"/>
    </row>
    <row r="131" spans="11:19" x14ac:dyDescent="0.25">
      <c r="K131" s="58"/>
      <c r="L131" s="59"/>
      <c r="M131" s="54"/>
      <c r="N131" s="55"/>
      <c r="P131" s="58"/>
      <c r="Q131" s="59"/>
      <c r="R131" s="54"/>
      <c r="S131" s="55"/>
    </row>
    <row r="132" spans="11:19" x14ac:dyDescent="0.25">
      <c r="K132" s="58"/>
      <c r="L132" s="59"/>
      <c r="M132" s="54"/>
      <c r="N132" s="55"/>
      <c r="P132" s="58"/>
      <c r="Q132" s="59"/>
      <c r="R132" s="54"/>
      <c r="S132" s="55"/>
    </row>
    <row r="133" spans="11:19" x14ac:dyDescent="0.25">
      <c r="K133" s="58"/>
      <c r="L133" s="59"/>
      <c r="M133" s="54"/>
      <c r="N133" s="55"/>
      <c r="P133" s="58"/>
      <c r="Q133" s="59"/>
      <c r="R133" s="54"/>
      <c r="S133" s="55"/>
    </row>
    <row r="134" spans="11:19" x14ac:dyDescent="0.25">
      <c r="K134" s="58"/>
      <c r="L134" s="59"/>
      <c r="M134" s="54"/>
      <c r="N134" s="55"/>
      <c r="P134" s="58"/>
      <c r="Q134" s="59"/>
      <c r="R134" s="54"/>
      <c r="S134" s="55"/>
    </row>
    <row r="135" spans="11:19" x14ac:dyDescent="0.25">
      <c r="K135" s="58"/>
      <c r="L135" s="59"/>
      <c r="M135" s="54"/>
      <c r="N135" s="55"/>
      <c r="P135" s="58"/>
      <c r="Q135" s="59"/>
      <c r="R135" s="54"/>
      <c r="S135" s="55"/>
    </row>
    <row r="136" spans="11:19" x14ac:dyDescent="0.25">
      <c r="K136" s="58"/>
      <c r="L136" s="59"/>
      <c r="M136" s="54"/>
      <c r="N136" s="55"/>
      <c r="P136" s="58"/>
      <c r="Q136" s="59"/>
      <c r="R136" s="54"/>
      <c r="S136" s="55"/>
    </row>
    <row r="137" spans="11:19" x14ac:dyDescent="0.25">
      <c r="K137" s="58"/>
      <c r="L137" s="59"/>
      <c r="M137" s="54"/>
      <c r="N137" s="55"/>
      <c r="P137" s="58"/>
      <c r="Q137" s="59"/>
      <c r="R137" s="54"/>
      <c r="S137" s="55"/>
    </row>
    <row r="138" spans="11:19" x14ac:dyDescent="0.25">
      <c r="K138" s="58"/>
      <c r="L138" s="59"/>
      <c r="M138" s="54"/>
      <c r="N138" s="55"/>
      <c r="P138" s="58"/>
      <c r="Q138" s="59"/>
      <c r="R138" s="54"/>
      <c r="S138" s="55"/>
    </row>
    <row r="139" spans="11:19" x14ac:dyDescent="0.25">
      <c r="K139" s="58"/>
      <c r="L139" s="59"/>
      <c r="M139" s="54"/>
      <c r="N139" s="55"/>
      <c r="P139" s="58"/>
      <c r="Q139" s="59"/>
      <c r="R139" s="54"/>
      <c r="S139" s="55"/>
    </row>
    <row r="140" spans="11:19" x14ac:dyDescent="0.25">
      <c r="K140" s="58"/>
      <c r="L140" s="59"/>
      <c r="M140" s="54"/>
      <c r="N140" s="55"/>
      <c r="P140" s="58"/>
      <c r="Q140" s="59"/>
      <c r="R140" s="54"/>
      <c r="S140" s="55"/>
    </row>
    <row r="141" spans="11:19" x14ac:dyDescent="0.25">
      <c r="K141" s="58"/>
      <c r="L141" s="59"/>
      <c r="M141" s="54"/>
      <c r="N141" s="55"/>
      <c r="P141" s="58"/>
      <c r="Q141" s="59"/>
      <c r="R141" s="54"/>
      <c r="S141" s="55"/>
    </row>
    <row r="142" spans="11:19" x14ac:dyDescent="0.25">
      <c r="K142" s="58"/>
      <c r="L142" s="59"/>
      <c r="M142" s="54"/>
      <c r="N142" s="55"/>
      <c r="P142" s="58"/>
      <c r="Q142" s="59"/>
      <c r="R142" s="54"/>
      <c r="S142" s="55"/>
    </row>
    <row r="143" spans="11:19" x14ac:dyDescent="0.25">
      <c r="K143" s="58"/>
      <c r="L143" s="59"/>
      <c r="M143" s="54"/>
      <c r="N143" s="55"/>
      <c r="P143" s="58"/>
      <c r="Q143" s="59"/>
      <c r="R143" s="54"/>
      <c r="S143" s="55"/>
    </row>
    <row r="144" spans="11:19" x14ac:dyDescent="0.25">
      <c r="K144" s="58"/>
      <c r="L144" s="59"/>
      <c r="M144" s="54"/>
      <c r="N144" s="55"/>
      <c r="P144" s="58"/>
      <c r="Q144" s="59"/>
      <c r="R144" s="54"/>
      <c r="S144" s="55"/>
    </row>
    <row r="145" spans="11:19" x14ac:dyDescent="0.25">
      <c r="K145" s="58"/>
      <c r="L145" s="59"/>
      <c r="M145" s="54"/>
      <c r="N145" s="55"/>
      <c r="P145" s="58"/>
      <c r="Q145" s="59"/>
      <c r="R145" s="54"/>
      <c r="S145" s="55"/>
    </row>
    <row r="146" spans="11:19" x14ac:dyDescent="0.25">
      <c r="K146" s="58"/>
      <c r="L146" s="59"/>
      <c r="M146" s="54"/>
      <c r="N146" s="55"/>
      <c r="P146" s="58"/>
      <c r="Q146" s="59"/>
      <c r="R146" s="54"/>
      <c r="S146" s="55"/>
    </row>
    <row r="147" spans="11:19" x14ac:dyDescent="0.25">
      <c r="K147" s="58"/>
      <c r="L147" s="59"/>
      <c r="M147" s="54"/>
      <c r="N147" s="55"/>
      <c r="P147" s="58"/>
      <c r="Q147" s="59"/>
      <c r="R147" s="54"/>
      <c r="S147" s="55"/>
    </row>
    <row r="148" spans="11:19" x14ac:dyDescent="0.25">
      <c r="K148" s="58"/>
      <c r="L148" s="59"/>
      <c r="M148" s="54"/>
      <c r="N148" s="55"/>
      <c r="P148" s="58"/>
      <c r="Q148" s="59"/>
      <c r="R148" s="54"/>
      <c r="S148" s="55"/>
    </row>
    <row r="149" spans="11:19" x14ac:dyDescent="0.25">
      <c r="K149" s="58"/>
      <c r="L149" s="59"/>
      <c r="M149" s="54"/>
      <c r="N149" s="55"/>
      <c r="P149" s="58"/>
      <c r="Q149" s="59"/>
      <c r="R149" s="54"/>
      <c r="S149" s="55"/>
    </row>
    <row r="150" spans="11:19" x14ac:dyDescent="0.25">
      <c r="K150" s="58"/>
      <c r="L150" s="59"/>
      <c r="M150" s="54"/>
      <c r="N150" s="55"/>
      <c r="P150" s="58"/>
      <c r="Q150" s="59"/>
      <c r="R150" s="54"/>
      <c r="S150" s="55"/>
    </row>
    <row r="151" spans="11:19" x14ac:dyDescent="0.25">
      <c r="K151" s="58"/>
      <c r="L151" s="59"/>
      <c r="M151" s="54"/>
      <c r="N151" s="55"/>
      <c r="P151" s="58"/>
      <c r="Q151" s="59"/>
      <c r="R151" s="54"/>
      <c r="S151" s="55"/>
    </row>
    <row r="152" spans="11:19" x14ac:dyDescent="0.25">
      <c r="K152" s="58"/>
      <c r="L152" s="59"/>
      <c r="M152" s="54"/>
      <c r="N152" s="55"/>
      <c r="P152" s="58"/>
      <c r="Q152" s="59"/>
      <c r="R152" s="54"/>
      <c r="S152" s="55"/>
    </row>
    <row r="153" spans="11:19" x14ac:dyDescent="0.25">
      <c r="K153" s="58"/>
      <c r="L153" s="59"/>
      <c r="M153" s="54"/>
      <c r="N153" s="55"/>
      <c r="P153" s="58"/>
      <c r="Q153" s="59"/>
      <c r="R153" s="54"/>
      <c r="S153" s="55"/>
    </row>
    <row r="154" spans="11:19" x14ac:dyDescent="0.25">
      <c r="K154" s="58"/>
      <c r="L154" s="59"/>
      <c r="M154" s="54"/>
      <c r="N154" s="55"/>
      <c r="P154" s="58"/>
      <c r="Q154" s="59"/>
      <c r="R154" s="54"/>
      <c r="S154" s="55"/>
    </row>
    <row r="155" spans="11:19" x14ac:dyDescent="0.25">
      <c r="K155" s="58"/>
      <c r="L155" s="59"/>
      <c r="M155" s="54"/>
      <c r="N155" s="55"/>
      <c r="P155" s="58"/>
      <c r="Q155" s="59"/>
      <c r="R155" s="54"/>
      <c r="S155" s="55"/>
    </row>
    <row r="156" spans="11:19" x14ac:dyDescent="0.25">
      <c r="K156" s="58"/>
      <c r="L156" s="59"/>
      <c r="M156" s="54"/>
      <c r="N156" s="55"/>
      <c r="P156" s="58"/>
      <c r="Q156" s="59"/>
      <c r="R156" s="54"/>
      <c r="S156" s="55"/>
    </row>
    <row r="157" spans="11:19" x14ac:dyDescent="0.25">
      <c r="K157" s="58"/>
      <c r="L157" s="59"/>
      <c r="M157" s="54"/>
      <c r="N157" s="55"/>
      <c r="P157" s="58"/>
      <c r="Q157" s="59"/>
      <c r="R157" s="54"/>
      <c r="S157" s="55"/>
    </row>
    <row r="158" spans="11:19" x14ac:dyDescent="0.25">
      <c r="K158" s="58"/>
      <c r="L158" s="59"/>
      <c r="M158" s="54"/>
      <c r="N158" s="55"/>
      <c r="P158" s="58"/>
      <c r="Q158" s="59"/>
      <c r="R158" s="54"/>
      <c r="S158" s="55"/>
    </row>
    <row r="159" spans="11:19" x14ac:dyDescent="0.25">
      <c r="K159" s="58"/>
      <c r="L159" s="59"/>
      <c r="M159" s="54"/>
      <c r="N159" s="55"/>
      <c r="P159" s="58"/>
      <c r="Q159" s="59"/>
      <c r="R159" s="54"/>
      <c r="S159" s="55"/>
    </row>
    <row r="160" spans="11:19" x14ac:dyDescent="0.25">
      <c r="K160" s="58"/>
      <c r="L160" s="59"/>
      <c r="M160" s="54"/>
      <c r="N160" s="55"/>
      <c r="P160" s="58"/>
      <c r="Q160" s="59"/>
      <c r="R160" s="54"/>
      <c r="S160" s="55"/>
    </row>
    <row r="161" spans="11:19" x14ac:dyDescent="0.25">
      <c r="K161" s="58"/>
      <c r="L161" s="59"/>
      <c r="M161" s="54"/>
      <c r="N161" s="55"/>
      <c r="P161" s="58"/>
      <c r="Q161" s="59"/>
      <c r="R161" s="54"/>
      <c r="S161" s="55"/>
    </row>
    <row r="162" spans="11:19" x14ac:dyDescent="0.25">
      <c r="K162" s="58"/>
      <c r="L162" s="59"/>
      <c r="M162" s="54"/>
      <c r="N162" s="55"/>
      <c r="P162" s="58"/>
      <c r="Q162" s="59"/>
      <c r="R162" s="54"/>
      <c r="S162" s="55"/>
    </row>
    <row r="163" spans="11:19" x14ac:dyDescent="0.25">
      <c r="K163" s="58"/>
      <c r="L163" s="59"/>
      <c r="M163" s="54"/>
      <c r="N163" s="55"/>
      <c r="P163" s="58"/>
      <c r="Q163" s="59"/>
      <c r="R163" s="54"/>
      <c r="S163" s="55"/>
    </row>
    <row r="164" spans="11:19" x14ac:dyDescent="0.25">
      <c r="K164" s="58"/>
      <c r="L164" s="59"/>
      <c r="M164" s="54"/>
      <c r="N164" s="55"/>
      <c r="P164" s="58"/>
      <c r="Q164" s="59"/>
      <c r="R164" s="54"/>
      <c r="S164" s="55"/>
    </row>
    <row r="165" spans="11:19" x14ac:dyDescent="0.25">
      <c r="K165" s="58"/>
      <c r="L165" s="59"/>
      <c r="M165" s="54"/>
      <c r="N165" s="55"/>
      <c r="P165" s="58"/>
      <c r="Q165" s="59"/>
      <c r="R165" s="54"/>
      <c r="S165" s="55"/>
    </row>
    <row r="166" spans="11:19" x14ac:dyDescent="0.25">
      <c r="K166" s="58"/>
      <c r="L166" s="59"/>
      <c r="M166" s="54"/>
      <c r="N166" s="55"/>
      <c r="P166" s="58"/>
      <c r="Q166" s="59"/>
      <c r="R166" s="54"/>
      <c r="S166" s="55"/>
    </row>
    <row r="167" spans="11:19" x14ac:dyDescent="0.25">
      <c r="K167" s="58"/>
      <c r="L167" s="59"/>
      <c r="M167" s="54"/>
      <c r="N167" s="55"/>
      <c r="P167" s="58"/>
      <c r="Q167" s="59"/>
      <c r="R167" s="54"/>
      <c r="S167" s="55"/>
    </row>
    <row r="168" spans="11:19" x14ac:dyDescent="0.25">
      <c r="K168" s="58"/>
      <c r="L168" s="59"/>
      <c r="M168" s="54"/>
      <c r="N168" s="55"/>
      <c r="P168" s="58"/>
      <c r="Q168" s="59"/>
      <c r="R168" s="54"/>
      <c r="S168" s="55"/>
    </row>
    <row r="169" spans="11:19" x14ac:dyDescent="0.25">
      <c r="K169" s="58"/>
      <c r="L169" s="59"/>
      <c r="M169" s="54"/>
      <c r="N169" s="55"/>
      <c r="P169" s="58"/>
      <c r="Q169" s="59"/>
      <c r="R169" s="54"/>
      <c r="S169" s="55"/>
    </row>
    <row r="170" spans="11:19" x14ac:dyDescent="0.25">
      <c r="K170" s="58"/>
      <c r="L170" s="59"/>
      <c r="M170" s="54"/>
      <c r="N170" s="55"/>
      <c r="P170" s="58"/>
      <c r="Q170" s="59"/>
      <c r="R170" s="54"/>
      <c r="S170" s="55"/>
    </row>
    <row r="171" spans="11:19" x14ac:dyDescent="0.25">
      <c r="K171" s="58"/>
      <c r="L171" s="59"/>
      <c r="M171" s="54"/>
      <c r="N171" s="55"/>
      <c r="P171" s="58"/>
      <c r="Q171" s="59"/>
      <c r="R171" s="54"/>
      <c r="S171" s="55"/>
    </row>
    <row r="172" spans="11:19" x14ac:dyDescent="0.25">
      <c r="K172" s="58"/>
      <c r="L172" s="59"/>
      <c r="M172" s="54"/>
      <c r="N172" s="55"/>
      <c r="P172" s="58"/>
      <c r="Q172" s="59"/>
      <c r="R172" s="54"/>
      <c r="S172" s="55"/>
    </row>
    <row r="173" spans="11:19" x14ac:dyDescent="0.25">
      <c r="K173" s="58"/>
      <c r="L173" s="59"/>
      <c r="M173" s="54"/>
      <c r="N173" s="55"/>
      <c r="P173" s="58"/>
      <c r="Q173" s="59"/>
      <c r="R173" s="54"/>
      <c r="S173" s="55"/>
    </row>
    <row r="174" spans="11:19" x14ac:dyDescent="0.25">
      <c r="K174" s="58"/>
      <c r="L174" s="59"/>
      <c r="M174" s="54"/>
      <c r="N174" s="55"/>
      <c r="P174" s="58"/>
      <c r="Q174" s="59"/>
      <c r="R174" s="54"/>
      <c r="S174" s="55"/>
    </row>
    <row r="175" spans="11:19" x14ac:dyDescent="0.25">
      <c r="K175" s="58"/>
      <c r="L175" s="59"/>
      <c r="M175" s="54"/>
      <c r="N175" s="55"/>
      <c r="P175" s="58"/>
      <c r="Q175" s="59"/>
      <c r="R175" s="54"/>
      <c r="S175" s="55"/>
    </row>
    <row r="176" spans="11:19" x14ac:dyDescent="0.25">
      <c r="K176" s="58"/>
      <c r="L176" s="59"/>
      <c r="M176" s="54"/>
      <c r="N176" s="55"/>
      <c r="P176" s="58"/>
      <c r="Q176" s="59"/>
      <c r="R176" s="54"/>
      <c r="S176" s="55"/>
    </row>
    <row r="177" spans="11:19" x14ac:dyDescent="0.25">
      <c r="K177" s="58"/>
      <c r="L177" s="59"/>
      <c r="M177" s="54"/>
      <c r="N177" s="55"/>
      <c r="P177" s="58"/>
      <c r="Q177" s="59"/>
      <c r="R177" s="54"/>
      <c r="S177" s="55"/>
    </row>
    <row r="178" spans="11:19" x14ac:dyDescent="0.25">
      <c r="K178" s="58"/>
      <c r="L178" s="59"/>
      <c r="M178" s="54"/>
      <c r="N178" s="55"/>
      <c r="P178" s="58"/>
      <c r="Q178" s="59"/>
      <c r="R178" s="54"/>
      <c r="S178" s="55"/>
    </row>
    <row r="179" spans="11:19" x14ac:dyDescent="0.25">
      <c r="K179" s="58"/>
      <c r="L179" s="59"/>
      <c r="M179" s="54"/>
      <c r="N179" s="55"/>
      <c r="P179" s="58"/>
      <c r="Q179" s="59"/>
      <c r="R179" s="54"/>
      <c r="S179" s="55"/>
    </row>
    <row r="180" spans="11:19" x14ac:dyDescent="0.25">
      <c r="K180" s="58"/>
      <c r="L180" s="59"/>
      <c r="M180" s="54"/>
      <c r="N180" s="55"/>
      <c r="P180" s="58"/>
      <c r="Q180" s="59"/>
      <c r="R180" s="54"/>
      <c r="S180" s="55"/>
    </row>
    <row r="181" spans="11:19" x14ac:dyDescent="0.25">
      <c r="K181" s="58"/>
      <c r="L181" s="59"/>
      <c r="M181" s="54"/>
      <c r="N181" s="55"/>
      <c r="P181" s="58"/>
      <c r="Q181" s="59"/>
      <c r="R181" s="54"/>
      <c r="S181" s="55"/>
    </row>
    <row r="182" spans="11:19" x14ac:dyDescent="0.25">
      <c r="K182" s="58"/>
      <c r="L182" s="59"/>
      <c r="M182" s="54"/>
      <c r="N182" s="55"/>
      <c r="P182" s="58"/>
      <c r="Q182" s="59"/>
      <c r="R182" s="54"/>
      <c r="S182" s="55"/>
    </row>
    <row r="183" spans="11:19" x14ac:dyDescent="0.25">
      <c r="K183" s="58"/>
      <c r="L183" s="59"/>
      <c r="M183" s="54"/>
      <c r="N183" s="55"/>
      <c r="P183" s="58"/>
      <c r="Q183" s="59"/>
      <c r="R183" s="54"/>
      <c r="S183" s="55"/>
    </row>
    <row r="184" spans="11:19" x14ac:dyDescent="0.25">
      <c r="K184" s="58"/>
      <c r="L184" s="59"/>
      <c r="M184" s="54"/>
      <c r="N184" s="55"/>
      <c r="P184" s="58"/>
      <c r="Q184" s="59"/>
      <c r="R184" s="54"/>
      <c r="S184" s="55"/>
    </row>
    <row r="185" spans="11:19" x14ac:dyDescent="0.25">
      <c r="K185" s="58"/>
      <c r="L185" s="59"/>
      <c r="M185" s="54"/>
      <c r="N185" s="55"/>
      <c r="P185" s="58"/>
      <c r="Q185" s="59"/>
      <c r="R185" s="54"/>
      <c r="S185" s="55"/>
    </row>
    <row r="186" spans="11:19" x14ac:dyDescent="0.25">
      <c r="K186" s="58"/>
      <c r="L186" s="59"/>
      <c r="M186" s="54"/>
      <c r="N186" s="55"/>
      <c r="P186" s="58"/>
      <c r="Q186" s="59"/>
      <c r="R186" s="54"/>
      <c r="S186" s="55"/>
    </row>
    <row r="187" spans="11:19" x14ac:dyDescent="0.25">
      <c r="K187" s="58"/>
      <c r="L187" s="59"/>
      <c r="M187" s="54"/>
      <c r="N187" s="55"/>
      <c r="P187" s="58"/>
      <c r="Q187" s="59"/>
      <c r="R187" s="54"/>
      <c r="S187" s="55"/>
    </row>
    <row r="188" spans="11:19" x14ac:dyDescent="0.25">
      <c r="K188" s="58"/>
      <c r="L188" s="59"/>
      <c r="M188" s="54"/>
      <c r="N188" s="55"/>
      <c r="P188" s="58"/>
      <c r="Q188" s="59"/>
      <c r="R188" s="54"/>
      <c r="S188" s="55"/>
    </row>
    <row r="189" spans="11:19" x14ac:dyDescent="0.25">
      <c r="K189" s="58"/>
      <c r="L189" s="59"/>
      <c r="M189" s="54"/>
      <c r="N189" s="55"/>
      <c r="P189" s="58"/>
      <c r="Q189" s="59"/>
      <c r="R189" s="54"/>
      <c r="S189" s="55"/>
    </row>
    <row r="190" spans="11:19" x14ac:dyDescent="0.25">
      <c r="K190" s="58"/>
      <c r="L190" s="59"/>
      <c r="M190" s="54"/>
      <c r="N190" s="55"/>
      <c r="P190" s="58"/>
      <c r="Q190" s="59"/>
      <c r="R190" s="54"/>
      <c r="S190" s="55"/>
    </row>
    <row r="191" spans="11:19" x14ac:dyDescent="0.25">
      <c r="K191" s="58"/>
      <c r="L191" s="59"/>
      <c r="M191" s="54"/>
      <c r="N191" s="55"/>
      <c r="P191" s="58"/>
      <c r="Q191" s="59"/>
      <c r="R191" s="54"/>
      <c r="S191" s="55"/>
    </row>
    <row r="192" spans="11:19" x14ac:dyDescent="0.25">
      <c r="K192" s="58"/>
      <c r="L192" s="59"/>
      <c r="M192" s="54"/>
      <c r="N192" s="55"/>
      <c r="P192" s="58"/>
      <c r="Q192" s="59"/>
      <c r="R192" s="54"/>
      <c r="S192" s="55"/>
    </row>
    <row r="193" spans="11:19" x14ac:dyDescent="0.25">
      <c r="K193" s="58"/>
      <c r="L193" s="59"/>
      <c r="M193" s="54"/>
      <c r="N193" s="55"/>
      <c r="P193" s="58"/>
      <c r="Q193" s="59"/>
      <c r="R193" s="54"/>
      <c r="S193" s="55"/>
    </row>
    <row r="194" spans="11:19" x14ac:dyDescent="0.25">
      <c r="K194" s="58"/>
      <c r="L194" s="59"/>
      <c r="M194" s="54"/>
      <c r="N194" s="55"/>
      <c r="P194" s="58"/>
      <c r="Q194" s="59"/>
      <c r="R194" s="54"/>
      <c r="S194" s="55"/>
    </row>
    <row r="195" spans="11:19" x14ac:dyDescent="0.25">
      <c r="K195" s="58"/>
      <c r="L195" s="59"/>
      <c r="M195" s="54"/>
      <c r="N195" s="55"/>
      <c r="P195" s="58"/>
      <c r="Q195" s="59"/>
      <c r="R195" s="54"/>
      <c r="S195" s="55"/>
    </row>
    <row r="196" spans="11:19" x14ac:dyDescent="0.25">
      <c r="K196" s="58"/>
      <c r="L196" s="59"/>
      <c r="M196" s="54"/>
      <c r="N196" s="55"/>
      <c r="P196" s="58"/>
      <c r="Q196" s="59"/>
      <c r="R196" s="54"/>
      <c r="S196" s="55"/>
    </row>
    <row r="197" spans="11:19" x14ac:dyDescent="0.25">
      <c r="K197" s="58"/>
      <c r="L197" s="59"/>
      <c r="M197" s="54"/>
      <c r="N197" s="55"/>
      <c r="P197" s="58"/>
      <c r="Q197" s="59"/>
      <c r="R197" s="54"/>
      <c r="S197" s="55"/>
    </row>
    <row r="198" spans="11:19" x14ac:dyDescent="0.25">
      <c r="K198" s="58"/>
      <c r="L198" s="59"/>
      <c r="M198" s="54"/>
      <c r="N198" s="55"/>
      <c r="P198" s="58"/>
      <c r="Q198" s="59"/>
      <c r="R198" s="54"/>
      <c r="S198" s="55"/>
    </row>
    <row r="199" spans="11:19" x14ac:dyDescent="0.25">
      <c r="K199" s="58"/>
      <c r="L199" s="59"/>
      <c r="M199" s="54"/>
      <c r="N199" s="55"/>
      <c r="P199" s="58"/>
      <c r="Q199" s="59"/>
      <c r="R199" s="54"/>
      <c r="S199" s="55"/>
    </row>
    <row r="200" spans="11:19" x14ac:dyDescent="0.25">
      <c r="K200" s="58"/>
      <c r="L200" s="59"/>
      <c r="M200" s="54"/>
      <c r="N200" s="55"/>
      <c r="P200" s="58"/>
      <c r="Q200" s="59"/>
      <c r="R200" s="54"/>
      <c r="S200" s="55"/>
    </row>
    <row r="201" spans="11:19" x14ac:dyDescent="0.25">
      <c r="K201" s="58"/>
      <c r="L201" s="59"/>
      <c r="M201" s="54"/>
      <c r="N201" s="55"/>
      <c r="P201" s="58"/>
      <c r="Q201" s="59"/>
      <c r="R201" s="54"/>
      <c r="S201" s="55"/>
    </row>
    <row r="202" spans="11:19" x14ac:dyDescent="0.25">
      <c r="K202" s="58"/>
      <c r="L202" s="59"/>
      <c r="M202" s="54"/>
      <c r="N202" s="55"/>
      <c r="P202" s="58"/>
      <c r="Q202" s="59"/>
      <c r="R202" s="54"/>
      <c r="S202" s="55"/>
    </row>
    <row r="203" spans="11:19" x14ac:dyDescent="0.25">
      <c r="K203" s="58"/>
      <c r="L203" s="59"/>
      <c r="M203" s="54"/>
      <c r="N203" s="55"/>
      <c r="P203" s="58"/>
      <c r="Q203" s="59"/>
      <c r="R203" s="54"/>
      <c r="S203" s="55"/>
    </row>
    <row r="204" spans="11:19" x14ac:dyDescent="0.25">
      <c r="K204" s="58"/>
      <c r="L204" s="59"/>
      <c r="M204" s="54"/>
      <c r="N204" s="55"/>
      <c r="P204" s="58"/>
      <c r="Q204" s="59"/>
      <c r="R204" s="54"/>
      <c r="S204" s="55"/>
    </row>
    <row r="205" spans="11:19" x14ac:dyDescent="0.25">
      <c r="K205" s="58"/>
      <c r="L205" s="59"/>
      <c r="M205" s="54"/>
      <c r="N205" s="55"/>
      <c r="P205" s="58"/>
      <c r="Q205" s="59"/>
      <c r="R205" s="54"/>
      <c r="S205" s="55"/>
    </row>
    <row r="206" spans="11:19" x14ac:dyDescent="0.25">
      <c r="K206" s="58"/>
      <c r="L206" s="59"/>
      <c r="M206" s="54"/>
      <c r="N206" s="55"/>
      <c r="P206" s="58"/>
      <c r="Q206" s="59"/>
      <c r="R206" s="54"/>
      <c r="S206" s="55"/>
    </row>
    <row r="207" spans="11:19" x14ac:dyDescent="0.25">
      <c r="K207" s="58"/>
      <c r="L207" s="59"/>
      <c r="M207" s="54"/>
      <c r="N207" s="55"/>
      <c r="P207" s="58"/>
      <c r="Q207" s="59"/>
      <c r="R207" s="54"/>
      <c r="S207" s="55"/>
    </row>
    <row r="208" spans="11:19" x14ac:dyDescent="0.25">
      <c r="K208" s="58"/>
      <c r="L208" s="59"/>
      <c r="M208" s="54"/>
      <c r="N208" s="55"/>
      <c r="P208" s="58"/>
      <c r="Q208" s="59"/>
      <c r="R208" s="54"/>
      <c r="S208" s="55"/>
    </row>
    <row r="209" spans="11:19" x14ac:dyDescent="0.25">
      <c r="K209" s="58"/>
      <c r="L209" s="59"/>
      <c r="M209" s="54"/>
      <c r="N209" s="55"/>
      <c r="P209" s="58"/>
      <c r="Q209" s="59"/>
      <c r="R209" s="54"/>
      <c r="S209" s="55"/>
    </row>
    <row r="210" spans="11:19" x14ac:dyDescent="0.25">
      <c r="K210" s="58"/>
      <c r="L210" s="59"/>
      <c r="M210" s="54"/>
      <c r="N210" s="55"/>
      <c r="P210" s="58"/>
      <c r="Q210" s="59"/>
      <c r="R210" s="54"/>
      <c r="S210" s="55"/>
    </row>
    <row r="211" spans="11:19" x14ac:dyDescent="0.25">
      <c r="K211" s="58"/>
      <c r="L211" s="59"/>
      <c r="M211" s="54"/>
      <c r="N211" s="55"/>
      <c r="P211" s="58"/>
      <c r="Q211" s="59"/>
      <c r="R211" s="54"/>
      <c r="S211" s="55"/>
    </row>
    <row r="212" spans="11:19" x14ac:dyDescent="0.25">
      <c r="K212" s="58"/>
      <c r="L212" s="59"/>
      <c r="M212" s="54"/>
      <c r="N212" s="55"/>
      <c r="P212" s="58"/>
      <c r="Q212" s="59"/>
      <c r="R212" s="54"/>
      <c r="S212" s="55"/>
    </row>
    <row r="213" spans="11:19" x14ac:dyDescent="0.25">
      <c r="K213" s="58"/>
      <c r="L213" s="59"/>
      <c r="M213" s="54"/>
      <c r="N213" s="55"/>
      <c r="P213" s="58"/>
      <c r="Q213" s="59"/>
      <c r="R213" s="54"/>
      <c r="S213" s="55"/>
    </row>
    <row r="214" spans="11:19" x14ac:dyDescent="0.25">
      <c r="K214" s="58"/>
      <c r="L214" s="59"/>
      <c r="M214" s="54"/>
      <c r="N214" s="55"/>
      <c r="P214" s="58"/>
      <c r="Q214" s="59"/>
      <c r="R214" s="54"/>
      <c r="S214" s="55"/>
    </row>
    <row r="215" spans="11:19" x14ac:dyDescent="0.25">
      <c r="K215" s="58"/>
      <c r="L215" s="59"/>
      <c r="M215" s="54"/>
      <c r="N215" s="55"/>
      <c r="P215" s="58"/>
      <c r="Q215" s="59"/>
      <c r="R215" s="54"/>
      <c r="S215" s="55"/>
    </row>
    <row r="216" spans="11:19" x14ac:dyDescent="0.25">
      <c r="K216" s="58"/>
      <c r="L216" s="59"/>
      <c r="M216" s="54"/>
      <c r="N216" s="55"/>
      <c r="P216" s="58"/>
      <c r="Q216" s="59"/>
      <c r="R216" s="54"/>
      <c r="S216" s="55"/>
    </row>
    <row r="217" spans="11:19" x14ac:dyDescent="0.25">
      <c r="K217" s="58"/>
      <c r="L217" s="59"/>
      <c r="M217" s="54"/>
      <c r="N217" s="55"/>
      <c r="P217" s="58"/>
      <c r="Q217" s="59"/>
      <c r="R217" s="54"/>
      <c r="S217" s="55"/>
    </row>
    <row r="218" spans="11:19" x14ac:dyDescent="0.25">
      <c r="K218" s="58"/>
      <c r="L218" s="59"/>
      <c r="M218" s="54"/>
      <c r="N218" s="55"/>
      <c r="P218" s="58"/>
      <c r="Q218" s="59"/>
      <c r="R218" s="54"/>
      <c r="S218" s="55"/>
    </row>
    <row r="219" spans="11:19" x14ac:dyDescent="0.25">
      <c r="K219" s="58"/>
      <c r="L219" s="59"/>
      <c r="M219" s="54"/>
      <c r="N219" s="55"/>
      <c r="P219" s="58"/>
      <c r="Q219" s="59"/>
      <c r="R219" s="54"/>
      <c r="S219" s="55"/>
    </row>
    <row r="220" spans="11:19" x14ac:dyDescent="0.25">
      <c r="K220" s="58"/>
      <c r="L220" s="59"/>
      <c r="M220" s="54"/>
      <c r="N220" s="55"/>
      <c r="P220" s="58"/>
      <c r="Q220" s="59"/>
      <c r="R220" s="54"/>
      <c r="S220" s="55"/>
    </row>
    <row r="221" spans="11:19" x14ac:dyDescent="0.25">
      <c r="K221" s="58"/>
      <c r="L221" s="59"/>
      <c r="M221" s="54"/>
      <c r="N221" s="55"/>
      <c r="P221" s="58"/>
      <c r="Q221" s="59"/>
      <c r="R221" s="54"/>
      <c r="S221" s="55"/>
    </row>
    <row r="222" spans="11:19" x14ac:dyDescent="0.25">
      <c r="K222" s="58"/>
      <c r="L222" s="59"/>
      <c r="M222" s="54"/>
      <c r="N222" s="55"/>
      <c r="P222" s="58"/>
      <c r="Q222" s="59"/>
      <c r="R222" s="54"/>
      <c r="S222" s="55"/>
    </row>
    <row r="223" spans="11:19" x14ac:dyDescent="0.25">
      <c r="K223" s="58"/>
      <c r="L223" s="59"/>
      <c r="M223" s="54"/>
      <c r="N223" s="55"/>
      <c r="P223" s="58"/>
      <c r="Q223" s="59"/>
      <c r="R223" s="54"/>
      <c r="S223" s="55"/>
    </row>
    <row r="224" spans="11:19" x14ac:dyDescent="0.25">
      <c r="K224" s="58"/>
      <c r="L224" s="59"/>
      <c r="M224" s="54"/>
      <c r="N224" s="55"/>
      <c r="P224" s="58"/>
      <c r="Q224" s="59"/>
      <c r="R224" s="54"/>
      <c r="S224" s="55"/>
    </row>
    <row r="225" spans="11:19" x14ac:dyDescent="0.25">
      <c r="K225" s="58"/>
      <c r="L225" s="59"/>
      <c r="M225" s="54"/>
      <c r="N225" s="55"/>
      <c r="P225" s="58"/>
      <c r="Q225" s="59"/>
      <c r="R225" s="54"/>
      <c r="S225" s="55"/>
    </row>
    <row r="226" spans="11:19" x14ac:dyDescent="0.25">
      <c r="K226" s="58"/>
      <c r="L226" s="59"/>
      <c r="M226" s="54"/>
      <c r="N226" s="55"/>
      <c r="P226" s="58"/>
      <c r="Q226" s="59"/>
      <c r="R226" s="54"/>
      <c r="S226" s="55"/>
    </row>
    <row r="227" spans="11:19" x14ac:dyDescent="0.25">
      <c r="K227" s="58"/>
      <c r="L227" s="59"/>
      <c r="M227" s="54"/>
      <c r="N227" s="55"/>
      <c r="P227" s="58"/>
      <c r="Q227" s="59"/>
      <c r="R227" s="54"/>
      <c r="S227" s="55"/>
    </row>
    <row r="228" spans="11:19" x14ac:dyDescent="0.25">
      <c r="K228" s="58"/>
      <c r="L228" s="59"/>
      <c r="M228" s="54"/>
      <c r="N228" s="55"/>
      <c r="P228" s="58"/>
      <c r="Q228" s="59"/>
      <c r="R228" s="54"/>
      <c r="S228" s="55"/>
    </row>
    <row r="229" spans="11:19" x14ac:dyDescent="0.25">
      <c r="K229" s="58"/>
      <c r="L229" s="59"/>
      <c r="M229" s="54"/>
      <c r="N229" s="55"/>
      <c r="P229" s="58"/>
      <c r="Q229" s="59"/>
      <c r="R229" s="54"/>
      <c r="S229" s="55"/>
    </row>
    <row r="230" spans="11:19" x14ac:dyDescent="0.25">
      <c r="K230" s="58"/>
      <c r="L230" s="59"/>
      <c r="M230" s="54"/>
      <c r="N230" s="55"/>
      <c r="P230" s="58"/>
      <c r="Q230" s="59"/>
      <c r="R230" s="54"/>
      <c r="S230" s="55"/>
    </row>
    <row r="231" spans="11:19" x14ac:dyDescent="0.25">
      <c r="K231" s="58"/>
      <c r="L231" s="59"/>
      <c r="M231" s="54"/>
      <c r="N231" s="55"/>
      <c r="P231" s="58"/>
      <c r="Q231" s="59"/>
      <c r="R231" s="54"/>
      <c r="S231" s="55"/>
    </row>
    <row r="232" spans="11:19" x14ac:dyDescent="0.25">
      <c r="K232" s="58"/>
      <c r="L232" s="59"/>
      <c r="M232" s="54"/>
      <c r="N232" s="55"/>
      <c r="P232" s="58"/>
      <c r="Q232" s="59"/>
      <c r="R232" s="54"/>
      <c r="S232" s="55"/>
    </row>
    <row r="233" spans="11:19" x14ac:dyDescent="0.25">
      <c r="K233" s="58"/>
      <c r="L233" s="59"/>
      <c r="M233" s="54"/>
      <c r="N233" s="55"/>
      <c r="P233" s="58"/>
      <c r="Q233" s="59"/>
      <c r="R233" s="54"/>
      <c r="S233" s="55"/>
    </row>
    <row r="234" spans="11:19" x14ac:dyDescent="0.25">
      <c r="K234" s="58"/>
      <c r="L234" s="59"/>
      <c r="M234" s="54"/>
      <c r="N234" s="55"/>
      <c r="P234" s="58"/>
      <c r="Q234" s="59"/>
      <c r="R234" s="54"/>
      <c r="S234" s="55"/>
    </row>
    <row r="235" spans="11:19" x14ac:dyDescent="0.25">
      <c r="K235" s="58"/>
      <c r="L235" s="59"/>
      <c r="M235" s="54"/>
      <c r="N235" s="55"/>
      <c r="P235" s="58"/>
      <c r="Q235" s="59"/>
      <c r="R235" s="54"/>
      <c r="S235" s="55"/>
    </row>
    <row r="236" spans="11:19" x14ac:dyDescent="0.25">
      <c r="K236" s="58"/>
      <c r="L236" s="59"/>
      <c r="M236" s="54"/>
      <c r="N236" s="55"/>
      <c r="P236" s="58"/>
      <c r="Q236" s="59"/>
      <c r="R236" s="54"/>
      <c r="S236" s="55"/>
    </row>
    <row r="237" spans="11:19" x14ac:dyDescent="0.25">
      <c r="K237" s="58"/>
      <c r="L237" s="59"/>
      <c r="M237" s="54"/>
      <c r="N237" s="55"/>
      <c r="P237" s="58"/>
      <c r="Q237" s="59"/>
      <c r="R237" s="54"/>
      <c r="S237" s="55"/>
    </row>
    <row r="238" spans="11:19" x14ac:dyDescent="0.25">
      <c r="K238" s="58"/>
      <c r="L238" s="59"/>
      <c r="M238" s="54"/>
      <c r="N238" s="55"/>
      <c r="P238" s="58"/>
      <c r="Q238" s="59"/>
      <c r="R238" s="54"/>
      <c r="S238" s="55"/>
    </row>
    <row r="239" spans="11:19" x14ac:dyDescent="0.25">
      <c r="K239" s="58"/>
      <c r="L239" s="59"/>
      <c r="M239" s="54"/>
      <c r="N239" s="55"/>
      <c r="P239" s="58"/>
      <c r="Q239" s="59"/>
      <c r="R239" s="54"/>
      <c r="S239" s="55"/>
    </row>
    <row r="240" spans="11:19" x14ac:dyDescent="0.25">
      <c r="K240" s="58"/>
      <c r="L240" s="59"/>
      <c r="M240" s="54"/>
      <c r="N240" s="55"/>
      <c r="P240" s="58"/>
      <c r="Q240" s="59"/>
      <c r="R240" s="54"/>
      <c r="S240" s="55"/>
    </row>
    <row r="241" spans="11:19" x14ac:dyDescent="0.25">
      <c r="K241" s="58"/>
      <c r="L241" s="59"/>
      <c r="M241" s="54"/>
      <c r="N241" s="55"/>
      <c r="P241" s="58"/>
      <c r="Q241" s="59"/>
      <c r="R241" s="54"/>
      <c r="S241" s="55"/>
    </row>
    <row r="242" spans="11:19" x14ac:dyDescent="0.25">
      <c r="K242" s="58"/>
      <c r="L242" s="59"/>
      <c r="M242" s="54"/>
      <c r="N242" s="55"/>
      <c r="P242" s="58"/>
      <c r="Q242" s="59"/>
      <c r="R242" s="54"/>
      <c r="S242" s="55"/>
    </row>
    <row r="243" spans="11:19" x14ac:dyDescent="0.25">
      <c r="K243" s="58"/>
      <c r="L243" s="59"/>
      <c r="M243" s="54"/>
      <c r="N243" s="55"/>
      <c r="P243" s="58"/>
      <c r="Q243" s="59"/>
      <c r="R243" s="54"/>
      <c r="S243" s="55"/>
    </row>
    <row r="244" spans="11:19" x14ac:dyDescent="0.25">
      <c r="K244" s="58"/>
      <c r="L244" s="59"/>
      <c r="M244" s="54"/>
      <c r="N244" s="55"/>
      <c r="P244" s="58"/>
      <c r="Q244" s="59"/>
      <c r="R244" s="54"/>
      <c r="S244" s="55"/>
    </row>
    <row r="245" spans="11:19" x14ac:dyDescent="0.25">
      <c r="K245" s="58"/>
      <c r="L245" s="59"/>
      <c r="M245" s="54"/>
      <c r="N245" s="55"/>
      <c r="P245" s="58"/>
      <c r="Q245" s="59"/>
      <c r="R245" s="54"/>
      <c r="S245" s="55"/>
    </row>
    <row r="246" spans="11:19" x14ac:dyDescent="0.25">
      <c r="K246" s="58"/>
      <c r="L246" s="59"/>
      <c r="M246" s="54"/>
      <c r="N246" s="55"/>
      <c r="P246" s="58"/>
      <c r="Q246" s="59"/>
      <c r="R246" s="54"/>
      <c r="S246" s="55"/>
    </row>
    <row r="247" spans="11:19" x14ac:dyDescent="0.25">
      <c r="K247" s="58"/>
      <c r="L247" s="59"/>
      <c r="M247" s="54"/>
      <c r="N247" s="55"/>
      <c r="P247" s="58"/>
      <c r="Q247" s="59"/>
      <c r="R247" s="54"/>
      <c r="S247" s="55"/>
    </row>
    <row r="248" spans="11:19" x14ac:dyDescent="0.25">
      <c r="K248" s="58"/>
      <c r="L248" s="59"/>
      <c r="M248" s="54"/>
      <c r="N248" s="55"/>
      <c r="P248" s="58"/>
      <c r="Q248" s="59"/>
      <c r="R248" s="54"/>
      <c r="S248" s="55"/>
    </row>
    <row r="249" spans="11:19" x14ac:dyDescent="0.25">
      <c r="K249" s="58"/>
      <c r="L249" s="59"/>
      <c r="M249" s="54"/>
      <c r="N249" s="55"/>
      <c r="P249" s="58"/>
      <c r="Q249" s="59"/>
      <c r="R249" s="54"/>
      <c r="S249" s="55"/>
    </row>
    <row r="250" spans="11:19" x14ac:dyDescent="0.25">
      <c r="K250" s="58"/>
      <c r="L250" s="59"/>
      <c r="M250" s="54"/>
      <c r="N250" s="55"/>
      <c r="P250" s="58"/>
      <c r="Q250" s="59"/>
      <c r="R250" s="54"/>
      <c r="S250" s="55"/>
    </row>
    <row r="251" spans="11:19" x14ac:dyDescent="0.25">
      <c r="K251" s="58"/>
      <c r="L251" s="59"/>
      <c r="M251" s="54"/>
      <c r="N251" s="55"/>
      <c r="P251" s="58"/>
      <c r="Q251" s="59"/>
      <c r="R251" s="54"/>
      <c r="S251" s="55"/>
    </row>
    <row r="252" spans="11:19" x14ac:dyDescent="0.25">
      <c r="K252" s="58"/>
      <c r="L252" s="59"/>
      <c r="M252" s="54"/>
      <c r="N252" s="55"/>
      <c r="P252" s="58"/>
      <c r="Q252" s="59"/>
      <c r="R252" s="54"/>
      <c r="S252" s="55"/>
    </row>
    <row r="253" spans="11:19" x14ac:dyDescent="0.25">
      <c r="K253" s="58"/>
      <c r="L253" s="59"/>
      <c r="M253" s="54"/>
      <c r="N253" s="55"/>
      <c r="P253" s="58"/>
      <c r="Q253" s="59"/>
      <c r="R253" s="54"/>
      <c r="S253" s="55"/>
    </row>
    <row r="254" spans="11:19" x14ac:dyDescent="0.25">
      <c r="K254" s="58"/>
      <c r="L254" s="59"/>
      <c r="M254" s="54"/>
      <c r="N254" s="55"/>
      <c r="P254" s="58"/>
      <c r="Q254" s="59"/>
      <c r="R254" s="54"/>
      <c r="S254" s="55"/>
    </row>
    <row r="255" spans="11:19" x14ac:dyDescent="0.25">
      <c r="K255" s="58"/>
      <c r="L255" s="59"/>
      <c r="M255" s="54"/>
      <c r="N255" s="55"/>
      <c r="P255" s="58"/>
      <c r="Q255" s="59"/>
      <c r="R255" s="54"/>
      <c r="S255" s="55"/>
    </row>
    <row r="256" spans="11:19" x14ac:dyDescent="0.25">
      <c r="K256" s="58"/>
      <c r="L256" s="59"/>
      <c r="M256" s="54"/>
      <c r="N256" s="55"/>
      <c r="P256" s="58"/>
      <c r="Q256" s="59"/>
      <c r="R256" s="54"/>
      <c r="S256" s="55"/>
    </row>
    <row r="257" spans="11:19" x14ac:dyDescent="0.25">
      <c r="K257" s="58"/>
      <c r="L257" s="59"/>
      <c r="M257" s="54"/>
      <c r="N257" s="55"/>
      <c r="P257" s="58"/>
      <c r="Q257" s="59"/>
      <c r="R257" s="54"/>
      <c r="S257" s="55"/>
    </row>
    <row r="258" spans="11:19" x14ac:dyDescent="0.25">
      <c r="K258" s="58"/>
      <c r="L258" s="59"/>
      <c r="M258" s="54"/>
      <c r="N258" s="55"/>
      <c r="P258" s="58"/>
      <c r="Q258" s="59"/>
      <c r="R258" s="54"/>
      <c r="S258" s="55"/>
    </row>
    <row r="259" spans="11:19" x14ac:dyDescent="0.25">
      <c r="K259" s="58"/>
      <c r="L259" s="59"/>
      <c r="M259" s="54"/>
      <c r="N259" s="55"/>
      <c r="P259" s="58"/>
      <c r="Q259" s="59"/>
      <c r="R259" s="54"/>
      <c r="S259" s="55"/>
    </row>
    <row r="260" spans="11:19" x14ac:dyDescent="0.25">
      <c r="K260" s="58"/>
      <c r="L260" s="59"/>
      <c r="M260" s="54"/>
      <c r="N260" s="55"/>
      <c r="P260" s="58"/>
      <c r="Q260" s="59"/>
      <c r="R260" s="54"/>
      <c r="S260" s="55"/>
    </row>
    <row r="261" spans="11:19" x14ac:dyDescent="0.25">
      <c r="K261" s="58"/>
      <c r="L261" s="59"/>
      <c r="M261" s="54"/>
      <c r="N261" s="55"/>
      <c r="P261" s="58"/>
      <c r="Q261" s="59"/>
      <c r="R261" s="54"/>
      <c r="S261" s="55"/>
    </row>
    <row r="262" spans="11:19" x14ac:dyDescent="0.25">
      <c r="K262" s="58"/>
      <c r="L262" s="59"/>
      <c r="M262" s="54"/>
      <c r="N262" s="55"/>
      <c r="P262" s="58"/>
      <c r="Q262" s="59"/>
      <c r="R262" s="54"/>
      <c r="S262" s="55"/>
    </row>
    <row r="263" spans="11:19" x14ac:dyDescent="0.25">
      <c r="K263" s="58"/>
      <c r="L263" s="59"/>
      <c r="M263" s="54"/>
      <c r="N263" s="55"/>
      <c r="P263" s="58"/>
      <c r="Q263" s="59"/>
      <c r="R263" s="54"/>
      <c r="S263" s="55"/>
    </row>
    <row r="264" spans="11:19" x14ac:dyDescent="0.25">
      <c r="K264" s="58"/>
      <c r="L264" s="59"/>
      <c r="M264" s="54"/>
      <c r="N264" s="55"/>
      <c r="P264" s="58"/>
      <c r="Q264" s="59"/>
      <c r="R264" s="54"/>
      <c r="S264" s="55"/>
    </row>
    <row r="265" spans="11:19" x14ac:dyDescent="0.25">
      <c r="K265" s="58"/>
      <c r="L265" s="59"/>
      <c r="M265" s="54"/>
      <c r="N265" s="55"/>
      <c r="P265" s="58"/>
      <c r="Q265" s="59"/>
      <c r="R265" s="54"/>
      <c r="S265" s="55"/>
    </row>
    <row r="266" spans="11:19" x14ac:dyDescent="0.25">
      <c r="K266" s="58"/>
      <c r="L266" s="59"/>
      <c r="M266" s="54"/>
      <c r="N266" s="55"/>
      <c r="P266" s="58"/>
      <c r="Q266" s="59"/>
      <c r="R266" s="54"/>
      <c r="S266" s="55"/>
    </row>
    <row r="267" spans="11:19" x14ac:dyDescent="0.25">
      <c r="K267" s="58"/>
      <c r="L267" s="59"/>
      <c r="M267" s="54"/>
      <c r="N267" s="55"/>
      <c r="P267" s="58"/>
      <c r="Q267" s="59"/>
      <c r="R267" s="54"/>
      <c r="S267" s="55"/>
    </row>
    <row r="268" spans="11:19" x14ac:dyDescent="0.25">
      <c r="K268" s="58"/>
      <c r="L268" s="59"/>
      <c r="M268" s="54"/>
      <c r="N268" s="55"/>
      <c r="P268" s="58"/>
      <c r="Q268" s="59"/>
      <c r="R268" s="54"/>
      <c r="S268" s="55"/>
    </row>
    <row r="269" spans="11:19" x14ac:dyDescent="0.25">
      <c r="K269" s="58"/>
      <c r="L269" s="59"/>
      <c r="M269" s="54"/>
      <c r="N269" s="55"/>
      <c r="P269" s="58"/>
      <c r="Q269" s="59"/>
      <c r="R269" s="54"/>
      <c r="S269" s="55"/>
    </row>
    <row r="270" spans="11:19" x14ac:dyDescent="0.25">
      <c r="K270" s="58"/>
      <c r="L270" s="59"/>
      <c r="M270" s="54"/>
      <c r="N270" s="55"/>
      <c r="P270" s="58"/>
      <c r="Q270" s="59"/>
      <c r="R270" s="54"/>
      <c r="S270" s="55"/>
    </row>
    <row r="271" spans="11:19" x14ac:dyDescent="0.25">
      <c r="K271" s="58"/>
      <c r="L271" s="59"/>
      <c r="M271" s="54"/>
      <c r="N271" s="55"/>
      <c r="P271" s="58"/>
      <c r="Q271" s="59"/>
      <c r="R271" s="54"/>
      <c r="S271" s="55"/>
    </row>
    <row r="272" spans="11:19" x14ac:dyDescent="0.25">
      <c r="K272" s="58"/>
      <c r="L272" s="59"/>
      <c r="M272" s="54"/>
      <c r="N272" s="55"/>
      <c r="P272" s="58"/>
      <c r="Q272" s="59"/>
      <c r="R272" s="54"/>
      <c r="S272" s="55"/>
    </row>
    <row r="273" spans="11:19" x14ac:dyDescent="0.25">
      <c r="K273" s="58"/>
      <c r="L273" s="59"/>
      <c r="M273" s="54"/>
      <c r="N273" s="55"/>
      <c r="P273" s="58"/>
      <c r="Q273" s="59"/>
      <c r="R273" s="54"/>
      <c r="S273" s="55"/>
    </row>
    <row r="274" spans="11:19" x14ac:dyDescent="0.25">
      <c r="K274" s="58"/>
      <c r="L274" s="59"/>
      <c r="M274" s="54"/>
      <c r="N274" s="55"/>
      <c r="P274" s="58"/>
      <c r="Q274" s="59"/>
      <c r="R274" s="54"/>
      <c r="S274" s="55"/>
    </row>
    <row r="275" spans="11:19" x14ac:dyDescent="0.25">
      <c r="K275" s="58"/>
      <c r="L275" s="59"/>
      <c r="M275" s="54"/>
      <c r="N275" s="55"/>
      <c r="P275" s="58"/>
      <c r="Q275" s="59"/>
      <c r="R275" s="54"/>
      <c r="S275" s="55"/>
    </row>
    <row r="276" spans="11:19" x14ac:dyDescent="0.25">
      <c r="K276" s="58"/>
      <c r="L276" s="59"/>
      <c r="M276" s="54"/>
      <c r="N276" s="55"/>
      <c r="P276" s="58"/>
      <c r="Q276" s="59"/>
      <c r="R276" s="54"/>
      <c r="S276" s="55"/>
    </row>
    <row r="277" spans="11:19" x14ac:dyDescent="0.25">
      <c r="K277" s="58"/>
      <c r="L277" s="59"/>
      <c r="M277" s="54"/>
      <c r="N277" s="55"/>
      <c r="P277" s="58"/>
      <c r="Q277" s="59"/>
      <c r="R277" s="54"/>
      <c r="S277" s="55"/>
    </row>
    <row r="278" spans="11:19" x14ac:dyDescent="0.25">
      <c r="K278" s="58"/>
      <c r="L278" s="59"/>
      <c r="M278" s="54"/>
      <c r="N278" s="55"/>
      <c r="P278" s="58"/>
      <c r="Q278" s="59"/>
      <c r="R278" s="54"/>
      <c r="S278" s="55"/>
    </row>
    <row r="279" spans="11:19" x14ac:dyDescent="0.25">
      <c r="K279" s="58"/>
      <c r="L279" s="59"/>
      <c r="M279" s="54"/>
      <c r="N279" s="55"/>
      <c r="P279" s="58"/>
      <c r="Q279" s="59"/>
      <c r="R279" s="54"/>
      <c r="S279" s="55"/>
    </row>
    <row r="280" spans="11:19" x14ac:dyDescent="0.25">
      <c r="K280" s="58"/>
      <c r="L280" s="59"/>
      <c r="M280" s="54"/>
      <c r="N280" s="55"/>
      <c r="P280" s="58"/>
      <c r="Q280" s="59"/>
      <c r="R280" s="54"/>
      <c r="S280" s="55"/>
    </row>
    <row r="281" spans="11:19" x14ac:dyDescent="0.25">
      <c r="K281" s="58"/>
      <c r="L281" s="59"/>
      <c r="M281" s="54"/>
      <c r="N281" s="55"/>
      <c r="P281" s="58"/>
      <c r="Q281" s="59"/>
      <c r="R281" s="54"/>
      <c r="S281" s="55"/>
    </row>
    <row r="282" spans="11:19" x14ac:dyDescent="0.25">
      <c r="K282" s="58"/>
      <c r="L282" s="59"/>
      <c r="M282" s="54"/>
      <c r="N282" s="55"/>
      <c r="P282" s="58"/>
      <c r="Q282" s="59"/>
      <c r="R282" s="54"/>
      <c r="S282" s="55"/>
    </row>
    <row r="283" spans="11:19" x14ac:dyDescent="0.25">
      <c r="K283" s="58"/>
      <c r="L283" s="59"/>
      <c r="M283" s="54"/>
      <c r="N283" s="55"/>
      <c r="P283" s="58"/>
      <c r="Q283" s="59"/>
      <c r="R283" s="54"/>
      <c r="S283" s="55"/>
    </row>
    <row r="284" spans="11:19" x14ac:dyDescent="0.25">
      <c r="K284" s="58"/>
      <c r="L284" s="59"/>
      <c r="M284" s="54"/>
      <c r="N284" s="55"/>
      <c r="P284" s="58"/>
      <c r="Q284" s="59"/>
      <c r="R284" s="54"/>
      <c r="S284" s="55"/>
    </row>
    <row r="285" spans="11:19" x14ac:dyDescent="0.25">
      <c r="K285" s="58"/>
      <c r="L285" s="59"/>
      <c r="M285" s="54"/>
      <c r="N285" s="55"/>
      <c r="P285" s="58"/>
      <c r="Q285" s="59"/>
      <c r="R285" s="54"/>
      <c r="S285" s="55"/>
    </row>
    <row r="286" spans="11:19" x14ac:dyDescent="0.25">
      <c r="K286" s="58"/>
      <c r="L286" s="59"/>
      <c r="M286" s="54"/>
      <c r="N286" s="55"/>
      <c r="P286" s="58"/>
      <c r="Q286" s="59"/>
      <c r="R286" s="54"/>
      <c r="S286" s="55"/>
    </row>
    <row r="287" spans="11:19" x14ac:dyDescent="0.25">
      <c r="K287" s="58"/>
      <c r="L287" s="59"/>
      <c r="M287" s="54"/>
      <c r="N287" s="55"/>
      <c r="P287" s="58"/>
      <c r="Q287" s="59"/>
      <c r="R287" s="54"/>
      <c r="S287" s="55"/>
    </row>
    <row r="288" spans="11:19" x14ac:dyDescent="0.25">
      <c r="K288" s="58"/>
      <c r="L288" s="59"/>
      <c r="M288" s="54"/>
      <c r="N288" s="55"/>
      <c r="P288" s="58"/>
      <c r="Q288" s="59"/>
      <c r="R288" s="54"/>
      <c r="S288" s="55"/>
    </row>
    <row r="289" spans="11:19" x14ac:dyDescent="0.25">
      <c r="K289" s="58"/>
      <c r="L289" s="59"/>
      <c r="M289" s="54"/>
      <c r="N289" s="55"/>
      <c r="P289" s="58"/>
      <c r="Q289" s="59"/>
      <c r="R289" s="54"/>
      <c r="S289" s="55"/>
    </row>
    <row r="290" spans="11:19" x14ac:dyDescent="0.25">
      <c r="K290" s="58"/>
      <c r="L290" s="59"/>
      <c r="M290" s="54"/>
      <c r="N290" s="55"/>
      <c r="P290" s="58"/>
      <c r="Q290" s="59"/>
      <c r="R290" s="54"/>
      <c r="S290" s="55"/>
    </row>
    <row r="291" spans="11:19" x14ac:dyDescent="0.25">
      <c r="K291" s="58"/>
      <c r="L291" s="59"/>
      <c r="M291" s="54"/>
      <c r="N291" s="55"/>
      <c r="P291" s="58"/>
      <c r="Q291" s="59"/>
      <c r="R291" s="54"/>
      <c r="S291" s="55"/>
    </row>
    <row r="292" spans="11:19" x14ac:dyDescent="0.25">
      <c r="K292" s="58"/>
      <c r="L292" s="59"/>
      <c r="M292" s="54"/>
      <c r="N292" s="55"/>
      <c r="P292" s="58"/>
      <c r="Q292" s="59"/>
      <c r="R292" s="54"/>
      <c r="S292" s="55"/>
    </row>
    <row r="293" spans="11:19" x14ac:dyDescent="0.25">
      <c r="K293" s="58"/>
      <c r="L293" s="59"/>
      <c r="M293" s="54"/>
      <c r="N293" s="55"/>
      <c r="P293" s="58"/>
      <c r="Q293" s="59"/>
      <c r="R293" s="54"/>
      <c r="S293" s="55"/>
    </row>
    <row r="294" spans="11:19" x14ac:dyDescent="0.25">
      <c r="K294" s="58"/>
      <c r="L294" s="59"/>
      <c r="M294" s="54"/>
      <c r="N294" s="55"/>
      <c r="P294" s="58"/>
      <c r="Q294" s="59"/>
      <c r="R294" s="54"/>
      <c r="S294" s="55"/>
    </row>
    <row r="295" spans="11:19" x14ac:dyDescent="0.25">
      <c r="K295" s="58"/>
      <c r="L295" s="59"/>
      <c r="M295" s="54"/>
      <c r="N295" s="55"/>
      <c r="P295" s="58"/>
      <c r="Q295" s="59"/>
      <c r="R295" s="54"/>
      <c r="S295" s="55"/>
    </row>
    <row r="296" spans="11:19" x14ac:dyDescent="0.25">
      <c r="K296" s="58"/>
      <c r="L296" s="59"/>
      <c r="M296" s="54"/>
      <c r="N296" s="55"/>
      <c r="P296" s="58"/>
      <c r="Q296" s="59"/>
      <c r="R296" s="54"/>
      <c r="S296" s="55"/>
    </row>
    <row r="297" spans="11:19" x14ac:dyDescent="0.25">
      <c r="K297" s="58"/>
      <c r="L297" s="59"/>
      <c r="M297" s="54"/>
      <c r="N297" s="55"/>
      <c r="P297" s="58"/>
      <c r="Q297" s="59"/>
      <c r="R297" s="54"/>
      <c r="S297" s="55"/>
    </row>
    <row r="298" spans="11:19" x14ac:dyDescent="0.25">
      <c r="K298" s="58"/>
      <c r="L298" s="59"/>
      <c r="M298" s="54"/>
      <c r="N298" s="55"/>
      <c r="P298" s="58"/>
      <c r="Q298" s="59"/>
      <c r="R298" s="54"/>
      <c r="S298" s="55"/>
    </row>
    <row r="299" spans="11:19" x14ac:dyDescent="0.25">
      <c r="K299" s="58"/>
      <c r="L299" s="59"/>
      <c r="M299" s="54"/>
      <c r="N299" s="55"/>
      <c r="P299" s="58"/>
      <c r="Q299" s="59"/>
      <c r="R299" s="54"/>
      <c r="S299" s="55"/>
    </row>
    <row r="300" spans="11:19" x14ac:dyDescent="0.25">
      <c r="K300" s="58"/>
      <c r="L300" s="59"/>
      <c r="M300" s="54"/>
      <c r="N300" s="55"/>
      <c r="P300" s="58"/>
      <c r="Q300" s="59"/>
      <c r="R300" s="54"/>
      <c r="S300" s="55"/>
    </row>
    <row r="301" spans="11:19" x14ac:dyDescent="0.25">
      <c r="K301" s="58"/>
      <c r="L301" s="59"/>
      <c r="M301" s="54"/>
      <c r="N301" s="55"/>
      <c r="P301" s="58"/>
      <c r="Q301" s="59"/>
      <c r="R301" s="54"/>
      <c r="S301" s="55"/>
    </row>
    <row r="302" spans="11:19" x14ac:dyDescent="0.25">
      <c r="K302" s="58"/>
      <c r="L302" s="59"/>
      <c r="M302" s="54"/>
      <c r="N302" s="55"/>
      <c r="P302" s="58"/>
      <c r="Q302" s="59"/>
      <c r="R302" s="54"/>
      <c r="S302" s="55"/>
    </row>
    <row r="303" spans="11:19" x14ac:dyDescent="0.25">
      <c r="K303" s="58"/>
      <c r="L303" s="59"/>
      <c r="M303" s="54"/>
      <c r="N303" s="55"/>
      <c r="P303" s="58"/>
      <c r="Q303" s="59"/>
      <c r="R303" s="54"/>
      <c r="S303" s="55"/>
    </row>
    <row r="304" spans="11:19" x14ac:dyDescent="0.25">
      <c r="K304" s="58"/>
      <c r="L304" s="59"/>
      <c r="M304" s="54"/>
      <c r="N304" s="55"/>
      <c r="P304" s="58"/>
      <c r="Q304" s="59"/>
      <c r="R304" s="54"/>
      <c r="S304" s="55"/>
    </row>
    <row r="305" spans="11:19" x14ac:dyDescent="0.25">
      <c r="K305" s="58"/>
      <c r="L305" s="59"/>
      <c r="M305" s="54"/>
      <c r="N305" s="55"/>
      <c r="P305" s="58"/>
      <c r="Q305" s="59"/>
      <c r="R305" s="54"/>
      <c r="S305" s="55"/>
    </row>
    <row r="306" spans="11:19" x14ac:dyDescent="0.25">
      <c r="K306" s="58"/>
      <c r="L306" s="59"/>
      <c r="M306" s="54"/>
      <c r="N306" s="55"/>
      <c r="P306" s="58"/>
      <c r="Q306" s="59"/>
      <c r="R306" s="54"/>
      <c r="S306" s="55"/>
    </row>
    <row r="307" spans="11:19" x14ac:dyDescent="0.25">
      <c r="K307" s="58"/>
      <c r="L307" s="59"/>
      <c r="M307" s="54"/>
      <c r="N307" s="55"/>
      <c r="P307" s="58"/>
      <c r="Q307" s="59"/>
      <c r="R307" s="54"/>
      <c r="S307" s="55"/>
    </row>
    <row r="308" spans="11:19" x14ac:dyDescent="0.25">
      <c r="K308" s="58"/>
      <c r="L308" s="59"/>
      <c r="M308" s="54"/>
      <c r="N308" s="55"/>
      <c r="P308" s="58"/>
      <c r="Q308" s="59"/>
      <c r="R308" s="54"/>
      <c r="S308" s="55"/>
    </row>
    <row r="309" spans="11:19" x14ac:dyDescent="0.25">
      <c r="K309" s="58"/>
      <c r="L309" s="59"/>
      <c r="M309" s="54"/>
      <c r="N309" s="55"/>
      <c r="P309" s="58"/>
      <c r="Q309" s="59"/>
      <c r="R309" s="54"/>
      <c r="S309" s="55"/>
    </row>
    <row r="310" spans="11:19" x14ac:dyDescent="0.25">
      <c r="K310" s="58"/>
      <c r="L310" s="59"/>
      <c r="M310" s="54"/>
      <c r="N310" s="55"/>
      <c r="P310" s="58"/>
      <c r="Q310" s="59"/>
      <c r="R310" s="54"/>
      <c r="S310" s="55"/>
    </row>
    <row r="311" spans="11:19" x14ac:dyDescent="0.25">
      <c r="K311" s="58"/>
      <c r="L311" s="59"/>
      <c r="M311" s="54"/>
      <c r="N311" s="55"/>
      <c r="P311" s="58"/>
      <c r="Q311" s="59"/>
      <c r="R311" s="54"/>
      <c r="S311" s="55"/>
    </row>
    <row r="312" spans="11:19" x14ac:dyDescent="0.25">
      <c r="K312" s="58"/>
      <c r="L312" s="59"/>
      <c r="M312" s="54"/>
      <c r="N312" s="55"/>
      <c r="P312" s="58"/>
      <c r="Q312" s="59"/>
      <c r="R312" s="54"/>
      <c r="S312" s="55"/>
    </row>
    <row r="313" spans="11:19" x14ac:dyDescent="0.25">
      <c r="K313" s="58"/>
      <c r="L313" s="59"/>
      <c r="M313" s="54"/>
      <c r="N313" s="55"/>
      <c r="P313" s="58"/>
      <c r="Q313" s="59"/>
      <c r="R313" s="54"/>
      <c r="S313" s="55"/>
    </row>
    <row r="314" spans="11:19" x14ac:dyDescent="0.25">
      <c r="K314" s="58"/>
      <c r="L314" s="59"/>
      <c r="M314" s="54"/>
      <c r="N314" s="55"/>
      <c r="P314" s="58"/>
      <c r="Q314" s="59"/>
      <c r="R314" s="54"/>
      <c r="S314" s="55"/>
    </row>
    <row r="315" spans="11:19" x14ac:dyDescent="0.25">
      <c r="K315" s="58"/>
      <c r="L315" s="59"/>
      <c r="M315" s="54"/>
      <c r="N315" s="55"/>
      <c r="P315" s="58"/>
      <c r="Q315" s="59"/>
      <c r="R315" s="54"/>
      <c r="S315" s="55"/>
    </row>
    <row r="316" spans="11:19" x14ac:dyDescent="0.25">
      <c r="K316" s="58"/>
      <c r="L316" s="59"/>
      <c r="M316" s="54"/>
      <c r="N316" s="55"/>
      <c r="P316" s="58"/>
      <c r="Q316" s="59"/>
      <c r="R316" s="54"/>
      <c r="S316" s="55"/>
    </row>
    <row r="317" spans="11:19" x14ac:dyDescent="0.25">
      <c r="K317" s="58"/>
      <c r="L317" s="59"/>
      <c r="M317" s="54"/>
      <c r="N317" s="55"/>
      <c r="P317" s="58"/>
      <c r="Q317" s="59"/>
      <c r="R317" s="54"/>
      <c r="S317" s="55"/>
    </row>
    <row r="318" spans="11:19" x14ac:dyDescent="0.25">
      <c r="K318" s="58"/>
      <c r="L318" s="59"/>
      <c r="M318" s="54"/>
      <c r="N318" s="55"/>
      <c r="P318" s="58"/>
      <c r="Q318" s="59"/>
      <c r="R318" s="54"/>
      <c r="S318" s="55"/>
    </row>
    <row r="319" spans="11:19" x14ac:dyDescent="0.25">
      <c r="K319" s="58"/>
      <c r="L319" s="59"/>
      <c r="M319" s="54"/>
      <c r="N319" s="55"/>
      <c r="P319" s="58"/>
      <c r="Q319" s="59"/>
      <c r="R319" s="54"/>
      <c r="S319" s="55"/>
    </row>
    <row r="320" spans="11:19" x14ac:dyDescent="0.25">
      <c r="K320" s="58"/>
      <c r="L320" s="59"/>
      <c r="M320" s="54"/>
      <c r="N320" s="55"/>
      <c r="P320" s="58"/>
      <c r="Q320" s="59"/>
      <c r="R320" s="54"/>
      <c r="S320" s="55"/>
    </row>
    <row r="321" spans="11:19" x14ac:dyDescent="0.25">
      <c r="K321" s="58"/>
      <c r="L321" s="59"/>
      <c r="M321" s="54"/>
      <c r="N321" s="55"/>
      <c r="P321" s="58"/>
      <c r="Q321" s="59"/>
      <c r="R321" s="54"/>
      <c r="S321" s="55"/>
    </row>
    <row r="322" spans="11:19" x14ac:dyDescent="0.25">
      <c r="K322" s="58"/>
      <c r="L322" s="59"/>
      <c r="M322" s="54"/>
      <c r="N322" s="55"/>
      <c r="P322" s="58"/>
      <c r="Q322" s="59"/>
      <c r="R322" s="54"/>
      <c r="S322" s="55"/>
    </row>
    <row r="323" spans="11:19" x14ac:dyDescent="0.25">
      <c r="K323" s="58"/>
      <c r="L323" s="59"/>
      <c r="M323" s="54"/>
      <c r="N323" s="55"/>
      <c r="P323" s="58"/>
      <c r="Q323" s="59"/>
      <c r="R323" s="54"/>
      <c r="S323" s="55"/>
    </row>
    <row r="324" spans="11:19" x14ac:dyDescent="0.25">
      <c r="K324" s="58"/>
      <c r="L324" s="59"/>
      <c r="M324" s="54"/>
      <c r="N324" s="55"/>
      <c r="P324" s="58"/>
      <c r="Q324" s="59"/>
      <c r="R324" s="54"/>
      <c r="S324" s="55"/>
    </row>
    <row r="325" spans="11:19" x14ac:dyDescent="0.25">
      <c r="K325" s="58"/>
      <c r="L325" s="59"/>
      <c r="M325" s="54"/>
      <c r="N325" s="55"/>
      <c r="P325" s="58"/>
      <c r="Q325" s="59"/>
      <c r="R325" s="54"/>
      <c r="S325" s="55"/>
    </row>
    <row r="326" spans="11:19" x14ac:dyDescent="0.25">
      <c r="K326" s="58"/>
      <c r="L326" s="59"/>
      <c r="M326" s="54"/>
      <c r="N326" s="55"/>
      <c r="P326" s="58"/>
      <c r="Q326" s="59"/>
      <c r="R326" s="54"/>
      <c r="S326" s="55"/>
    </row>
    <row r="327" spans="11:19" x14ac:dyDescent="0.25">
      <c r="K327" s="58"/>
      <c r="L327" s="59"/>
      <c r="M327" s="54"/>
      <c r="N327" s="55"/>
      <c r="P327" s="58"/>
      <c r="Q327" s="59"/>
      <c r="R327" s="54"/>
      <c r="S327" s="55"/>
    </row>
    <row r="328" spans="11:19" x14ac:dyDescent="0.25">
      <c r="K328" s="58"/>
      <c r="L328" s="59"/>
      <c r="M328" s="54"/>
      <c r="N328" s="55"/>
      <c r="P328" s="58"/>
      <c r="Q328" s="59"/>
      <c r="R328" s="54"/>
      <c r="S328" s="55"/>
    </row>
    <row r="329" spans="11:19" x14ac:dyDescent="0.25">
      <c r="K329" s="58"/>
      <c r="L329" s="59"/>
      <c r="M329" s="54"/>
      <c r="N329" s="55"/>
      <c r="P329" s="58"/>
      <c r="Q329" s="59"/>
      <c r="R329" s="54"/>
      <c r="S329" s="55"/>
    </row>
    <row r="330" spans="11:19" x14ac:dyDescent="0.25">
      <c r="K330" s="58"/>
      <c r="L330" s="59"/>
      <c r="M330" s="54"/>
      <c r="N330" s="55"/>
      <c r="P330" s="58"/>
      <c r="Q330" s="59"/>
      <c r="R330" s="54"/>
      <c r="S330" s="55"/>
    </row>
    <row r="331" spans="11:19" x14ac:dyDescent="0.25">
      <c r="K331" s="58"/>
      <c r="L331" s="59"/>
      <c r="M331" s="54"/>
      <c r="N331" s="55"/>
      <c r="P331" s="58"/>
      <c r="Q331" s="59"/>
      <c r="R331" s="54"/>
      <c r="S331" s="55"/>
    </row>
    <row r="332" spans="11:19" x14ac:dyDescent="0.25">
      <c r="K332" s="58"/>
      <c r="L332" s="59"/>
      <c r="M332" s="54"/>
      <c r="N332" s="55"/>
      <c r="P332" s="58"/>
      <c r="Q332" s="59"/>
      <c r="R332" s="54"/>
      <c r="S332" s="55"/>
    </row>
    <row r="333" spans="11:19" x14ac:dyDescent="0.25">
      <c r="K333" s="58"/>
      <c r="L333" s="59"/>
      <c r="M333" s="54"/>
      <c r="N333" s="55"/>
      <c r="P333" s="58"/>
      <c r="Q333" s="59"/>
      <c r="R333" s="54"/>
      <c r="S333" s="55"/>
    </row>
    <row r="334" spans="11:19" x14ac:dyDescent="0.25">
      <c r="K334" s="58"/>
      <c r="L334" s="59"/>
      <c r="M334" s="54"/>
      <c r="N334" s="55"/>
      <c r="P334" s="58"/>
      <c r="Q334" s="59"/>
      <c r="R334" s="54"/>
      <c r="S334" s="55"/>
    </row>
    <row r="335" spans="11:19" x14ac:dyDescent="0.25">
      <c r="K335" s="58"/>
      <c r="L335" s="59"/>
      <c r="M335" s="54"/>
      <c r="N335" s="55"/>
      <c r="P335" s="58"/>
      <c r="Q335" s="59"/>
      <c r="R335" s="54"/>
      <c r="S335" s="55"/>
    </row>
    <row r="336" spans="11:19" x14ac:dyDescent="0.25">
      <c r="K336" s="58"/>
      <c r="L336" s="59"/>
      <c r="M336" s="54"/>
      <c r="N336" s="55"/>
      <c r="P336" s="58"/>
      <c r="Q336" s="59"/>
      <c r="R336" s="54"/>
      <c r="S336" s="55"/>
    </row>
    <row r="337" spans="11:19" x14ac:dyDescent="0.25">
      <c r="K337" s="58"/>
      <c r="L337" s="59"/>
      <c r="M337" s="54"/>
      <c r="N337" s="55"/>
      <c r="P337" s="58"/>
      <c r="Q337" s="59"/>
      <c r="R337" s="54"/>
      <c r="S337" s="55"/>
    </row>
    <row r="338" spans="11:19" x14ac:dyDescent="0.25">
      <c r="K338" s="58"/>
      <c r="L338" s="59"/>
      <c r="M338" s="54"/>
      <c r="N338" s="55"/>
      <c r="P338" s="58"/>
      <c r="Q338" s="59"/>
      <c r="R338" s="54"/>
      <c r="S338" s="55"/>
    </row>
    <row r="339" spans="11:19" x14ac:dyDescent="0.25">
      <c r="K339" s="58"/>
      <c r="L339" s="59"/>
      <c r="M339" s="54"/>
      <c r="N339" s="55"/>
      <c r="P339" s="58"/>
      <c r="Q339" s="59"/>
      <c r="R339" s="54"/>
      <c r="S339" s="55"/>
    </row>
    <row r="340" spans="11:19" x14ac:dyDescent="0.25">
      <c r="K340" s="58"/>
      <c r="L340" s="59"/>
      <c r="M340" s="54"/>
      <c r="N340" s="55"/>
      <c r="P340" s="58"/>
      <c r="Q340" s="59"/>
      <c r="R340" s="54"/>
      <c r="S340" s="55"/>
    </row>
    <row r="341" spans="11:19" x14ac:dyDescent="0.25">
      <c r="K341" s="58"/>
      <c r="L341" s="59"/>
      <c r="M341" s="54"/>
      <c r="N341" s="55"/>
      <c r="P341" s="58"/>
      <c r="Q341" s="59"/>
      <c r="R341" s="54"/>
      <c r="S341" s="55"/>
    </row>
    <row r="342" spans="11:19" x14ac:dyDescent="0.25">
      <c r="K342" s="58"/>
      <c r="L342" s="59"/>
      <c r="M342" s="54"/>
      <c r="N342" s="55"/>
      <c r="P342" s="58"/>
      <c r="Q342" s="59"/>
      <c r="R342" s="54"/>
      <c r="S342" s="55"/>
    </row>
    <row r="343" spans="11:19" x14ac:dyDescent="0.25">
      <c r="K343" s="58"/>
      <c r="L343" s="59"/>
      <c r="M343" s="54"/>
      <c r="N343" s="55"/>
      <c r="P343" s="58"/>
      <c r="Q343" s="59"/>
      <c r="R343" s="54"/>
      <c r="S343" s="55"/>
    </row>
    <row r="344" spans="11:19" x14ac:dyDescent="0.25">
      <c r="K344" s="58"/>
      <c r="L344" s="59"/>
      <c r="M344" s="54"/>
      <c r="N344" s="55"/>
      <c r="P344" s="58"/>
      <c r="Q344" s="59"/>
      <c r="R344" s="54"/>
      <c r="S344" s="55"/>
    </row>
    <row r="345" spans="11:19" x14ac:dyDescent="0.25">
      <c r="K345" s="58"/>
      <c r="L345" s="59"/>
      <c r="M345" s="54"/>
      <c r="N345" s="55"/>
      <c r="P345" s="58"/>
      <c r="Q345" s="59"/>
      <c r="R345" s="54"/>
      <c r="S345" s="55"/>
    </row>
    <row r="346" spans="11:19" x14ac:dyDescent="0.25">
      <c r="K346" s="58"/>
      <c r="L346" s="59"/>
      <c r="M346" s="54"/>
      <c r="N346" s="55"/>
      <c r="P346" s="58"/>
      <c r="Q346" s="59"/>
      <c r="R346" s="54"/>
      <c r="S346" s="55"/>
    </row>
    <row r="347" spans="11:19" x14ac:dyDescent="0.25">
      <c r="K347" s="58"/>
      <c r="L347" s="59"/>
      <c r="M347" s="54"/>
      <c r="N347" s="55"/>
      <c r="P347" s="58"/>
      <c r="Q347" s="59"/>
      <c r="R347" s="54"/>
      <c r="S347" s="55"/>
    </row>
    <row r="348" spans="11:19" ht="15.75" thickBot="1" x14ac:dyDescent="0.3">
      <c r="K348" s="60"/>
      <c r="L348" s="61"/>
      <c r="M348" s="56"/>
      <c r="N348" s="57"/>
      <c r="P348" s="60"/>
      <c r="Q348" s="61"/>
      <c r="R348" s="56"/>
      <c r="S348" s="57"/>
    </row>
  </sheetData>
  <mergeCells count="4">
    <mergeCell ref="A8:D8"/>
    <mergeCell ref="F8:I8"/>
    <mergeCell ref="K8:N8"/>
    <mergeCell ref="P8:S8"/>
  </mergeCells>
  <conditionalFormatting sqref="G3">
    <cfRule type="cellIs" dxfId="119" priority="5" operator="greaterThan">
      <formula>$J$4</formula>
    </cfRule>
  </conditionalFormatting>
  <conditionalFormatting sqref="T5">
    <cfRule type="cellIs" dxfId="118" priority="1" operator="greaterThan">
      <formula>$T$6</formula>
    </cfRule>
    <cfRule type="cellIs" dxfId="117" priority="4" operator="lessThan">
      <formula>$T$6</formula>
    </cfRule>
  </conditionalFormatting>
  <conditionalFormatting sqref="T6">
    <cfRule type="cellIs" dxfId="116" priority="2" operator="greaterThan">
      <formula>$T$5</formula>
    </cfRule>
    <cfRule type="cellIs" dxfId="115" priority="3" operator="lessThan">
      <formula>$T$5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02167-D049-460D-9BB2-2CA267487962}">
  <sheetPr codeName="Sheet29"/>
  <dimension ref="A1:T348"/>
  <sheetViews>
    <sheetView zoomScale="90" zoomScaleNormal="90" workbookViewId="0">
      <pane ySplit="9" topLeftCell="A10" activePane="bottomLeft" state="frozen"/>
      <selection pane="bottomLeft" activeCell="E34" sqref="E34"/>
    </sheetView>
  </sheetViews>
  <sheetFormatPr baseColWidth="10" defaultColWidth="9.140625" defaultRowHeight="15" x14ac:dyDescent="0.25"/>
  <cols>
    <col min="2" max="2" width="11.85546875" bestFit="1" customWidth="1"/>
    <col min="3" max="3" width="17.140625" bestFit="1" customWidth="1"/>
    <col min="4" max="4" width="14.5703125" customWidth="1"/>
    <col min="5" max="7" width="14.5703125" bestFit="1" customWidth="1"/>
    <col min="8" max="8" width="18.7109375" bestFit="1" customWidth="1"/>
    <col min="9" max="9" width="16.28515625" bestFit="1" customWidth="1"/>
    <col min="10" max="10" width="14" bestFit="1" customWidth="1"/>
    <col min="12" max="12" width="11.85546875" bestFit="1" customWidth="1"/>
    <col min="13" max="13" width="17.140625" bestFit="1" customWidth="1"/>
    <col min="14" max="14" width="14.42578125" bestFit="1" customWidth="1"/>
    <col min="15" max="15" width="8.7109375" customWidth="1"/>
    <col min="17" max="17" width="14.85546875" bestFit="1" customWidth="1"/>
    <col min="18" max="18" width="17.140625" bestFit="1" customWidth="1"/>
    <col min="19" max="19" width="14.85546875" bestFit="1" customWidth="1"/>
    <col min="20" max="20" width="12.42578125" bestFit="1" customWidth="1"/>
    <col min="22" max="23" width="14.5703125" bestFit="1" customWidth="1"/>
    <col min="24" max="24" width="15.85546875" bestFit="1" customWidth="1"/>
    <col min="26" max="26" width="15.85546875" bestFit="1" customWidth="1"/>
  </cols>
  <sheetData>
    <row r="1" spans="1:20" ht="15.75" thickBot="1" x14ac:dyDescent="0.3">
      <c r="C1" s="1" t="s">
        <v>0</v>
      </c>
      <c r="D1" s="2" t="s">
        <v>1</v>
      </c>
      <c r="E1" s="1" t="s">
        <v>2</v>
      </c>
      <c r="F1" s="2" t="s">
        <v>3</v>
      </c>
      <c r="G1" s="63" t="s">
        <v>4</v>
      </c>
      <c r="H1" s="81" t="s">
        <v>24</v>
      </c>
      <c r="I1" s="66" t="s">
        <v>5</v>
      </c>
      <c r="J1" s="3">
        <v>368</v>
      </c>
      <c r="M1" s="1" t="s">
        <v>5</v>
      </c>
      <c r="N1" s="4" t="s">
        <v>6</v>
      </c>
      <c r="P1" t="s">
        <v>0</v>
      </c>
      <c r="Q1">
        <f>SUM(E10:E54)</f>
        <v>1.5</v>
      </c>
      <c r="R1" t="s">
        <v>2</v>
      </c>
      <c r="S1">
        <f>(M3/M2)*Q1</f>
        <v>1</v>
      </c>
    </row>
    <row r="2" spans="1:20" ht="15.75" thickBot="1" x14ac:dyDescent="0.3">
      <c r="B2" s="5" t="s">
        <v>7</v>
      </c>
      <c r="C2" s="6">
        <f>SUMPRODUCT(C10:C118,E10:E118)</f>
        <v>1197612</v>
      </c>
      <c r="D2" s="7">
        <f>SUMPRODUCT(H10:H118,J10:J118)</f>
        <v>0</v>
      </c>
      <c r="E2" s="6">
        <f>SUMPRODUCT(M10:M348,O10:O348)</f>
        <v>891762</v>
      </c>
      <c r="F2" s="7">
        <f>SUMPRODUCT(R10:R348,T10:T348)</f>
        <v>0</v>
      </c>
      <c r="G2" s="64">
        <f>C2+D2+E2+F2</f>
        <v>2089374</v>
      </c>
      <c r="H2" s="82">
        <v>24786935</v>
      </c>
      <c r="I2" s="67" t="s">
        <v>6</v>
      </c>
      <c r="J2" s="8">
        <v>334</v>
      </c>
      <c r="L2" s="5" t="s">
        <v>8</v>
      </c>
      <c r="M2" s="9">
        <v>0.6</v>
      </c>
      <c r="N2" s="10">
        <v>0.25</v>
      </c>
      <c r="P2" t="s">
        <v>3</v>
      </c>
      <c r="Q2">
        <f>SUM(T10:T64)</f>
        <v>0</v>
      </c>
      <c r="R2" t="s">
        <v>1</v>
      </c>
      <c r="S2">
        <f>(N2/N3)*Q2</f>
        <v>0</v>
      </c>
    </row>
    <row r="3" spans="1:20" ht="15.75" thickBot="1" x14ac:dyDescent="0.3">
      <c r="B3" s="11" t="s">
        <v>9</v>
      </c>
      <c r="C3" s="12">
        <f>SUMPRODUCT(B10:B118,E10:E118)</f>
        <v>45.489130434782609</v>
      </c>
      <c r="D3" s="13">
        <f>SUMPRODUCT(G10:G118,J10:J118)</f>
        <v>0</v>
      </c>
      <c r="E3" s="12">
        <f>SUMPRODUCT(L10:L348,O10:O348)</f>
        <v>30.326086956521738</v>
      </c>
      <c r="F3" s="13">
        <f>SUMPRODUCT(Q10:Q348,T10:T348)</f>
        <v>0</v>
      </c>
      <c r="G3" s="65">
        <f>SUM(C3:F3)</f>
        <v>75.815217391304344</v>
      </c>
      <c r="H3" s="80">
        <f>(H2-G2)/G2</f>
        <v>10.863330834977367</v>
      </c>
      <c r="I3" s="67" t="s">
        <v>10</v>
      </c>
      <c r="J3" s="8">
        <f>11160</f>
        <v>11160</v>
      </c>
      <c r="L3" s="14" t="s">
        <v>11</v>
      </c>
      <c r="M3" s="15">
        <v>0.4</v>
      </c>
      <c r="N3" s="16">
        <v>0.75</v>
      </c>
      <c r="P3" t="s">
        <v>0</v>
      </c>
      <c r="Q3">
        <v>1</v>
      </c>
      <c r="R3" t="s">
        <v>2</v>
      </c>
      <c r="S3">
        <f>(M3/M2)*Q3</f>
        <v>0.66666666666666674</v>
      </c>
    </row>
    <row r="4" spans="1:20" ht="15.75" thickBot="1" x14ac:dyDescent="0.3">
      <c r="B4" s="14" t="s">
        <v>12</v>
      </c>
      <c r="C4" s="17">
        <f>SUM(E10:E118)*J3</f>
        <v>16740</v>
      </c>
      <c r="D4" s="18">
        <f>SUM(J10:J118)*J3</f>
        <v>0</v>
      </c>
      <c r="E4" s="17">
        <f>SUM(O10:O348)*J3</f>
        <v>11160</v>
      </c>
      <c r="F4" s="18">
        <f>SUM(T10:T348)*J3</f>
        <v>0</v>
      </c>
      <c r="G4" s="19">
        <f>SUM(C4:F4)</f>
        <v>27900</v>
      </c>
      <c r="H4" s="20"/>
      <c r="I4" s="21" t="s">
        <v>13</v>
      </c>
      <c r="J4" s="22">
        <v>100000</v>
      </c>
      <c r="L4" s="5" t="s">
        <v>14</v>
      </c>
      <c r="M4" s="76">
        <f>C4/(C4+E4)</f>
        <v>0.6</v>
      </c>
      <c r="N4" s="77" t="e">
        <f>D4/(D4+F4)</f>
        <v>#DIV/0!</v>
      </c>
      <c r="O4" s="23"/>
      <c r="P4" t="s">
        <v>3</v>
      </c>
      <c r="Q4">
        <v>1</v>
      </c>
      <c r="R4" t="s">
        <v>1</v>
      </c>
      <c r="S4">
        <f>(N2/N3)*Q4</f>
        <v>0.33333333333333331</v>
      </c>
    </row>
    <row r="5" spans="1:20" ht="15.75" thickBot="1" x14ac:dyDescent="0.3">
      <c r="B5" s="24" t="s">
        <v>15</v>
      </c>
      <c r="C5" s="25">
        <v>217620</v>
      </c>
      <c r="D5" s="26">
        <v>74400</v>
      </c>
      <c r="E5" s="27">
        <v>145080</v>
      </c>
      <c r="F5" s="26">
        <v>223200</v>
      </c>
      <c r="G5" s="28">
        <f>SUM(C5:F5)</f>
        <v>660300</v>
      </c>
      <c r="H5" s="20"/>
      <c r="I5" s="20"/>
      <c r="L5" s="29" t="s">
        <v>16</v>
      </c>
      <c r="M5" s="78">
        <f>E4/(C4+E4)</f>
        <v>0.4</v>
      </c>
      <c r="N5" s="79" t="e">
        <f>F4/(D4+F4)</f>
        <v>#DIV/0!</v>
      </c>
      <c r="O5" s="23"/>
      <c r="P5" t="s">
        <v>0</v>
      </c>
      <c r="Q5" s="88">
        <v>24688.381362007171</v>
      </c>
      <c r="R5" t="s">
        <v>2</v>
      </c>
      <c r="S5" s="88">
        <v>29405.772043010755</v>
      </c>
      <c r="T5">
        <f>Q5*Q3+S5*S3</f>
        <v>44292.229390681008</v>
      </c>
    </row>
    <row r="6" spans="1:20" ht="15.75" thickBot="1" x14ac:dyDescent="0.3">
      <c r="B6" s="24" t="s">
        <v>17</v>
      </c>
      <c r="C6" s="27">
        <f>C5-C4</f>
        <v>200880</v>
      </c>
      <c r="D6" s="30">
        <f>D5-D4</f>
        <v>74400</v>
      </c>
      <c r="E6" s="27">
        <f>E5-E4</f>
        <v>133920</v>
      </c>
      <c r="F6" s="30">
        <f>F5-F4</f>
        <v>223200</v>
      </c>
      <c r="H6" s="20"/>
      <c r="I6" s="20"/>
      <c r="J6" s="62"/>
      <c r="N6" s="23"/>
      <c r="O6" s="23"/>
      <c r="P6" t="s">
        <v>3</v>
      </c>
      <c r="Q6" s="88">
        <v>24785.014695340502</v>
      </c>
      <c r="R6" t="s">
        <v>1</v>
      </c>
      <c r="S6" s="88">
        <v>25114.615232974909</v>
      </c>
      <c r="T6">
        <f>Q6*Q4+S6*S4</f>
        <v>33156.55310633214</v>
      </c>
    </row>
    <row r="7" spans="1:20" ht="15.75" thickBot="1" x14ac:dyDescent="0.3"/>
    <row r="8" spans="1:20" ht="15.75" thickBot="1" x14ac:dyDescent="0.3">
      <c r="A8" s="113" t="s">
        <v>18</v>
      </c>
      <c r="B8" s="114"/>
      <c r="C8" s="114"/>
      <c r="D8" s="115"/>
      <c r="E8" s="31"/>
      <c r="F8" s="113" t="s">
        <v>19</v>
      </c>
      <c r="G8" s="114"/>
      <c r="H8" s="114"/>
      <c r="I8" s="115"/>
      <c r="J8" s="31"/>
      <c r="K8" s="113" t="s">
        <v>20</v>
      </c>
      <c r="L8" s="114"/>
      <c r="M8" s="114"/>
      <c r="N8" s="115"/>
      <c r="O8" s="31"/>
      <c r="P8" s="113" t="s">
        <v>21</v>
      </c>
      <c r="Q8" s="114"/>
      <c r="R8" s="114"/>
      <c r="S8" s="115"/>
    </row>
    <row r="9" spans="1:20" ht="15.75" thickBot="1" x14ac:dyDescent="0.3">
      <c r="A9" s="32" t="s">
        <v>22</v>
      </c>
      <c r="B9" s="33" t="s">
        <v>9</v>
      </c>
      <c r="C9" s="33" t="s">
        <v>7</v>
      </c>
      <c r="D9" s="34" t="s">
        <v>23</v>
      </c>
      <c r="E9" s="31"/>
      <c r="F9" s="32" t="s">
        <v>22</v>
      </c>
      <c r="G9" s="33" t="s">
        <v>9</v>
      </c>
      <c r="H9" s="33" t="s">
        <v>7</v>
      </c>
      <c r="I9" s="34" t="s">
        <v>23</v>
      </c>
      <c r="J9" s="31"/>
      <c r="K9" s="32" t="s">
        <v>22</v>
      </c>
      <c r="L9" s="33" t="s">
        <v>9</v>
      </c>
      <c r="M9" s="33" t="s">
        <v>7</v>
      </c>
      <c r="N9" s="34" t="s">
        <v>23</v>
      </c>
      <c r="O9" s="31"/>
      <c r="P9" s="35" t="s">
        <v>22</v>
      </c>
      <c r="Q9" s="36" t="s">
        <v>9</v>
      </c>
      <c r="R9" s="36" t="s">
        <v>7</v>
      </c>
      <c r="S9" s="37" t="s">
        <v>23</v>
      </c>
    </row>
    <row r="10" spans="1:20" x14ac:dyDescent="0.25">
      <c r="A10" s="38">
        <v>15</v>
      </c>
      <c r="B10" s="39">
        <f>$J$3/$J$1</f>
        <v>30.326086956521738</v>
      </c>
      <c r="C10" s="40">
        <v>823261</v>
      </c>
      <c r="D10" s="41">
        <f>C10/B10</f>
        <v>27146.957706093192</v>
      </c>
      <c r="E10">
        <v>1</v>
      </c>
      <c r="F10" s="86">
        <v>9</v>
      </c>
      <c r="G10" s="68">
        <f>$J$3/$J$2</f>
        <v>33.41317365269461</v>
      </c>
      <c r="H10" s="87">
        <v>839159</v>
      </c>
      <c r="I10" s="69">
        <f>H10/G10</f>
        <v>25114.615232974909</v>
      </c>
      <c r="K10" s="38">
        <v>99</v>
      </c>
      <c r="L10" s="39">
        <f>$J$3/$J$1</f>
        <v>30.326086956521738</v>
      </c>
      <c r="M10" s="40">
        <v>891762</v>
      </c>
      <c r="N10" s="41">
        <f>M10/L10</f>
        <v>29405.772043010755</v>
      </c>
      <c r="O10">
        <v>1</v>
      </c>
      <c r="P10" s="86">
        <v>31</v>
      </c>
      <c r="Q10" s="68">
        <f>$J$3/$J$2</f>
        <v>33.41317365269461</v>
      </c>
      <c r="R10" s="87">
        <v>828146</v>
      </c>
      <c r="S10" s="69">
        <f>R10/Q10</f>
        <v>24785.014695340502</v>
      </c>
    </row>
    <row r="11" spans="1:20" x14ac:dyDescent="0.25">
      <c r="A11" s="93">
        <v>4</v>
      </c>
      <c r="B11" s="90">
        <f t="shared" ref="B11:B54" si="0">$J$3/$J$1</f>
        <v>30.326086956521738</v>
      </c>
      <c r="C11" s="94">
        <v>748702</v>
      </c>
      <c r="D11" s="92">
        <f t="shared" ref="D11:D54" si="1">C11/B11</f>
        <v>24688.381362007171</v>
      </c>
      <c r="E11">
        <v>0.5</v>
      </c>
      <c r="F11" s="58">
        <v>1</v>
      </c>
      <c r="G11" s="68">
        <f t="shared" ref="G11:G54" si="2">$J$3/$J$2</f>
        <v>33.41317365269461</v>
      </c>
      <c r="H11" s="54">
        <v>816679</v>
      </c>
      <c r="I11" s="69">
        <f t="shared" ref="I11:I54" si="3">H11/G11</f>
        <v>24441.826702508963</v>
      </c>
      <c r="K11" s="58">
        <v>22</v>
      </c>
      <c r="L11" s="68">
        <f t="shared" ref="L11:L64" si="4">$J$3/$J$1</f>
        <v>30.326086956521738</v>
      </c>
      <c r="M11" s="54">
        <v>787867</v>
      </c>
      <c r="N11" s="69">
        <f t="shared" ref="N11:N64" si="5">M11/L11</f>
        <v>25979.843727598567</v>
      </c>
      <c r="P11" s="58">
        <v>95</v>
      </c>
      <c r="Q11" s="68">
        <f t="shared" ref="Q11:Q64" si="6">$J$3/$J$2</f>
        <v>33.41317365269461</v>
      </c>
      <c r="R11" s="54">
        <v>778683</v>
      </c>
      <c r="S11" s="69">
        <f t="shared" ref="S11:S64" si="7">R11/Q11</f>
        <v>23304.670430107526</v>
      </c>
    </row>
    <row r="12" spans="1:20" x14ac:dyDescent="0.25">
      <c r="A12" s="58">
        <v>75</v>
      </c>
      <c r="B12" s="68">
        <f t="shared" si="0"/>
        <v>30.326086956521738</v>
      </c>
      <c r="C12" s="54">
        <v>700923</v>
      </c>
      <c r="D12" s="69">
        <f t="shared" si="1"/>
        <v>23112.873118279571</v>
      </c>
      <c r="F12" s="58">
        <v>3</v>
      </c>
      <c r="G12" s="68">
        <f t="shared" si="2"/>
        <v>33.41317365269461</v>
      </c>
      <c r="H12" s="54">
        <v>637399</v>
      </c>
      <c r="I12" s="69">
        <f t="shared" si="3"/>
        <v>19076.278315412186</v>
      </c>
      <c r="K12" s="58">
        <v>83</v>
      </c>
      <c r="L12" s="68">
        <f t="shared" si="4"/>
        <v>30.326086956521738</v>
      </c>
      <c r="M12" s="54">
        <v>776669</v>
      </c>
      <c r="N12" s="69">
        <f t="shared" si="5"/>
        <v>25610.590681003585</v>
      </c>
      <c r="P12" s="58">
        <v>32</v>
      </c>
      <c r="Q12" s="68">
        <f t="shared" si="6"/>
        <v>33.41317365269461</v>
      </c>
      <c r="R12" s="54">
        <v>742165</v>
      </c>
      <c r="S12" s="69">
        <f t="shared" si="7"/>
        <v>22211.748207885306</v>
      </c>
    </row>
    <row r="13" spans="1:20" x14ac:dyDescent="0.25">
      <c r="A13" s="58">
        <v>61</v>
      </c>
      <c r="B13" s="68">
        <f t="shared" si="0"/>
        <v>30.326086956521738</v>
      </c>
      <c r="C13" s="54">
        <v>594344</v>
      </c>
      <c r="D13" s="69">
        <f t="shared" si="1"/>
        <v>19598.440143369175</v>
      </c>
      <c r="F13" s="58">
        <v>89</v>
      </c>
      <c r="G13" s="68">
        <f t="shared" si="2"/>
        <v>33.41317365269461</v>
      </c>
      <c r="H13" s="54">
        <v>626952</v>
      </c>
      <c r="I13" s="69">
        <f t="shared" si="3"/>
        <v>18763.617204301077</v>
      </c>
      <c r="K13" s="58">
        <v>57</v>
      </c>
      <c r="L13" s="68">
        <f t="shared" si="4"/>
        <v>30.326086956521738</v>
      </c>
      <c r="M13" s="54">
        <v>764937</v>
      </c>
      <c r="N13" s="69">
        <f t="shared" si="5"/>
        <v>25223.729032258067</v>
      </c>
      <c r="P13" s="58">
        <v>86</v>
      </c>
      <c r="Q13" s="68">
        <f t="shared" si="6"/>
        <v>33.41317365269461</v>
      </c>
      <c r="R13" s="54">
        <v>708838</v>
      </c>
      <c r="S13" s="69">
        <f t="shared" si="7"/>
        <v>21214.327240143371</v>
      </c>
    </row>
    <row r="14" spans="1:20" x14ac:dyDescent="0.25">
      <c r="A14" s="58">
        <v>2</v>
      </c>
      <c r="B14" s="68">
        <f t="shared" si="0"/>
        <v>30.326086956521738</v>
      </c>
      <c r="C14" s="54">
        <v>573963</v>
      </c>
      <c r="D14" s="69">
        <f t="shared" si="1"/>
        <v>18926.378494623656</v>
      </c>
      <c r="F14" s="58">
        <v>74</v>
      </c>
      <c r="G14" s="68">
        <f t="shared" si="2"/>
        <v>33.41317365269461</v>
      </c>
      <c r="H14" s="54">
        <v>528188</v>
      </c>
      <c r="I14" s="69">
        <f t="shared" si="3"/>
        <v>15807.7770609319</v>
      </c>
      <c r="K14" s="58">
        <v>33</v>
      </c>
      <c r="L14" s="68">
        <f t="shared" si="4"/>
        <v>30.326086956521738</v>
      </c>
      <c r="M14" s="54">
        <v>739492</v>
      </c>
      <c r="N14" s="69">
        <f t="shared" si="5"/>
        <v>24384.682437275987</v>
      </c>
      <c r="P14" s="58">
        <v>44</v>
      </c>
      <c r="Q14" s="68">
        <f t="shared" si="6"/>
        <v>33.41317365269461</v>
      </c>
      <c r="R14" s="54">
        <v>644475</v>
      </c>
      <c r="S14" s="69">
        <f t="shared" si="7"/>
        <v>19288.051075268817</v>
      </c>
    </row>
    <row r="15" spans="1:20" x14ac:dyDescent="0.25">
      <c r="A15" s="58">
        <v>66</v>
      </c>
      <c r="B15" s="68">
        <f t="shared" si="0"/>
        <v>30.326086956521738</v>
      </c>
      <c r="C15" s="54">
        <v>543888</v>
      </c>
      <c r="D15" s="69">
        <f t="shared" si="1"/>
        <v>17934.65806451613</v>
      </c>
      <c r="F15" s="58">
        <v>7</v>
      </c>
      <c r="G15" s="68">
        <f t="shared" si="2"/>
        <v>33.41317365269461</v>
      </c>
      <c r="H15" s="54">
        <v>517706</v>
      </c>
      <c r="I15" s="69">
        <f t="shared" si="3"/>
        <v>15494.068458781363</v>
      </c>
      <c r="K15" s="58">
        <v>34</v>
      </c>
      <c r="L15" s="68">
        <f t="shared" si="4"/>
        <v>30.326086956521738</v>
      </c>
      <c r="M15" s="54">
        <v>706466</v>
      </c>
      <c r="N15" s="69">
        <f t="shared" si="5"/>
        <v>23295.653046594984</v>
      </c>
      <c r="P15" s="58">
        <v>43</v>
      </c>
      <c r="Q15" s="68">
        <f t="shared" si="6"/>
        <v>33.41317365269461</v>
      </c>
      <c r="R15" s="54">
        <v>600711</v>
      </c>
      <c r="S15" s="69">
        <f t="shared" si="7"/>
        <v>17978.268279569893</v>
      </c>
    </row>
    <row r="16" spans="1:20" x14ac:dyDescent="0.25">
      <c r="A16" s="58">
        <v>9</v>
      </c>
      <c r="B16" s="68">
        <f t="shared" si="0"/>
        <v>30.326086956521738</v>
      </c>
      <c r="C16" s="54">
        <v>458407</v>
      </c>
      <c r="D16" s="69">
        <f t="shared" si="1"/>
        <v>15115.929749103943</v>
      </c>
      <c r="F16" s="58">
        <v>16</v>
      </c>
      <c r="G16" s="68">
        <f t="shared" si="2"/>
        <v>33.41317365269461</v>
      </c>
      <c r="H16" s="54">
        <v>471825</v>
      </c>
      <c r="I16" s="69">
        <f t="shared" si="3"/>
        <v>14120.927419354839</v>
      </c>
      <c r="K16" s="58">
        <v>54</v>
      </c>
      <c r="L16" s="68">
        <f t="shared" si="4"/>
        <v>30.326086956521738</v>
      </c>
      <c r="M16" s="54">
        <v>704680</v>
      </c>
      <c r="N16" s="69">
        <f t="shared" si="5"/>
        <v>23236.759856630826</v>
      </c>
      <c r="P16" s="58">
        <v>54</v>
      </c>
      <c r="Q16" s="68">
        <f t="shared" si="6"/>
        <v>33.41317365269461</v>
      </c>
      <c r="R16" s="54">
        <v>600526</v>
      </c>
      <c r="S16" s="69">
        <f t="shared" si="7"/>
        <v>17972.73154121864</v>
      </c>
    </row>
    <row r="17" spans="1:20" x14ac:dyDescent="0.25">
      <c r="A17" s="58">
        <v>6</v>
      </c>
      <c r="B17" s="68">
        <f t="shared" si="0"/>
        <v>30.326086956521738</v>
      </c>
      <c r="C17" s="54">
        <v>413342</v>
      </c>
      <c r="D17" s="69">
        <f t="shared" si="1"/>
        <v>13629.915412186379</v>
      </c>
      <c r="F17" s="58">
        <v>20</v>
      </c>
      <c r="G17" s="68">
        <f t="shared" si="2"/>
        <v>33.41317365269461</v>
      </c>
      <c r="H17" s="54">
        <v>465526</v>
      </c>
      <c r="I17" s="69">
        <f t="shared" si="3"/>
        <v>13932.408960573477</v>
      </c>
      <c r="K17" s="58">
        <v>46</v>
      </c>
      <c r="L17" s="68">
        <f t="shared" si="4"/>
        <v>30.326086956521738</v>
      </c>
      <c r="M17" s="54">
        <v>647685</v>
      </c>
      <c r="N17" s="69">
        <f t="shared" si="5"/>
        <v>21357.354838709678</v>
      </c>
      <c r="P17" s="58">
        <v>33</v>
      </c>
      <c r="Q17" s="68">
        <f t="shared" si="6"/>
        <v>33.41317365269461</v>
      </c>
      <c r="R17" s="54">
        <v>533105</v>
      </c>
      <c r="S17" s="69">
        <f t="shared" si="7"/>
        <v>15954.934587813621</v>
      </c>
    </row>
    <row r="18" spans="1:20" x14ac:dyDescent="0.25">
      <c r="A18" s="58">
        <v>90</v>
      </c>
      <c r="B18" s="68">
        <f t="shared" si="0"/>
        <v>30.326086956521738</v>
      </c>
      <c r="C18" s="54">
        <v>390167</v>
      </c>
      <c r="D18" s="69">
        <f t="shared" si="1"/>
        <v>12865.721863799283</v>
      </c>
      <c r="F18" s="58">
        <v>71</v>
      </c>
      <c r="G18" s="68">
        <f t="shared" si="2"/>
        <v>33.41317365269461</v>
      </c>
      <c r="H18" s="54">
        <v>459240</v>
      </c>
      <c r="I18" s="69">
        <f t="shared" si="3"/>
        <v>13744.279569892473</v>
      </c>
      <c r="K18" s="58">
        <v>35</v>
      </c>
      <c r="L18" s="68">
        <f t="shared" si="4"/>
        <v>30.326086956521738</v>
      </c>
      <c r="M18" s="54">
        <v>520964</v>
      </c>
      <c r="N18" s="69">
        <f t="shared" si="5"/>
        <v>17178.741218637992</v>
      </c>
      <c r="P18" s="58">
        <v>29</v>
      </c>
      <c r="Q18" s="68">
        <f t="shared" si="6"/>
        <v>33.41317365269461</v>
      </c>
      <c r="R18" s="54">
        <v>466819</v>
      </c>
      <c r="S18" s="69">
        <f t="shared" si="7"/>
        <v>13971.106272401434</v>
      </c>
    </row>
    <row r="19" spans="1:20" x14ac:dyDescent="0.25">
      <c r="A19" s="58">
        <v>10</v>
      </c>
      <c r="B19" s="68">
        <f t="shared" si="0"/>
        <v>30.326086956521738</v>
      </c>
      <c r="C19" s="54">
        <v>374487</v>
      </c>
      <c r="D19" s="69">
        <f t="shared" si="1"/>
        <v>12348.675268817206</v>
      </c>
      <c r="F19" s="58">
        <v>73</v>
      </c>
      <c r="G19" s="68">
        <f t="shared" si="2"/>
        <v>33.41317365269461</v>
      </c>
      <c r="H19" s="54">
        <v>435675</v>
      </c>
      <c r="I19" s="69">
        <f t="shared" si="3"/>
        <v>13039.018817204302</v>
      </c>
      <c r="K19" s="58">
        <v>28</v>
      </c>
      <c r="L19" s="68">
        <f t="shared" si="4"/>
        <v>30.326086956521738</v>
      </c>
      <c r="M19" s="54">
        <v>485282</v>
      </c>
      <c r="N19" s="69">
        <f t="shared" si="5"/>
        <v>16002.130465949822</v>
      </c>
      <c r="P19" s="58">
        <v>39</v>
      </c>
      <c r="Q19" s="68">
        <f t="shared" si="6"/>
        <v>33.41317365269461</v>
      </c>
      <c r="R19" s="54">
        <v>443533</v>
      </c>
      <c r="S19" s="69">
        <f t="shared" si="7"/>
        <v>13274.195519713261</v>
      </c>
    </row>
    <row r="20" spans="1:20" x14ac:dyDescent="0.25">
      <c r="A20" s="58">
        <v>72</v>
      </c>
      <c r="B20" s="68">
        <f t="shared" si="0"/>
        <v>30.326086956521738</v>
      </c>
      <c r="C20" s="54">
        <v>339217</v>
      </c>
      <c r="D20" s="69">
        <f t="shared" si="1"/>
        <v>11185.65017921147</v>
      </c>
      <c r="F20" s="99">
        <v>4</v>
      </c>
      <c r="G20" s="100">
        <f t="shared" si="2"/>
        <v>33.41317365269461</v>
      </c>
      <c r="H20" s="101">
        <v>435251</v>
      </c>
      <c r="I20" s="102">
        <f t="shared" si="3"/>
        <v>13026.329211469534</v>
      </c>
      <c r="K20" s="58">
        <v>25</v>
      </c>
      <c r="L20" s="68">
        <f t="shared" si="4"/>
        <v>30.326086956521738</v>
      </c>
      <c r="M20" s="54">
        <v>428682</v>
      </c>
      <c r="N20" s="69">
        <f t="shared" si="5"/>
        <v>14135.750537634409</v>
      </c>
      <c r="P20" s="58">
        <v>85</v>
      </c>
      <c r="Q20" s="68">
        <f t="shared" si="6"/>
        <v>33.41317365269461</v>
      </c>
      <c r="R20" s="54">
        <v>400656</v>
      </c>
      <c r="S20" s="69">
        <f t="shared" si="7"/>
        <v>11990.959139784947</v>
      </c>
    </row>
    <row r="21" spans="1:20" x14ac:dyDescent="0.25">
      <c r="A21" s="58">
        <v>63</v>
      </c>
      <c r="B21" s="68">
        <f t="shared" si="0"/>
        <v>30.326086956521738</v>
      </c>
      <c r="C21" s="54">
        <v>148379</v>
      </c>
      <c r="D21" s="69">
        <f t="shared" si="1"/>
        <v>4892.7842293906815</v>
      </c>
      <c r="F21" s="58">
        <v>58</v>
      </c>
      <c r="G21" s="68">
        <f t="shared" si="2"/>
        <v>33.41317365269461</v>
      </c>
      <c r="H21" s="54">
        <v>425212</v>
      </c>
      <c r="I21" s="69">
        <f t="shared" si="3"/>
        <v>12725.878853046595</v>
      </c>
      <c r="K21" s="58">
        <v>53</v>
      </c>
      <c r="L21" s="68">
        <f t="shared" si="4"/>
        <v>30.326086956521738</v>
      </c>
      <c r="M21" s="54">
        <v>427876</v>
      </c>
      <c r="N21" s="69">
        <f t="shared" si="5"/>
        <v>14109.17275985663</v>
      </c>
      <c r="P21" s="58">
        <v>51</v>
      </c>
      <c r="Q21" s="68">
        <f t="shared" si="6"/>
        <v>33.41317365269461</v>
      </c>
      <c r="R21" s="54">
        <v>295735</v>
      </c>
      <c r="S21" s="69">
        <f t="shared" si="7"/>
        <v>8850.8503584229402</v>
      </c>
    </row>
    <row r="22" spans="1:20" x14ac:dyDescent="0.25">
      <c r="A22" s="58">
        <v>5</v>
      </c>
      <c r="B22" s="68">
        <f t="shared" si="0"/>
        <v>30.326086956521738</v>
      </c>
      <c r="C22" s="54">
        <v>135603</v>
      </c>
      <c r="D22" s="69">
        <f t="shared" si="1"/>
        <v>4471.4967741935488</v>
      </c>
      <c r="F22" s="58">
        <v>69</v>
      </c>
      <c r="G22" s="68">
        <f t="shared" si="2"/>
        <v>33.41317365269461</v>
      </c>
      <c r="H22" s="54">
        <v>301059</v>
      </c>
      <c r="I22" s="69">
        <f t="shared" si="3"/>
        <v>9010.188709677419</v>
      </c>
      <c r="K22" s="58">
        <v>30</v>
      </c>
      <c r="L22" s="68">
        <f t="shared" si="4"/>
        <v>30.326086956521738</v>
      </c>
      <c r="M22" s="54">
        <v>412457</v>
      </c>
      <c r="N22" s="69">
        <f t="shared" si="5"/>
        <v>13600.732616487456</v>
      </c>
      <c r="P22" s="58">
        <v>84</v>
      </c>
      <c r="Q22" s="68">
        <f t="shared" si="6"/>
        <v>33.41317365269461</v>
      </c>
      <c r="R22" s="54">
        <v>277116</v>
      </c>
      <c r="S22" s="69">
        <f t="shared" si="7"/>
        <v>8293.6150537634403</v>
      </c>
    </row>
    <row r="23" spans="1:20" x14ac:dyDescent="0.25">
      <c r="A23" s="58">
        <v>89</v>
      </c>
      <c r="B23" s="68">
        <f t="shared" si="0"/>
        <v>30.326086956521738</v>
      </c>
      <c r="C23" s="54">
        <v>43767</v>
      </c>
      <c r="D23" s="69">
        <f t="shared" si="1"/>
        <v>1443.2129032258065</v>
      </c>
      <c r="F23" s="58">
        <v>91</v>
      </c>
      <c r="G23" s="68">
        <f t="shared" si="2"/>
        <v>33.41317365269461</v>
      </c>
      <c r="H23" s="54">
        <v>248437</v>
      </c>
      <c r="I23" s="69">
        <f t="shared" si="3"/>
        <v>7435.3008960573479</v>
      </c>
      <c r="K23" s="58">
        <v>45</v>
      </c>
      <c r="L23" s="68">
        <f t="shared" si="4"/>
        <v>30.326086956521738</v>
      </c>
      <c r="M23" s="54">
        <v>411553</v>
      </c>
      <c r="N23" s="69">
        <f t="shared" si="5"/>
        <v>13570.923297491039</v>
      </c>
      <c r="P23" s="58">
        <v>100</v>
      </c>
      <c r="Q23" s="68">
        <f t="shared" si="6"/>
        <v>33.41317365269461</v>
      </c>
      <c r="R23" s="54">
        <v>196154</v>
      </c>
      <c r="S23" s="69">
        <f t="shared" si="7"/>
        <v>5870.5587813620077</v>
      </c>
    </row>
    <row r="24" spans="1:20" x14ac:dyDescent="0.25">
      <c r="A24" s="58">
        <v>8</v>
      </c>
      <c r="B24" s="68">
        <f t="shared" si="0"/>
        <v>30.326086956521738</v>
      </c>
      <c r="C24" s="54">
        <v>-31569</v>
      </c>
      <c r="D24" s="69">
        <f t="shared" si="1"/>
        <v>-1040.9849462365592</v>
      </c>
      <c r="F24" s="58">
        <v>75</v>
      </c>
      <c r="G24" s="68">
        <f t="shared" si="2"/>
        <v>33.41317365269461</v>
      </c>
      <c r="H24" s="54">
        <v>241104</v>
      </c>
      <c r="I24" s="69">
        <f t="shared" si="3"/>
        <v>7215.8365591397851</v>
      </c>
      <c r="K24" s="58">
        <v>43</v>
      </c>
      <c r="L24" s="68">
        <f t="shared" si="4"/>
        <v>30.326086956521738</v>
      </c>
      <c r="M24" s="54">
        <v>287718</v>
      </c>
      <c r="N24" s="69">
        <f t="shared" si="5"/>
        <v>9487.4752688172048</v>
      </c>
      <c r="P24" s="58">
        <v>56</v>
      </c>
      <c r="Q24" s="68">
        <f t="shared" si="6"/>
        <v>33.41317365269461</v>
      </c>
      <c r="R24" s="54">
        <v>175558</v>
      </c>
      <c r="S24" s="69">
        <f t="shared" si="7"/>
        <v>5254.1551971326162</v>
      </c>
    </row>
    <row r="25" spans="1:20" x14ac:dyDescent="0.25">
      <c r="A25" s="58">
        <v>62</v>
      </c>
      <c r="B25" s="68">
        <f t="shared" si="0"/>
        <v>30.326086956521738</v>
      </c>
      <c r="C25" s="54">
        <v>-50310</v>
      </c>
      <c r="D25" s="69">
        <f t="shared" si="1"/>
        <v>-1658.9677419354839</v>
      </c>
      <c r="F25" s="58">
        <v>21</v>
      </c>
      <c r="G25" s="68">
        <f t="shared" si="2"/>
        <v>33.41317365269461</v>
      </c>
      <c r="H25" s="54">
        <v>182068</v>
      </c>
      <c r="I25" s="69">
        <f t="shared" si="3"/>
        <v>5448.9885304659501</v>
      </c>
      <c r="K25" s="58">
        <v>47</v>
      </c>
      <c r="L25" s="68">
        <f t="shared" si="4"/>
        <v>30.326086956521738</v>
      </c>
      <c r="M25" s="54">
        <v>244892</v>
      </c>
      <c r="N25" s="69">
        <f t="shared" si="5"/>
        <v>8075.2917562724015</v>
      </c>
      <c r="P25" s="58">
        <v>24</v>
      </c>
      <c r="Q25" s="68">
        <f t="shared" si="6"/>
        <v>33.41317365269461</v>
      </c>
      <c r="R25" s="54">
        <v>71007</v>
      </c>
      <c r="S25" s="69">
        <f t="shared" si="7"/>
        <v>2125.1198924731184</v>
      </c>
    </row>
    <row r="26" spans="1:20" x14ac:dyDescent="0.25">
      <c r="A26" s="58">
        <v>20</v>
      </c>
      <c r="B26" s="68">
        <f t="shared" si="0"/>
        <v>30.326086956521738</v>
      </c>
      <c r="C26" s="54">
        <v>-55320</v>
      </c>
      <c r="D26" s="69">
        <f t="shared" si="1"/>
        <v>-1824.1720430107528</v>
      </c>
      <c r="F26" s="58">
        <v>59</v>
      </c>
      <c r="G26" s="68">
        <f t="shared" si="2"/>
        <v>33.41317365269461</v>
      </c>
      <c r="H26" s="54">
        <v>167225</v>
      </c>
      <c r="I26" s="69">
        <f t="shared" si="3"/>
        <v>5004.7625448028675</v>
      </c>
      <c r="K26" s="58">
        <v>27</v>
      </c>
      <c r="L26" s="68">
        <f t="shared" si="4"/>
        <v>30.326086956521738</v>
      </c>
      <c r="M26" s="54">
        <v>217246</v>
      </c>
      <c r="N26" s="69">
        <f t="shared" si="5"/>
        <v>7163.6673835125448</v>
      </c>
      <c r="P26" s="58">
        <v>94</v>
      </c>
      <c r="Q26" s="68">
        <f t="shared" si="6"/>
        <v>33.41317365269461</v>
      </c>
      <c r="R26" s="54">
        <v>48569</v>
      </c>
      <c r="S26" s="69">
        <f t="shared" si="7"/>
        <v>1453.5883512544804</v>
      </c>
    </row>
    <row r="27" spans="1:20" x14ac:dyDescent="0.25">
      <c r="A27" s="58">
        <v>14</v>
      </c>
      <c r="B27" s="68">
        <f t="shared" si="0"/>
        <v>30.326086956521738</v>
      </c>
      <c r="C27" s="54">
        <v>-99929</v>
      </c>
      <c r="D27" s="69">
        <f t="shared" si="1"/>
        <v>-3295.1498207885306</v>
      </c>
      <c r="F27" s="58">
        <v>63</v>
      </c>
      <c r="G27" s="68">
        <f t="shared" si="2"/>
        <v>33.41317365269461</v>
      </c>
      <c r="H27" s="54">
        <v>-59023</v>
      </c>
      <c r="I27" s="69">
        <f t="shared" si="3"/>
        <v>-1766.4589605734768</v>
      </c>
      <c r="K27" s="58">
        <v>98</v>
      </c>
      <c r="L27" s="68">
        <f t="shared" si="4"/>
        <v>30.326086956521738</v>
      </c>
      <c r="M27" s="54">
        <v>186371</v>
      </c>
      <c r="N27" s="69">
        <f t="shared" si="5"/>
        <v>6145.5670250896055</v>
      </c>
      <c r="P27" s="58">
        <v>98</v>
      </c>
      <c r="Q27" s="68">
        <f t="shared" si="6"/>
        <v>33.41317365269461</v>
      </c>
      <c r="R27" s="54">
        <v>42432</v>
      </c>
      <c r="S27" s="69">
        <f t="shared" si="7"/>
        <v>1269.9182795698925</v>
      </c>
    </row>
    <row r="28" spans="1:20" x14ac:dyDescent="0.25">
      <c r="A28" s="58">
        <v>59</v>
      </c>
      <c r="B28" s="68">
        <f t="shared" si="0"/>
        <v>30.326086956521738</v>
      </c>
      <c r="C28" s="54">
        <v>-120499</v>
      </c>
      <c r="D28" s="69">
        <f t="shared" si="1"/>
        <v>-3973.4437275985665</v>
      </c>
      <c r="F28" s="58">
        <v>70</v>
      </c>
      <c r="G28" s="68">
        <f t="shared" si="2"/>
        <v>33.41317365269461</v>
      </c>
      <c r="H28" s="54">
        <v>-82956</v>
      </c>
      <c r="I28" s="69">
        <f t="shared" si="3"/>
        <v>-2482.7333333333336</v>
      </c>
      <c r="K28" s="58">
        <v>82</v>
      </c>
      <c r="L28" s="68">
        <f t="shared" si="4"/>
        <v>30.326086956521738</v>
      </c>
      <c r="M28" s="54">
        <v>157735</v>
      </c>
      <c r="N28" s="69">
        <f t="shared" si="5"/>
        <v>5201.2974910394269</v>
      </c>
      <c r="P28" s="58">
        <v>79</v>
      </c>
      <c r="Q28" s="68">
        <f t="shared" si="6"/>
        <v>33.41317365269461</v>
      </c>
      <c r="R28" s="54">
        <v>-17472</v>
      </c>
      <c r="S28" s="69">
        <f t="shared" si="7"/>
        <v>-522.9075268817204</v>
      </c>
    </row>
    <row r="29" spans="1:20" x14ac:dyDescent="0.25">
      <c r="A29" s="58">
        <v>11</v>
      </c>
      <c r="B29" s="68">
        <f t="shared" si="0"/>
        <v>30.326086956521738</v>
      </c>
      <c r="C29" s="54">
        <v>-150180</v>
      </c>
      <c r="D29" s="69">
        <f t="shared" si="1"/>
        <v>-4952.1720430107525</v>
      </c>
      <c r="F29" s="58">
        <v>64</v>
      </c>
      <c r="G29" s="68">
        <f t="shared" si="2"/>
        <v>33.41317365269461</v>
      </c>
      <c r="H29" s="54">
        <v>-163863</v>
      </c>
      <c r="I29" s="69">
        <f t="shared" si="3"/>
        <v>-4904.1435483870973</v>
      </c>
      <c r="K29" s="58">
        <v>39</v>
      </c>
      <c r="L29" s="68">
        <f t="shared" si="4"/>
        <v>30.326086956521738</v>
      </c>
      <c r="M29" s="54">
        <v>75371</v>
      </c>
      <c r="N29" s="69">
        <f t="shared" si="5"/>
        <v>2485.3519713261649</v>
      </c>
      <c r="P29" s="58">
        <v>30</v>
      </c>
      <c r="Q29" s="68">
        <f t="shared" si="6"/>
        <v>33.41317365269461</v>
      </c>
      <c r="R29" s="54">
        <v>-18899</v>
      </c>
      <c r="S29" s="69">
        <f t="shared" si="7"/>
        <v>-565.61523297491044</v>
      </c>
    </row>
    <row r="30" spans="1:20" x14ac:dyDescent="0.25">
      <c r="A30" s="58">
        <v>19</v>
      </c>
      <c r="B30" s="68">
        <f t="shared" si="0"/>
        <v>30.326086956521738</v>
      </c>
      <c r="C30" s="54">
        <v>-212225</v>
      </c>
      <c r="D30" s="69">
        <f t="shared" si="1"/>
        <v>-6998.1003584229393</v>
      </c>
      <c r="F30" s="58">
        <v>8</v>
      </c>
      <c r="G30" s="68">
        <f t="shared" si="2"/>
        <v>33.41317365269461</v>
      </c>
      <c r="H30" s="54">
        <v>-187009</v>
      </c>
      <c r="I30" s="69">
        <f t="shared" si="3"/>
        <v>-5596.8643369175625</v>
      </c>
      <c r="K30" s="58">
        <v>79</v>
      </c>
      <c r="L30" s="68">
        <f t="shared" si="4"/>
        <v>30.326086956521738</v>
      </c>
      <c r="M30" s="54">
        <v>42924</v>
      </c>
      <c r="N30" s="69">
        <f t="shared" si="5"/>
        <v>1415.4150537634409</v>
      </c>
      <c r="P30" s="95">
        <v>99</v>
      </c>
      <c r="Q30" s="96">
        <f t="shared" si="6"/>
        <v>33.41317365269461</v>
      </c>
      <c r="R30" s="97">
        <v>-53380</v>
      </c>
      <c r="S30" s="98">
        <f t="shared" si="7"/>
        <v>-1597.573476702509</v>
      </c>
      <c r="T30">
        <v>0</v>
      </c>
    </row>
    <row r="31" spans="1:20" x14ac:dyDescent="0.25">
      <c r="A31" s="58">
        <v>7</v>
      </c>
      <c r="B31" s="68">
        <f t="shared" si="0"/>
        <v>30.326086956521738</v>
      </c>
      <c r="C31" s="54">
        <v>-425925</v>
      </c>
      <c r="D31" s="69">
        <f t="shared" si="1"/>
        <v>-14044.83870967742</v>
      </c>
      <c r="F31" s="58">
        <v>61</v>
      </c>
      <c r="G31" s="68">
        <f t="shared" si="2"/>
        <v>33.41317365269461</v>
      </c>
      <c r="H31" s="54">
        <v>-223907</v>
      </c>
      <c r="I31" s="69">
        <f t="shared" si="3"/>
        <v>-6701.159318996416</v>
      </c>
      <c r="K31" s="58">
        <v>49</v>
      </c>
      <c r="L31" s="68">
        <f t="shared" si="4"/>
        <v>30.326086956521738</v>
      </c>
      <c r="M31" s="54">
        <v>-35135</v>
      </c>
      <c r="N31" s="69">
        <f t="shared" si="5"/>
        <v>-1158.573476702509</v>
      </c>
      <c r="P31" s="58">
        <v>76</v>
      </c>
      <c r="Q31" s="68">
        <f t="shared" si="6"/>
        <v>33.41317365269461</v>
      </c>
      <c r="R31" s="54">
        <v>-134133</v>
      </c>
      <c r="S31" s="69">
        <f t="shared" si="7"/>
        <v>-4014.3747311827956</v>
      </c>
    </row>
    <row r="32" spans="1:20" x14ac:dyDescent="0.25">
      <c r="A32" s="58">
        <v>88</v>
      </c>
      <c r="B32" s="68">
        <f t="shared" si="0"/>
        <v>30.326086956521738</v>
      </c>
      <c r="C32" s="54">
        <v>-426293</v>
      </c>
      <c r="D32" s="69">
        <f t="shared" si="1"/>
        <v>-14056.973476702509</v>
      </c>
      <c r="F32" s="58">
        <v>92</v>
      </c>
      <c r="G32" s="68">
        <f t="shared" si="2"/>
        <v>33.41317365269461</v>
      </c>
      <c r="H32" s="54">
        <v>-299484</v>
      </c>
      <c r="I32" s="69">
        <f t="shared" si="3"/>
        <v>-8963.0516129032258</v>
      </c>
      <c r="K32" s="58">
        <v>86</v>
      </c>
      <c r="L32" s="68">
        <f t="shared" si="4"/>
        <v>30.326086956521738</v>
      </c>
      <c r="M32" s="54">
        <v>-36114</v>
      </c>
      <c r="N32" s="69">
        <f t="shared" si="5"/>
        <v>-1190.8559139784948</v>
      </c>
      <c r="P32" s="58">
        <v>27</v>
      </c>
      <c r="Q32" s="68">
        <f t="shared" si="6"/>
        <v>33.41317365269461</v>
      </c>
      <c r="R32" s="54">
        <v>-237585</v>
      </c>
      <c r="S32" s="69">
        <f t="shared" si="7"/>
        <v>-7110.5188172043008</v>
      </c>
    </row>
    <row r="33" spans="1:19" x14ac:dyDescent="0.25">
      <c r="A33" s="58">
        <v>1</v>
      </c>
      <c r="B33" s="68">
        <f t="shared" si="0"/>
        <v>30.326086956521738</v>
      </c>
      <c r="C33" s="54">
        <v>-436549</v>
      </c>
      <c r="D33" s="69">
        <f t="shared" si="1"/>
        <v>-14395.164157706093</v>
      </c>
      <c r="F33" s="58">
        <v>93</v>
      </c>
      <c r="G33" s="68">
        <f t="shared" si="2"/>
        <v>33.41317365269461</v>
      </c>
      <c r="H33" s="54">
        <v>-392062</v>
      </c>
      <c r="I33" s="69">
        <f t="shared" si="3"/>
        <v>-11733.755197132617</v>
      </c>
      <c r="K33" s="58">
        <v>95</v>
      </c>
      <c r="L33" s="68">
        <f t="shared" si="4"/>
        <v>30.326086956521738</v>
      </c>
      <c r="M33" s="54">
        <v>-117870</v>
      </c>
      <c r="N33" s="69">
        <f t="shared" si="5"/>
        <v>-3886.7526881720432</v>
      </c>
      <c r="P33" s="58">
        <v>49</v>
      </c>
      <c r="Q33" s="68">
        <f t="shared" si="6"/>
        <v>33.41317365269461</v>
      </c>
      <c r="R33" s="54">
        <v>-320509</v>
      </c>
      <c r="S33" s="69">
        <f t="shared" si="7"/>
        <v>-9592.2944444444438</v>
      </c>
    </row>
    <row r="34" spans="1:19" x14ac:dyDescent="0.25">
      <c r="A34" s="58">
        <v>16</v>
      </c>
      <c r="B34" s="68">
        <f t="shared" si="0"/>
        <v>30.326086956521738</v>
      </c>
      <c r="C34" s="54">
        <v>-516654</v>
      </c>
      <c r="D34" s="69">
        <f t="shared" si="1"/>
        <v>-17036.619354838709</v>
      </c>
      <c r="F34" s="58">
        <v>17</v>
      </c>
      <c r="G34" s="68">
        <f t="shared" si="2"/>
        <v>33.41317365269461</v>
      </c>
      <c r="H34" s="54">
        <v>-421127</v>
      </c>
      <c r="I34" s="69">
        <f t="shared" si="3"/>
        <v>-12603.621684587813</v>
      </c>
      <c r="K34" s="58">
        <v>42</v>
      </c>
      <c r="L34" s="68">
        <f t="shared" si="4"/>
        <v>30.326086956521738</v>
      </c>
      <c r="M34" s="54">
        <v>-137859</v>
      </c>
      <c r="N34" s="69">
        <f t="shared" si="5"/>
        <v>-4545.8881720430109</v>
      </c>
      <c r="P34" s="58">
        <v>47</v>
      </c>
      <c r="Q34" s="68">
        <f t="shared" si="6"/>
        <v>33.41317365269461</v>
      </c>
      <c r="R34" s="54">
        <v>-338573</v>
      </c>
      <c r="S34" s="69">
        <f t="shared" si="7"/>
        <v>-10132.919534050179</v>
      </c>
    </row>
    <row r="35" spans="1:19" x14ac:dyDescent="0.25">
      <c r="A35" s="58">
        <v>73</v>
      </c>
      <c r="B35" s="68">
        <f t="shared" si="0"/>
        <v>30.326086956521738</v>
      </c>
      <c r="C35" s="54">
        <v>-526062</v>
      </c>
      <c r="D35" s="69">
        <f t="shared" si="1"/>
        <v>-17346.847311827958</v>
      </c>
      <c r="F35" s="58">
        <v>5</v>
      </c>
      <c r="G35" s="68">
        <f t="shared" si="2"/>
        <v>33.41317365269461</v>
      </c>
      <c r="H35" s="54">
        <v>-473972</v>
      </c>
      <c r="I35" s="69">
        <f t="shared" si="3"/>
        <v>-14185.183512544803</v>
      </c>
      <c r="K35" s="58">
        <v>50</v>
      </c>
      <c r="L35" s="68">
        <f t="shared" si="4"/>
        <v>30.326086956521738</v>
      </c>
      <c r="M35" s="54">
        <v>-141217</v>
      </c>
      <c r="N35" s="69">
        <f t="shared" si="5"/>
        <v>-4656.6179211469534</v>
      </c>
      <c r="P35" s="58">
        <v>34</v>
      </c>
      <c r="Q35" s="68">
        <f t="shared" si="6"/>
        <v>33.41317365269461</v>
      </c>
      <c r="R35" s="54">
        <v>-343537</v>
      </c>
      <c r="S35" s="69">
        <f t="shared" si="7"/>
        <v>-10281.483691756273</v>
      </c>
    </row>
    <row r="36" spans="1:19" x14ac:dyDescent="0.25">
      <c r="A36" s="58">
        <v>69</v>
      </c>
      <c r="B36" s="68">
        <f t="shared" si="0"/>
        <v>30.326086956521738</v>
      </c>
      <c r="C36" s="54">
        <v>-582190</v>
      </c>
      <c r="D36" s="69">
        <f t="shared" si="1"/>
        <v>-19197.663082437277</v>
      </c>
      <c r="F36" s="58">
        <v>67</v>
      </c>
      <c r="G36" s="68">
        <f t="shared" si="2"/>
        <v>33.41317365269461</v>
      </c>
      <c r="H36" s="54">
        <v>-479440</v>
      </c>
      <c r="I36" s="69">
        <f t="shared" si="3"/>
        <v>-14348.831541218638</v>
      </c>
      <c r="K36" s="58">
        <v>24</v>
      </c>
      <c r="L36" s="68">
        <f t="shared" si="4"/>
        <v>30.326086956521738</v>
      </c>
      <c r="M36" s="54">
        <v>-265494</v>
      </c>
      <c r="N36" s="69">
        <f t="shared" si="5"/>
        <v>-8754.6408602150532</v>
      </c>
      <c r="P36" s="58">
        <v>26</v>
      </c>
      <c r="Q36" s="68">
        <f t="shared" si="6"/>
        <v>33.41317365269461</v>
      </c>
      <c r="R36" s="54">
        <v>-410208</v>
      </c>
      <c r="S36" s="69">
        <f t="shared" si="7"/>
        <v>-12276.834408602152</v>
      </c>
    </row>
    <row r="37" spans="1:19" x14ac:dyDescent="0.25">
      <c r="A37" s="58">
        <v>17</v>
      </c>
      <c r="B37" s="68">
        <f t="shared" si="0"/>
        <v>30.326086956521738</v>
      </c>
      <c r="C37" s="54">
        <v>-710390</v>
      </c>
      <c r="D37" s="69">
        <f t="shared" si="1"/>
        <v>-23425.046594982079</v>
      </c>
      <c r="F37" s="58">
        <v>65</v>
      </c>
      <c r="G37" s="68">
        <f t="shared" si="2"/>
        <v>33.41317365269461</v>
      </c>
      <c r="H37" s="54">
        <v>-681880</v>
      </c>
      <c r="I37" s="69">
        <f t="shared" si="3"/>
        <v>-20407.519713261649</v>
      </c>
      <c r="K37" s="58">
        <v>44</v>
      </c>
      <c r="L37" s="68">
        <f t="shared" si="4"/>
        <v>30.326086956521738</v>
      </c>
      <c r="M37" s="54">
        <v>-279807</v>
      </c>
      <c r="N37" s="69">
        <f t="shared" si="5"/>
        <v>-9226.6107526881715</v>
      </c>
      <c r="P37" s="58">
        <v>55</v>
      </c>
      <c r="Q37" s="68">
        <f t="shared" si="6"/>
        <v>33.41317365269461</v>
      </c>
      <c r="R37" s="54">
        <v>-412943</v>
      </c>
      <c r="S37" s="69">
        <f t="shared" si="7"/>
        <v>-12358.688351254481</v>
      </c>
    </row>
    <row r="38" spans="1:19" x14ac:dyDescent="0.25">
      <c r="A38" s="58">
        <v>12</v>
      </c>
      <c r="B38" s="68">
        <f t="shared" si="0"/>
        <v>30.326086956521738</v>
      </c>
      <c r="C38" s="54">
        <v>-753136</v>
      </c>
      <c r="D38" s="69">
        <f t="shared" si="1"/>
        <v>-24834.592114695341</v>
      </c>
      <c r="F38" s="95">
        <v>15</v>
      </c>
      <c r="G38" s="96">
        <f t="shared" si="2"/>
        <v>33.41317365269461</v>
      </c>
      <c r="H38" s="97">
        <v>-737370</v>
      </c>
      <c r="I38" s="98">
        <f t="shared" si="3"/>
        <v>-22068.241935483871</v>
      </c>
      <c r="J38">
        <v>0</v>
      </c>
      <c r="K38" s="58">
        <v>78</v>
      </c>
      <c r="L38" s="68">
        <f t="shared" si="4"/>
        <v>30.326086956521738</v>
      </c>
      <c r="M38" s="54">
        <v>-450754</v>
      </c>
      <c r="N38" s="69">
        <f t="shared" si="5"/>
        <v>-14863.572759856632</v>
      </c>
      <c r="P38" s="58">
        <v>22</v>
      </c>
      <c r="Q38" s="68">
        <f t="shared" si="6"/>
        <v>33.41317365269461</v>
      </c>
      <c r="R38" s="54">
        <v>-443480</v>
      </c>
      <c r="S38" s="69">
        <f t="shared" si="7"/>
        <v>-13272.609318996416</v>
      </c>
    </row>
    <row r="39" spans="1:19" x14ac:dyDescent="0.25">
      <c r="A39" s="58">
        <v>58</v>
      </c>
      <c r="B39" s="68">
        <f t="shared" si="0"/>
        <v>30.326086956521738</v>
      </c>
      <c r="C39" s="54">
        <v>-793953</v>
      </c>
      <c r="D39" s="69">
        <f t="shared" si="1"/>
        <v>-26180.529032258066</v>
      </c>
      <c r="F39" s="58">
        <v>6</v>
      </c>
      <c r="G39" s="68">
        <f t="shared" si="2"/>
        <v>33.41317365269461</v>
      </c>
      <c r="H39" s="54">
        <v>-760719</v>
      </c>
      <c r="I39" s="69">
        <f t="shared" si="3"/>
        <v>-22767.038172043012</v>
      </c>
      <c r="K39" s="58">
        <v>81</v>
      </c>
      <c r="L39" s="68">
        <f t="shared" si="4"/>
        <v>30.326086956521738</v>
      </c>
      <c r="M39" s="54">
        <v>-460974</v>
      </c>
      <c r="N39" s="69">
        <f t="shared" si="5"/>
        <v>-15200.576344086023</v>
      </c>
      <c r="P39" s="58">
        <v>97</v>
      </c>
      <c r="Q39" s="68">
        <f t="shared" si="6"/>
        <v>33.41317365269461</v>
      </c>
      <c r="R39" s="54">
        <v>-474669</v>
      </c>
      <c r="S39" s="69">
        <f t="shared" si="7"/>
        <v>-14206.043548387097</v>
      </c>
    </row>
    <row r="40" spans="1:19" x14ac:dyDescent="0.25">
      <c r="A40" s="58">
        <v>68</v>
      </c>
      <c r="B40" s="68">
        <f t="shared" si="0"/>
        <v>30.326086956521738</v>
      </c>
      <c r="C40" s="54">
        <v>-803861</v>
      </c>
      <c r="D40" s="69">
        <f t="shared" si="1"/>
        <v>-26507.244444444445</v>
      </c>
      <c r="F40" s="58">
        <v>18</v>
      </c>
      <c r="G40" s="68">
        <f t="shared" si="2"/>
        <v>33.41317365269461</v>
      </c>
      <c r="H40" s="54">
        <v>-824942</v>
      </c>
      <c r="I40" s="69">
        <f t="shared" si="3"/>
        <v>-24689.124372759856</v>
      </c>
      <c r="K40" s="58">
        <v>48</v>
      </c>
      <c r="L40" s="68">
        <f t="shared" si="4"/>
        <v>30.326086956521738</v>
      </c>
      <c r="M40" s="54">
        <v>-522318</v>
      </c>
      <c r="N40" s="69">
        <f t="shared" si="5"/>
        <v>-17223.389247311829</v>
      </c>
      <c r="P40" s="58">
        <v>57</v>
      </c>
      <c r="Q40" s="68">
        <f t="shared" si="6"/>
        <v>33.41317365269461</v>
      </c>
      <c r="R40" s="54">
        <v>-519769</v>
      </c>
      <c r="S40" s="69">
        <f t="shared" si="7"/>
        <v>-15555.810573476703</v>
      </c>
    </row>
    <row r="41" spans="1:19" x14ac:dyDescent="0.25">
      <c r="A41" s="58">
        <v>60</v>
      </c>
      <c r="B41" s="68">
        <f t="shared" si="0"/>
        <v>30.326086956521738</v>
      </c>
      <c r="C41" s="54">
        <v>-850901</v>
      </c>
      <c r="D41" s="69">
        <f t="shared" si="1"/>
        <v>-28058.384229390682</v>
      </c>
      <c r="F41" s="58">
        <v>11</v>
      </c>
      <c r="G41" s="68">
        <f t="shared" si="2"/>
        <v>33.41317365269461</v>
      </c>
      <c r="H41" s="54">
        <v>-906527</v>
      </c>
      <c r="I41" s="69">
        <f t="shared" si="3"/>
        <v>-27130.825985663083</v>
      </c>
      <c r="K41" s="58">
        <v>87</v>
      </c>
      <c r="L41" s="68">
        <f t="shared" si="4"/>
        <v>30.326086956521738</v>
      </c>
      <c r="M41" s="54">
        <v>-542332</v>
      </c>
      <c r="N41" s="69">
        <f t="shared" si="5"/>
        <v>-17883.349103942652</v>
      </c>
      <c r="P41" s="58">
        <v>35</v>
      </c>
      <c r="Q41" s="68">
        <f t="shared" si="6"/>
        <v>33.41317365269461</v>
      </c>
      <c r="R41" s="54">
        <v>-552149</v>
      </c>
      <c r="S41" s="69">
        <f t="shared" si="7"/>
        <v>-16524.889426523299</v>
      </c>
    </row>
    <row r="42" spans="1:19" x14ac:dyDescent="0.25">
      <c r="A42" s="58">
        <v>74</v>
      </c>
      <c r="B42" s="68">
        <f t="shared" si="0"/>
        <v>30.326086956521738</v>
      </c>
      <c r="C42" s="54">
        <v>-871942</v>
      </c>
      <c r="D42" s="69">
        <f t="shared" si="1"/>
        <v>-28752.209318996418</v>
      </c>
      <c r="F42" s="58">
        <v>14</v>
      </c>
      <c r="G42" s="68">
        <f t="shared" si="2"/>
        <v>33.41317365269461</v>
      </c>
      <c r="H42" s="54">
        <v>-923878</v>
      </c>
      <c r="I42" s="69">
        <f t="shared" si="3"/>
        <v>-27650.112186379931</v>
      </c>
      <c r="K42" s="58">
        <v>41</v>
      </c>
      <c r="L42" s="68">
        <f t="shared" si="4"/>
        <v>30.326086956521738</v>
      </c>
      <c r="M42" s="54">
        <v>-545075</v>
      </c>
      <c r="N42" s="69">
        <f t="shared" si="5"/>
        <v>-17973.799283154123</v>
      </c>
      <c r="P42" s="58">
        <v>81</v>
      </c>
      <c r="Q42" s="68">
        <f t="shared" si="6"/>
        <v>33.41317365269461</v>
      </c>
      <c r="R42" s="54">
        <v>-553719</v>
      </c>
      <c r="S42" s="69">
        <f t="shared" si="7"/>
        <v>-16571.876881720429</v>
      </c>
    </row>
    <row r="43" spans="1:19" x14ac:dyDescent="0.25">
      <c r="A43" s="58">
        <v>71</v>
      </c>
      <c r="B43" s="68">
        <f t="shared" si="0"/>
        <v>30.326086956521738</v>
      </c>
      <c r="C43" s="54">
        <v>-879757</v>
      </c>
      <c r="D43" s="69">
        <f t="shared" si="1"/>
        <v>-29009.908243727601</v>
      </c>
      <c r="F43" s="58">
        <v>90</v>
      </c>
      <c r="G43" s="68">
        <f t="shared" si="2"/>
        <v>33.41317365269461</v>
      </c>
      <c r="H43" s="54">
        <v>-944796</v>
      </c>
      <c r="I43" s="69">
        <f t="shared" si="3"/>
        <v>-28276.152688172042</v>
      </c>
      <c r="K43" s="58">
        <v>23</v>
      </c>
      <c r="L43" s="68">
        <f t="shared" si="4"/>
        <v>30.326086956521738</v>
      </c>
      <c r="M43" s="54">
        <v>-550483</v>
      </c>
      <c r="N43" s="69">
        <f t="shared" si="5"/>
        <v>-18152.127598566309</v>
      </c>
      <c r="P43" s="58">
        <v>25</v>
      </c>
      <c r="Q43" s="68">
        <f t="shared" si="6"/>
        <v>33.41317365269461</v>
      </c>
      <c r="R43" s="54">
        <v>-602771</v>
      </c>
      <c r="S43" s="69">
        <f t="shared" si="7"/>
        <v>-18039.920609318997</v>
      </c>
    </row>
    <row r="44" spans="1:19" x14ac:dyDescent="0.25">
      <c r="A44" s="58">
        <v>13</v>
      </c>
      <c r="B44" s="68">
        <f t="shared" si="0"/>
        <v>30.326086956521738</v>
      </c>
      <c r="C44" s="54">
        <v>-1072053</v>
      </c>
      <c r="D44" s="69">
        <f t="shared" si="1"/>
        <v>-35350.851612903229</v>
      </c>
      <c r="F44" s="58">
        <v>88</v>
      </c>
      <c r="G44" s="68">
        <f t="shared" si="2"/>
        <v>33.41317365269461</v>
      </c>
      <c r="H44" s="54">
        <v>-964689</v>
      </c>
      <c r="I44" s="69">
        <f t="shared" si="3"/>
        <v>-28871.516666666666</v>
      </c>
      <c r="K44" s="58">
        <v>55</v>
      </c>
      <c r="L44" s="68">
        <f t="shared" si="4"/>
        <v>30.326086956521738</v>
      </c>
      <c r="M44" s="54">
        <v>-592287</v>
      </c>
      <c r="N44" s="69">
        <f t="shared" si="5"/>
        <v>-19530.610752688171</v>
      </c>
      <c r="P44" s="58">
        <v>23</v>
      </c>
      <c r="Q44" s="68">
        <f t="shared" si="6"/>
        <v>33.41317365269461</v>
      </c>
      <c r="R44" s="54">
        <v>-625997</v>
      </c>
      <c r="S44" s="69">
        <f t="shared" si="7"/>
        <v>-18735.035663082439</v>
      </c>
    </row>
    <row r="45" spans="1:19" x14ac:dyDescent="0.25">
      <c r="A45" s="58">
        <v>92</v>
      </c>
      <c r="B45" s="68">
        <f t="shared" si="0"/>
        <v>30.326086956521738</v>
      </c>
      <c r="C45" s="54">
        <v>-1105120</v>
      </c>
      <c r="D45" s="69">
        <f t="shared" si="1"/>
        <v>-36441.232974910396</v>
      </c>
      <c r="F45" s="58">
        <v>10</v>
      </c>
      <c r="G45" s="68">
        <f t="shared" si="2"/>
        <v>33.41317365269461</v>
      </c>
      <c r="H45" s="54">
        <v>-1019506</v>
      </c>
      <c r="I45" s="69">
        <f t="shared" si="3"/>
        <v>-30512.097132616487</v>
      </c>
      <c r="K45" s="58">
        <v>31</v>
      </c>
      <c r="L45" s="68">
        <f t="shared" si="4"/>
        <v>30.326086956521738</v>
      </c>
      <c r="M45" s="54">
        <v>-620072</v>
      </c>
      <c r="N45" s="69">
        <f t="shared" si="5"/>
        <v>-20446.818637992834</v>
      </c>
      <c r="P45" s="58">
        <v>78</v>
      </c>
      <c r="Q45" s="68">
        <f t="shared" si="6"/>
        <v>33.41317365269461</v>
      </c>
      <c r="R45" s="54">
        <v>-732192</v>
      </c>
      <c r="S45" s="69">
        <f t="shared" si="7"/>
        <v>-21913.273118279569</v>
      </c>
    </row>
    <row r="46" spans="1:19" x14ac:dyDescent="0.25">
      <c r="A46" s="58">
        <v>21</v>
      </c>
      <c r="B46" s="68">
        <f t="shared" si="0"/>
        <v>30.326086956521738</v>
      </c>
      <c r="C46" s="54">
        <v>-1124143</v>
      </c>
      <c r="D46" s="69">
        <f t="shared" si="1"/>
        <v>-37068.514695340506</v>
      </c>
      <c r="F46" s="58">
        <v>2</v>
      </c>
      <c r="G46" s="68">
        <f t="shared" si="2"/>
        <v>33.41317365269461</v>
      </c>
      <c r="H46" s="54">
        <v>-1048073</v>
      </c>
      <c r="I46" s="69">
        <f t="shared" si="3"/>
        <v>-31367.059318996417</v>
      </c>
      <c r="K46" s="58">
        <v>40</v>
      </c>
      <c r="L46" s="68">
        <f t="shared" si="4"/>
        <v>30.326086956521738</v>
      </c>
      <c r="M46" s="54">
        <v>-658386</v>
      </c>
      <c r="N46" s="69">
        <f t="shared" si="5"/>
        <v>-21710.219354838711</v>
      </c>
      <c r="P46" s="58">
        <v>41</v>
      </c>
      <c r="Q46" s="68">
        <f t="shared" si="6"/>
        <v>33.41317365269461</v>
      </c>
      <c r="R46" s="54">
        <v>-890843</v>
      </c>
      <c r="S46" s="69">
        <f t="shared" si="7"/>
        <v>-26661.430286738352</v>
      </c>
    </row>
    <row r="47" spans="1:19" x14ac:dyDescent="0.25">
      <c r="A47" s="58">
        <v>64</v>
      </c>
      <c r="B47" s="68">
        <f t="shared" si="0"/>
        <v>30.326086956521738</v>
      </c>
      <c r="C47" s="54">
        <v>-1198677</v>
      </c>
      <c r="D47" s="69">
        <f t="shared" si="1"/>
        <v>-39526.26666666667</v>
      </c>
      <c r="F47" s="58">
        <v>12</v>
      </c>
      <c r="G47" s="68">
        <f t="shared" si="2"/>
        <v>33.41317365269461</v>
      </c>
      <c r="H47" s="54">
        <v>-1098022</v>
      </c>
      <c r="I47" s="69">
        <f t="shared" si="3"/>
        <v>-32861.948745519716</v>
      </c>
      <c r="K47" s="58">
        <v>97</v>
      </c>
      <c r="L47" s="68">
        <f t="shared" si="4"/>
        <v>30.326086956521738</v>
      </c>
      <c r="M47" s="54">
        <v>-661431</v>
      </c>
      <c r="N47" s="69">
        <f t="shared" si="5"/>
        <v>-21810.627956989247</v>
      </c>
      <c r="P47" s="58">
        <v>48</v>
      </c>
      <c r="Q47" s="68">
        <f t="shared" si="6"/>
        <v>33.41317365269461</v>
      </c>
      <c r="R47" s="54">
        <v>-914243</v>
      </c>
      <c r="S47" s="69">
        <f t="shared" si="7"/>
        <v>-27361.752867383515</v>
      </c>
    </row>
    <row r="48" spans="1:19" x14ac:dyDescent="0.25">
      <c r="A48" s="58">
        <v>3</v>
      </c>
      <c r="B48" s="68">
        <f t="shared" si="0"/>
        <v>30.326086956521738</v>
      </c>
      <c r="C48" s="54">
        <v>-1231829</v>
      </c>
      <c r="D48" s="69">
        <f t="shared" si="1"/>
        <v>-40619.450896057351</v>
      </c>
      <c r="F48" s="58">
        <v>72</v>
      </c>
      <c r="G48" s="68">
        <f t="shared" si="2"/>
        <v>33.41317365269461</v>
      </c>
      <c r="H48" s="54">
        <v>-1168137</v>
      </c>
      <c r="I48" s="69">
        <f t="shared" si="3"/>
        <v>-34960.372580645162</v>
      </c>
      <c r="K48" s="58">
        <v>56</v>
      </c>
      <c r="L48" s="68">
        <f t="shared" si="4"/>
        <v>30.326086956521738</v>
      </c>
      <c r="M48" s="54">
        <v>-736742</v>
      </c>
      <c r="N48" s="69">
        <f t="shared" si="5"/>
        <v>-24294.001433691756</v>
      </c>
      <c r="P48" s="58">
        <v>96</v>
      </c>
      <c r="Q48" s="68">
        <f t="shared" si="6"/>
        <v>33.41317365269461</v>
      </c>
      <c r="R48" s="54">
        <v>-944950</v>
      </c>
      <c r="S48" s="69">
        <f t="shared" si="7"/>
        <v>-28280.76164874552</v>
      </c>
    </row>
    <row r="49" spans="1:19" x14ac:dyDescent="0.25">
      <c r="A49" s="58">
        <v>70</v>
      </c>
      <c r="B49" s="68">
        <f t="shared" si="0"/>
        <v>30.326086956521738</v>
      </c>
      <c r="C49" s="54">
        <v>-1290356</v>
      </c>
      <c r="D49" s="69">
        <f t="shared" si="1"/>
        <v>-42549.373476702509</v>
      </c>
      <c r="F49" s="58">
        <v>62</v>
      </c>
      <c r="G49" s="68">
        <f t="shared" si="2"/>
        <v>33.41317365269461</v>
      </c>
      <c r="H49" s="54">
        <v>-1177761</v>
      </c>
      <c r="I49" s="69">
        <f t="shared" si="3"/>
        <v>-35248.402688172042</v>
      </c>
      <c r="K49" s="58">
        <v>85</v>
      </c>
      <c r="L49" s="68">
        <f t="shared" si="4"/>
        <v>30.326086956521738</v>
      </c>
      <c r="M49" s="54">
        <v>-789944</v>
      </c>
      <c r="N49" s="69">
        <f t="shared" si="5"/>
        <v>-26048.332616487456</v>
      </c>
      <c r="P49" s="58">
        <v>82</v>
      </c>
      <c r="Q49" s="68">
        <f t="shared" si="6"/>
        <v>33.41317365269461</v>
      </c>
      <c r="R49" s="54">
        <v>-954865</v>
      </c>
      <c r="S49" s="69">
        <f t="shared" si="7"/>
        <v>-28577.500896057347</v>
      </c>
    </row>
    <row r="50" spans="1:19" x14ac:dyDescent="0.25">
      <c r="A50" s="58">
        <v>65</v>
      </c>
      <c r="B50" s="68">
        <f t="shared" si="0"/>
        <v>30.326086956521738</v>
      </c>
      <c r="C50" s="54">
        <v>-1335361</v>
      </c>
      <c r="D50" s="69">
        <f t="shared" si="1"/>
        <v>-44033.409318996419</v>
      </c>
      <c r="F50" s="58">
        <v>19</v>
      </c>
      <c r="G50" s="68">
        <f t="shared" si="2"/>
        <v>33.41317365269461</v>
      </c>
      <c r="H50" s="54">
        <v>-1251057</v>
      </c>
      <c r="I50" s="69">
        <f t="shared" si="3"/>
        <v>-37442.028494623657</v>
      </c>
      <c r="K50" s="58">
        <v>26</v>
      </c>
      <c r="L50" s="68">
        <f t="shared" si="4"/>
        <v>30.326086956521738</v>
      </c>
      <c r="M50" s="54">
        <v>-946136</v>
      </c>
      <c r="N50" s="69">
        <f t="shared" si="5"/>
        <v>-31198.749820788533</v>
      </c>
      <c r="P50" s="58">
        <v>50</v>
      </c>
      <c r="Q50" s="68">
        <f t="shared" si="6"/>
        <v>33.41317365269461</v>
      </c>
      <c r="R50" s="54">
        <v>-1011749</v>
      </c>
      <c r="S50" s="69">
        <f t="shared" si="7"/>
        <v>-30279.943189964157</v>
      </c>
    </row>
    <row r="51" spans="1:19" x14ac:dyDescent="0.25">
      <c r="A51" s="58">
        <v>18</v>
      </c>
      <c r="B51" s="68">
        <f t="shared" si="0"/>
        <v>30.326086956521738</v>
      </c>
      <c r="C51" s="54">
        <v>-1388548</v>
      </c>
      <c r="D51" s="69">
        <f t="shared" si="1"/>
        <v>-45787.2458781362</v>
      </c>
      <c r="F51" s="58">
        <v>68</v>
      </c>
      <c r="G51" s="68">
        <f t="shared" si="2"/>
        <v>33.41317365269461</v>
      </c>
      <c r="H51" s="54">
        <v>-1292553</v>
      </c>
      <c r="I51" s="69">
        <f t="shared" si="3"/>
        <v>-38683.933870967739</v>
      </c>
      <c r="K51" s="58">
        <v>84</v>
      </c>
      <c r="L51" s="68">
        <f t="shared" si="4"/>
        <v>30.326086956521738</v>
      </c>
      <c r="M51" s="54">
        <v>-948146</v>
      </c>
      <c r="N51" s="69">
        <f t="shared" si="5"/>
        <v>-31265.029390681004</v>
      </c>
      <c r="P51" s="58">
        <v>40</v>
      </c>
      <c r="Q51" s="68">
        <f t="shared" si="6"/>
        <v>33.41317365269461</v>
      </c>
      <c r="R51" s="54">
        <v>-1028317</v>
      </c>
      <c r="S51" s="69">
        <f t="shared" si="7"/>
        <v>-30775.795519713261</v>
      </c>
    </row>
    <row r="52" spans="1:19" x14ac:dyDescent="0.25">
      <c r="A52" s="58">
        <v>91</v>
      </c>
      <c r="B52" s="68">
        <f t="shared" si="0"/>
        <v>30.326086956521738</v>
      </c>
      <c r="C52" s="54">
        <v>-1477388</v>
      </c>
      <c r="D52" s="69">
        <f t="shared" si="1"/>
        <v>-48716.736917562725</v>
      </c>
      <c r="F52" s="58">
        <v>60</v>
      </c>
      <c r="G52" s="68">
        <f t="shared" si="2"/>
        <v>33.41317365269461</v>
      </c>
      <c r="H52" s="54">
        <v>-1363928</v>
      </c>
      <c r="I52" s="69">
        <f t="shared" si="3"/>
        <v>-40820.067383512549</v>
      </c>
      <c r="K52" s="58">
        <v>37</v>
      </c>
      <c r="L52" s="68">
        <f t="shared" si="4"/>
        <v>30.326086956521738</v>
      </c>
      <c r="M52" s="54">
        <v>-1123636</v>
      </c>
      <c r="N52" s="69">
        <f t="shared" si="5"/>
        <v>-37051.796415770608</v>
      </c>
      <c r="P52" s="58">
        <v>45</v>
      </c>
      <c r="Q52" s="68">
        <f t="shared" si="6"/>
        <v>33.41317365269461</v>
      </c>
      <c r="R52" s="54">
        <v>-1108132</v>
      </c>
      <c r="S52" s="69">
        <f t="shared" si="7"/>
        <v>-33164.524014336916</v>
      </c>
    </row>
    <row r="53" spans="1:19" x14ac:dyDescent="0.25">
      <c r="A53" s="58">
        <v>67</v>
      </c>
      <c r="B53" s="68">
        <f t="shared" si="0"/>
        <v>30.326086956521738</v>
      </c>
      <c r="C53" s="54">
        <v>-1558535</v>
      </c>
      <c r="D53" s="69">
        <f t="shared" si="1"/>
        <v>-51392.551971326167</v>
      </c>
      <c r="F53" s="58">
        <v>66</v>
      </c>
      <c r="G53" s="68">
        <f t="shared" si="2"/>
        <v>33.41317365269461</v>
      </c>
      <c r="H53" s="54">
        <v>-1541082</v>
      </c>
      <c r="I53" s="69">
        <f t="shared" si="3"/>
        <v>-46121.988172043013</v>
      </c>
      <c r="K53" s="58">
        <v>77</v>
      </c>
      <c r="L53" s="68">
        <f t="shared" si="4"/>
        <v>30.326086956521738</v>
      </c>
      <c r="M53" s="54">
        <v>-1136517</v>
      </c>
      <c r="N53" s="69">
        <f t="shared" si="5"/>
        <v>-37476.546236559137</v>
      </c>
      <c r="P53" s="58">
        <v>37</v>
      </c>
      <c r="Q53" s="68">
        <f t="shared" si="6"/>
        <v>33.41317365269461</v>
      </c>
      <c r="R53" s="54">
        <v>-1231599</v>
      </c>
      <c r="S53" s="69">
        <f t="shared" si="7"/>
        <v>-36859.683333333334</v>
      </c>
    </row>
    <row r="54" spans="1:19" x14ac:dyDescent="0.25">
      <c r="A54" s="58">
        <v>93</v>
      </c>
      <c r="B54" s="68">
        <f t="shared" si="0"/>
        <v>30.326086956521738</v>
      </c>
      <c r="C54" s="54">
        <v>-1560391</v>
      </c>
      <c r="D54" s="69">
        <f t="shared" si="1"/>
        <v>-51453.753405017924</v>
      </c>
      <c r="F54" s="58">
        <v>13</v>
      </c>
      <c r="G54" s="68">
        <f t="shared" si="2"/>
        <v>33.41317365269461</v>
      </c>
      <c r="H54" s="54">
        <v>-1570807</v>
      </c>
      <c r="I54" s="69">
        <f t="shared" si="3"/>
        <v>-47011.607347670251</v>
      </c>
      <c r="K54" s="58">
        <v>94</v>
      </c>
      <c r="L54" s="68">
        <f t="shared" si="4"/>
        <v>30.326086956521738</v>
      </c>
      <c r="M54" s="54">
        <v>-1189690</v>
      </c>
      <c r="N54" s="69">
        <f t="shared" si="5"/>
        <v>-39229.921146953406</v>
      </c>
      <c r="P54" s="58">
        <v>80</v>
      </c>
      <c r="Q54" s="68">
        <f t="shared" si="6"/>
        <v>33.41317365269461</v>
      </c>
      <c r="R54" s="54">
        <v>-1261366</v>
      </c>
      <c r="S54" s="69">
        <f t="shared" si="7"/>
        <v>-37750.559498207884</v>
      </c>
    </row>
    <row r="55" spans="1:19" x14ac:dyDescent="0.25">
      <c r="A55" s="58"/>
      <c r="B55" s="59"/>
      <c r="C55" s="54"/>
      <c r="D55" s="55"/>
      <c r="F55" s="58"/>
      <c r="G55" s="59"/>
      <c r="H55" s="54"/>
      <c r="I55" s="55"/>
      <c r="K55" s="58">
        <v>32</v>
      </c>
      <c r="L55" s="68">
        <f t="shared" si="4"/>
        <v>30.326086956521738</v>
      </c>
      <c r="M55" s="54">
        <v>-1238968</v>
      </c>
      <c r="N55" s="69">
        <f t="shared" si="5"/>
        <v>-40854.858781362011</v>
      </c>
      <c r="P55" s="58">
        <v>52</v>
      </c>
      <c r="Q55" s="68">
        <f t="shared" si="6"/>
        <v>33.41317365269461</v>
      </c>
      <c r="R55" s="54">
        <v>-1306284</v>
      </c>
      <c r="S55" s="69">
        <f t="shared" si="7"/>
        <v>-39094.879569892473</v>
      </c>
    </row>
    <row r="56" spans="1:19" x14ac:dyDescent="0.25">
      <c r="A56" s="58"/>
      <c r="B56" s="59"/>
      <c r="C56" s="54"/>
      <c r="D56" s="55"/>
      <c r="F56" s="58"/>
      <c r="G56" s="59"/>
      <c r="H56" s="54"/>
      <c r="I56" s="55"/>
      <c r="K56" s="58">
        <v>36</v>
      </c>
      <c r="L56" s="68">
        <f t="shared" si="4"/>
        <v>30.326086956521738</v>
      </c>
      <c r="M56" s="54">
        <v>-1281241</v>
      </c>
      <c r="N56" s="69">
        <f t="shared" si="5"/>
        <v>-42248.807168458785</v>
      </c>
      <c r="P56" s="58">
        <v>38</v>
      </c>
      <c r="Q56" s="68">
        <f t="shared" si="6"/>
        <v>33.41317365269461</v>
      </c>
      <c r="R56" s="54">
        <v>-1308829</v>
      </c>
      <c r="S56" s="69">
        <f t="shared" si="7"/>
        <v>-39171.047132616492</v>
      </c>
    </row>
    <row r="57" spans="1:19" x14ac:dyDescent="0.25">
      <c r="A57" s="58"/>
      <c r="B57" s="59"/>
      <c r="C57" s="54"/>
      <c r="D57" s="55"/>
      <c r="F57" s="58"/>
      <c r="G57" s="59"/>
      <c r="H57" s="54"/>
      <c r="I57" s="55"/>
      <c r="K57" s="58">
        <v>29</v>
      </c>
      <c r="L57" s="68">
        <f t="shared" si="4"/>
        <v>30.326086956521738</v>
      </c>
      <c r="M57" s="54">
        <v>-1329121</v>
      </c>
      <c r="N57" s="69">
        <f t="shared" si="5"/>
        <v>-43827.645878136202</v>
      </c>
      <c r="P57" s="58">
        <v>46</v>
      </c>
      <c r="Q57" s="68">
        <f t="shared" si="6"/>
        <v>33.41317365269461</v>
      </c>
      <c r="R57" s="54">
        <v>-1311822</v>
      </c>
      <c r="S57" s="69">
        <f t="shared" si="7"/>
        <v>-39260.622580645162</v>
      </c>
    </row>
    <row r="58" spans="1:19" x14ac:dyDescent="0.25">
      <c r="A58" s="58"/>
      <c r="B58" s="59"/>
      <c r="C58" s="54"/>
      <c r="D58" s="55"/>
      <c r="F58" s="58"/>
      <c r="G58" s="59"/>
      <c r="H58" s="54"/>
      <c r="I58" s="55"/>
      <c r="K58" s="58">
        <v>80</v>
      </c>
      <c r="L58" s="68">
        <f t="shared" si="4"/>
        <v>30.326086956521738</v>
      </c>
      <c r="M58" s="54">
        <v>-1382584</v>
      </c>
      <c r="N58" s="69">
        <f t="shared" si="5"/>
        <v>-45590.583512544807</v>
      </c>
      <c r="P58" s="58">
        <v>53</v>
      </c>
      <c r="Q58" s="68">
        <f t="shared" si="6"/>
        <v>33.41317365269461</v>
      </c>
      <c r="R58" s="54">
        <v>-1316172</v>
      </c>
      <c r="S58" s="69">
        <f t="shared" si="7"/>
        <v>-39390.810752688172</v>
      </c>
    </row>
    <row r="59" spans="1:19" x14ac:dyDescent="0.25">
      <c r="A59" s="58"/>
      <c r="B59" s="59"/>
      <c r="C59" s="54"/>
      <c r="D59" s="55"/>
      <c r="F59" s="58"/>
      <c r="G59" s="59"/>
      <c r="H59" s="54"/>
      <c r="I59" s="55"/>
      <c r="K59" s="58">
        <v>38</v>
      </c>
      <c r="L59" s="68">
        <f t="shared" si="4"/>
        <v>30.326086956521738</v>
      </c>
      <c r="M59" s="54">
        <v>-1454904</v>
      </c>
      <c r="N59" s="69">
        <f t="shared" si="5"/>
        <v>-47975.329032258065</v>
      </c>
      <c r="P59" s="58">
        <v>87</v>
      </c>
      <c r="Q59" s="68">
        <f t="shared" si="6"/>
        <v>33.41317365269461</v>
      </c>
      <c r="R59" s="54">
        <v>-1394051</v>
      </c>
      <c r="S59" s="69">
        <f t="shared" si="7"/>
        <v>-41721.598028673834</v>
      </c>
    </row>
    <row r="60" spans="1:19" x14ac:dyDescent="0.25">
      <c r="A60" s="58"/>
      <c r="B60" s="59"/>
      <c r="C60" s="54"/>
      <c r="D60" s="55"/>
      <c r="F60" s="58"/>
      <c r="G60" s="59"/>
      <c r="H60" s="54"/>
      <c r="I60" s="55"/>
      <c r="K60" s="58">
        <v>96</v>
      </c>
      <c r="L60" s="68">
        <f t="shared" si="4"/>
        <v>30.326086956521738</v>
      </c>
      <c r="M60" s="54">
        <v>-1495940</v>
      </c>
      <c r="N60" s="69">
        <f t="shared" si="5"/>
        <v>-49328.487455197137</v>
      </c>
      <c r="P60" s="58">
        <v>36</v>
      </c>
      <c r="Q60" s="68">
        <f t="shared" si="6"/>
        <v>33.41317365269461</v>
      </c>
      <c r="R60" s="54">
        <v>-1395762</v>
      </c>
      <c r="S60" s="69">
        <f t="shared" si="7"/>
        <v>-41772.805376344084</v>
      </c>
    </row>
    <row r="61" spans="1:19" x14ac:dyDescent="0.25">
      <c r="A61" s="58"/>
      <c r="B61" s="59"/>
      <c r="C61" s="54"/>
      <c r="D61" s="55"/>
      <c r="F61" s="58"/>
      <c r="G61" s="59"/>
      <c r="H61" s="54"/>
      <c r="I61" s="55"/>
      <c r="K61" s="58">
        <v>76</v>
      </c>
      <c r="L61" s="68">
        <f t="shared" si="4"/>
        <v>30.326086956521738</v>
      </c>
      <c r="M61" s="54">
        <v>-1505954</v>
      </c>
      <c r="N61" s="69">
        <f t="shared" si="5"/>
        <v>-49658.698207885303</v>
      </c>
      <c r="P61" s="58">
        <v>42</v>
      </c>
      <c r="Q61" s="68">
        <f t="shared" si="6"/>
        <v>33.41317365269461</v>
      </c>
      <c r="R61" s="54">
        <v>-1449513</v>
      </c>
      <c r="S61" s="69">
        <f t="shared" si="7"/>
        <v>-43381.48225806452</v>
      </c>
    </row>
    <row r="62" spans="1:19" x14ac:dyDescent="0.25">
      <c r="A62" s="58"/>
      <c r="B62" s="59"/>
      <c r="C62" s="54"/>
      <c r="D62" s="55"/>
      <c r="F62" s="58"/>
      <c r="G62" s="59"/>
      <c r="H62" s="54"/>
      <c r="I62" s="55"/>
      <c r="K62" s="58">
        <v>52</v>
      </c>
      <c r="L62" s="68">
        <f t="shared" si="4"/>
        <v>30.326086956521738</v>
      </c>
      <c r="M62" s="54">
        <v>-1572435</v>
      </c>
      <c r="N62" s="69">
        <f t="shared" si="5"/>
        <v>-51850.903225806454</v>
      </c>
      <c r="P62" s="58">
        <v>28</v>
      </c>
      <c r="Q62" s="68">
        <f t="shared" si="6"/>
        <v>33.41317365269461</v>
      </c>
      <c r="R62" s="54">
        <v>-1475625</v>
      </c>
      <c r="S62" s="69">
        <f t="shared" si="7"/>
        <v>-44162.970430107525</v>
      </c>
    </row>
    <row r="63" spans="1:19" x14ac:dyDescent="0.25">
      <c r="A63" s="58"/>
      <c r="B63" s="59"/>
      <c r="C63" s="54"/>
      <c r="D63" s="55"/>
      <c r="F63" s="58"/>
      <c r="G63" s="59"/>
      <c r="H63" s="54"/>
      <c r="I63" s="55"/>
      <c r="K63" s="58">
        <v>100</v>
      </c>
      <c r="L63" s="68">
        <f t="shared" si="4"/>
        <v>30.326086956521738</v>
      </c>
      <c r="M63" s="54">
        <v>-1597710</v>
      </c>
      <c r="N63" s="69">
        <f t="shared" si="5"/>
        <v>-52684.344086021505</v>
      </c>
      <c r="P63" s="58">
        <v>83</v>
      </c>
      <c r="Q63" s="68">
        <f t="shared" si="6"/>
        <v>33.41317365269461</v>
      </c>
      <c r="R63" s="54">
        <v>-1533913</v>
      </c>
      <c r="S63" s="69">
        <f t="shared" si="7"/>
        <v>-45907.432078853046</v>
      </c>
    </row>
    <row r="64" spans="1:19" x14ac:dyDescent="0.25">
      <c r="A64" s="58"/>
      <c r="B64" s="59"/>
      <c r="C64" s="54"/>
      <c r="D64" s="55"/>
      <c r="F64" s="58"/>
      <c r="G64" s="59"/>
      <c r="H64" s="54"/>
      <c r="I64" s="55"/>
      <c r="K64" s="58">
        <v>51</v>
      </c>
      <c r="L64" s="68">
        <f t="shared" si="4"/>
        <v>30.326086956521738</v>
      </c>
      <c r="M64" s="54">
        <v>-1602000</v>
      </c>
      <c r="N64" s="69">
        <f t="shared" si="5"/>
        <v>-52825.806451612902</v>
      </c>
      <c r="P64" s="58">
        <v>77</v>
      </c>
      <c r="Q64" s="68">
        <f t="shared" si="6"/>
        <v>33.41317365269461</v>
      </c>
      <c r="R64" s="54">
        <v>-1545855</v>
      </c>
      <c r="S64" s="69">
        <f t="shared" si="7"/>
        <v>-46264.836021505376</v>
      </c>
    </row>
    <row r="65" spans="1:19" x14ac:dyDescent="0.25">
      <c r="A65" s="58"/>
      <c r="B65" s="59"/>
      <c r="C65" s="54"/>
      <c r="D65" s="55"/>
      <c r="F65" s="58"/>
      <c r="G65" s="59"/>
      <c r="H65" s="54"/>
      <c r="I65" s="55"/>
      <c r="K65" s="58"/>
      <c r="L65" s="59"/>
      <c r="M65" s="54"/>
      <c r="N65" s="55"/>
      <c r="P65" s="58"/>
      <c r="Q65" s="59"/>
      <c r="R65" s="54"/>
      <c r="S65" s="55"/>
    </row>
    <row r="66" spans="1:19" x14ac:dyDescent="0.25">
      <c r="A66" s="58"/>
      <c r="B66" s="59"/>
      <c r="C66" s="54"/>
      <c r="D66" s="55"/>
      <c r="F66" s="58"/>
      <c r="G66" s="59"/>
      <c r="H66" s="54"/>
      <c r="I66" s="55"/>
      <c r="K66" s="58"/>
      <c r="L66" s="59"/>
      <c r="M66" s="54"/>
      <c r="N66" s="55"/>
      <c r="P66" s="58"/>
      <c r="Q66" s="59"/>
      <c r="R66" s="54"/>
      <c r="S66" s="55"/>
    </row>
    <row r="67" spans="1:19" x14ac:dyDescent="0.25">
      <c r="A67" s="58"/>
      <c r="B67" s="59"/>
      <c r="C67" s="54"/>
      <c r="D67" s="55"/>
      <c r="F67" s="58"/>
      <c r="G67" s="59"/>
      <c r="H67" s="54"/>
      <c r="I67" s="55"/>
      <c r="K67" s="58"/>
      <c r="L67" s="59"/>
      <c r="M67" s="54"/>
      <c r="N67" s="55"/>
      <c r="P67" s="58"/>
      <c r="Q67" s="59"/>
      <c r="R67" s="54"/>
      <c r="S67" s="55"/>
    </row>
    <row r="68" spans="1:19" x14ac:dyDescent="0.25">
      <c r="A68" s="58"/>
      <c r="B68" s="59"/>
      <c r="C68" s="54"/>
      <c r="D68" s="55"/>
      <c r="F68" s="58"/>
      <c r="G68" s="59"/>
      <c r="H68" s="54"/>
      <c r="I68" s="55"/>
      <c r="K68" s="58"/>
      <c r="L68" s="59"/>
      <c r="M68" s="54"/>
      <c r="N68" s="55"/>
      <c r="P68" s="58"/>
      <c r="Q68" s="59"/>
      <c r="R68" s="54"/>
      <c r="S68" s="55"/>
    </row>
    <row r="69" spans="1:19" x14ac:dyDescent="0.25">
      <c r="A69" s="58"/>
      <c r="B69" s="59"/>
      <c r="C69" s="54"/>
      <c r="D69" s="55"/>
      <c r="F69" s="58"/>
      <c r="G69" s="59"/>
      <c r="H69" s="54"/>
      <c r="I69" s="55"/>
      <c r="K69" s="58"/>
      <c r="L69" s="59"/>
      <c r="M69" s="54"/>
      <c r="N69" s="55"/>
      <c r="P69" s="58"/>
      <c r="Q69" s="59"/>
      <c r="R69" s="54"/>
      <c r="S69" s="55"/>
    </row>
    <row r="70" spans="1:19" x14ac:dyDescent="0.25">
      <c r="A70" s="58"/>
      <c r="B70" s="59"/>
      <c r="C70" s="54"/>
      <c r="D70" s="55"/>
      <c r="F70" s="58"/>
      <c r="G70" s="59"/>
      <c r="H70" s="54"/>
      <c r="I70" s="55"/>
      <c r="K70" s="58"/>
      <c r="L70" s="59"/>
      <c r="M70" s="54"/>
      <c r="N70" s="55"/>
      <c r="P70" s="58"/>
      <c r="Q70" s="59"/>
      <c r="R70" s="54"/>
      <c r="S70" s="55"/>
    </row>
    <row r="71" spans="1:19" x14ac:dyDescent="0.25">
      <c r="A71" s="58"/>
      <c r="B71" s="59"/>
      <c r="C71" s="54"/>
      <c r="D71" s="55"/>
      <c r="F71" s="58"/>
      <c r="G71" s="59"/>
      <c r="H71" s="54"/>
      <c r="I71" s="55"/>
      <c r="K71" s="58"/>
      <c r="L71" s="59"/>
      <c r="M71" s="54"/>
      <c r="N71" s="55"/>
      <c r="P71" s="58"/>
      <c r="Q71" s="59"/>
      <c r="R71" s="54"/>
      <c r="S71" s="55"/>
    </row>
    <row r="72" spans="1:19" x14ac:dyDescent="0.25">
      <c r="A72" s="58"/>
      <c r="B72" s="59"/>
      <c r="C72" s="54"/>
      <c r="D72" s="55"/>
      <c r="F72" s="58"/>
      <c r="G72" s="59"/>
      <c r="H72" s="54"/>
      <c r="I72" s="55"/>
      <c r="K72" s="58"/>
      <c r="L72" s="59"/>
      <c r="M72" s="54"/>
      <c r="N72" s="55"/>
      <c r="P72" s="58"/>
      <c r="Q72" s="59"/>
      <c r="R72" s="54"/>
      <c r="S72" s="55"/>
    </row>
    <row r="73" spans="1:19" x14ac:dyDescent="0.25">
      <c r="A73" s="58"/>
      <c r="B73" s="59"/>
      <c r="C73" s="54"/>
      <c r="D73" s="55"/>
      <c r="F73" s="58"/>
      <c r="G73" s="59"/>
      <c r="H73" s="54"/>
      <c r="I73" s="55"/>
      <c r="K73" s="58"/>
      <c r="L73" s="59"/>
      <c r="M73" s="54"/>
      <c r="N73" s="55"/>
      <c r="P73" s="58"/>
      <c r="Q73" s="59"/>
      <c r="R73" s="54"/>
      <c r="S73" s="55"/>
    </row>
    <row r="74" spans="1:19" x14ac:dyDescent="0.25">
      <c r="A74" s="58"/>
      <c r="B74" s="59"/>
      <c r="C74" s="54"/>
      <c r="D74" s="55"/>
      <c r="F74" s="58"/>
      <c r="G74" s="59"/>
      <c r="H74" s="54"/>
      <c r="I74" s="55"/>
      <c r="K74" s="58"/>
      <c r="L74" s="59"/>
      <c r="M74" s="54"/>
      <c r="N74" s="55"/>
      <c r="P74" s="58"/>
      <c r="Q74" s="59"/>
      <c r="R74" s="54"/>
      <c r="S74" s="55"/>
    </row>
    <row r="75" spans="1:19" x14ac:dyDescent="0.25">
      <c r="A75" s="58"/>
      <c r="B75" s="59"/>
      <c r="C75" s="54"/>
      <c r="D75" s="55"/>
      <c r="F75" s="58"/>
      <c r="G75" s="59"/>
      <c r="H75" s="54"/>
      <c r="I75" s="55"/>
      <c r="K75" s="58"/>
      <c r="L75" s="59"/>
      <c r="M75" s="54"/>
      <c r="N75" s="55"/>
      <c r="P75" s="58"/>
      <c r="Q75" s="59"/>
      <c r="R75" s="54"/>
      <c r="S75" s="55"/>
    </row>
    <row r="76" spans="1:19" x14ac:dyDescent="0.25">
      <c r="A76" s="58"/>
      <c r="B76" s="59"/>
      <c r="C76" s="54"/>
      <c r="D76" s="55"/>
      <c r="F76" s="58"/>
      <c r="G76" s="59"/>
      <c r="H76" s="54"/>
      <c r="I76" s="55"/>
      <c r="K76" s="58"/>
      <c r="L76" s="59"/>
      <c r="M76" s="54"/>
      <c r="N76" s="55"/>
      <c r="P76" s="58"/>
      <c r="Q76" s="59"/>
      <c r="R76" s="54"/>
      <c r="S76" s="55"/>
    </row>
    <row r="77" spans="1:19" x14ac:dyDescent="0.25">
      <c r="A77" s="58"/>
      <c r="B77" s="59"/>
      <c r="C77" s="54"/>
      <c r="D77" s="55"/>
      <c r="F77" s="58"/>
      <c r="G77" s="59"/>
      <c r="H77" s="54"/>
      <c r="I77" s="55"/>
      <c r="K77" s="58"/>
      <c r="L77" s="59"/>
      <c r="M77" s="54"/>
      <c r="N77" s="55"/>
      <c r="P77" s="58"/>
      <c r="Q77" s="59"/>
      <c r="R77" s="54"/>
      <c r="S77" s="55"/>
    </row>
    <row r="78" spans="1:19" x14ac:dyDescent="0.25">
      <c r="A78" s="58"/>
      <c r="B78" s="59"/>
      <c r="C78" s="54"/>
      <c r="D78" s="55"/>
      <c r="F78" s="58"/>
      <c r="G78" s="59"/>
      <c r="H78" s="54"/>
      <c r="I78" s="55"/>
      <c r="K78" s="58"/>
      <c r="L78" s="59"/>
      <c r="M78" s="54"/>
      <c r="N78" s="55"/>
      <c r="P78" s="58"/>
      <c r="Q78" s="59"/>
      <c r="R78" s="54"/>
      <c r="S78" s="55"/>
    </row>
    <row r="79" spans="1:19" x14ac:dyDescent="0.25">
      <c r="A79" s="58"/>
      <c r="B79" s="59"/>
      <c r="C79" s="54"/>
      <c r="D79" s="55"/>
      <c r="F79" s="58"/>
      <c r="G79" s="59"/>
      <c r="H79" s="54"/>
      <c r="I79" s="55"/>
      <c r="K79" s="58"/>
      <c r="L79" s="59"/>
      <c r="M79" s="54"/>
      <c r="N79" s="55"/>
      <c r="P79" s="58"/>
      <c r="Q79" s="59"/>
      <c r="R79" s="54"/>
      <c r="S79" s="55"/>
    </row>
    <row r="80" spans="1:19" x14ac:dyDescent="0.25">
      <c r="A80" s="58"/>
      <c r="B80" s="59"/>
      <c r="C80" s="54"/>
      <c r="D80" s="55"/>
      <c r="F80" s="58"/>
      <c r="G80" s="59"/>
      <c r="H80" s="54"/>
      <c r="I80" s="55"/>
      <c r="K80" s="58"/>
      <c r="L80" s="59"/>
      <c r="M80" s="54"/>
      <c r="N80" s="55"/>
      <c r="P80" s="58"/>
      <c r="Q80" s="59"/>
      <c r="R80" s="54"/>
      <c r="S80" s="55"/>
    </row>
    <row r="81" spans="1:19" x14ac:dyDescent="0.25">
      <c r="A81" s="58"/>
      <c r="B81" s="59"/>
      <c r="C81" s="54"/>
      <c r="D81" s="55"/>
      <c r="F81" s="58"/>
      <c r="G81" s="59"/>
      <c r="H81" s="54"/>
      <c r="I81" s="55"/>
      <c r="K81" s="58"/>
      <c r="L81" s="59"/>
      <c r="M81" s="54"/>
      <c r="N81" s="55"/>
      <c r="P81" s="58"/>
      <c r="Q81" s="59"/>
      <c r="R81" s="54"/>
      <c r="S81" s="55"/>
    </row>
    <row r="82" spans="1:19" x14ac:dyDescent="0.25">
      <c r="A82" s="58"/>
      <c r="B82" s="59"/>
      <c r="C82" s="54"/>
      <c r="D82" s="55"/>
      <c r="F82" s="58"/>
      <c r="G82" s="59"/>
      <c r="H82" s="54"/>
      <c r="I82" s="55"/>
      <c r="K82" s="58"/>
      <c r="L82" s="59"/>
      <c r="M82" s="54"/>
      <c r="N82" s="55"/>
      <c r="P82" s="58"/>
      <c r="Q82" s="59"/>
      <c r="R82" s="54"/>
      <c r="S82" s="55"/>
    </row>
    <row r="83" spans="1:19" x14ac:dyDescent="0.25">
      <c r="A83" s="58"/>
      <c r="B83" s="59"/>
      <c r="C83" s="54"/>
      <c r="D83" s="55"/>
      <c r="F83" s="58"/>
      <c r="G83" s="59"/>
      <c r="H83" s="54"/>
      <c r="I83" s="55"/>
      <c r="K83" s="58"/>
      <c r="L83" s="59"/>
      <c r="M83" s="54"/>
      <c r="N83" s="55"/>
      <c r="P83" s="58"/>
      <c r="Q83" s="59"/>
      <c r="R83" s="54"/>
      <c r="S83" s="55"/>
    </row>
    <row r="84" spans="1:19" x14ac:dyDescent="0.25">
      <c r="A84" s="58"/>
      <c r="B84" s="59"/>
      <c r="C84" s="54"/>
      <c r="D84" s="55"/>
      <c r="F84" s="58"/>
      <c r="G84" s="59"/>
      <c r="H84" s="54"/>
      <c r="I84" s="55"/>
      <c r="K84" s="58"/>
      <c r="L84" s="59"/>
      <c r="M84" s="54"/>
      <c r="N84" s="55"/>
      <c r="P84" s="58"/>
      <c r="Q84" s="59"/>
      <c r="R84" s="54"/>
      <c r="S84" s="55"/>
    </row>
    <row r="85" spans="1:19" x14ac:dyDescent="0.25">
      <c r="A85" s="58"/>
      <c r="B85" s="59"/>
      <c r="C85" s="54"/>
      <c r="D85" s="55"/>
      <c r="F85" s="58"/>
      <c r="G85" s="59"/>
      <c r="H85" s="54"/>
      <c r="I85" s="55"/>
      <c r="K85" s="58"/>
      <c r="L85" s="59"/>
      <c r="M85" s="54"/>
      <c r="N85" s="55"/>
      <c r="P85" s="58"/>
      <c r="Q85" s="59"/>
      <c r="R85" s="54"/>
      <c r="S85" s="55"/>
    </row>
    <row r="86" spans="1:19" x14ac:dyDescent="0.25">
      <c r="A86" s="58"/>
      <c r="B86" s="59"/>
      <c r="C86" s="54"/>
      <c r="D86" s="55"/>
      <c r="F86" s="58"/>
      <c r="G86" s="59"/>
      <c r="H86" s="54"/>
      <c r="I86" s="55"/>
      <c r="K86" s="58"/>
      <c r="L86" s="59"/>
      <c r="M86" s="54"/>
      <c r="N86" s="55"/>
      <c r="P86" s="58"/>
      <c r="Q86" s="59"/>
      <c r="R86" s="54"/>
      <c r="S86" s="55"/>
    </row>
    <row r="87" spans="1:19" x14ac:dyDescent="0.25">
      <c r="A87" s="58"/>
      <c r="B87" s="59"/>
      <c r="C87" s="54"/>
      <c r="D87" s="55"/>
      <c r="F87" s="58"/>
      <c r="G87" s="59"/>
      <c r="H87" s="54"/>
      <c r="I87" s="55"/>
      <c r="K87" s="58"/>
      <c r="L87" s="59"/>
      <c r="M87" s="54"/>
      <c r="N87" s="55"/>
      <c r="P87" s="58"/>
      <c r="Q87" s="59"/>
      <c r="R87" s="54"/>
      <c r="S87" s="55"/>
    </row>
    <row r="88" spans="1:19" x14ac:dyDescent="0.25">
      <c r="A88" s="58"/>
      <c r="B88" s="59"/>
      <c r="C88" s="54"/>
      <c r="D88" s="55"/>
      <c r="F88" s="58"/>
      <c r="G88" s="59"/>
      <c r="H88" s="54"/>
      <c r="I88" s="55"/>
      <c r="K88" s="58"/>
      <c r="L88" s="59"/>
      <c r="M88" s="54"/>
      <c r="N88" s="55"/>
      <c r="P88" s="58"/>
      <c r="Q88" s="59"/>
      <c r="R88" s="54"/>
      <c r="S88" s="55"/>
    </row>
    <row r="89" spans="1:19" x14ac:dyDescent="0.25">
      <c r="A89" s="58"/>
      <c r="B89" s="59"/>
      <c r="C89" s="54"/>
      <c r="D89" s="55"/>
      <c r="F89" s="58"/>
      <c r="G89" s="59"/>
      <c r="H89" s="54"/>
      <c r="I89" s="55"/>
      <c r="K89" s="58"/>
      <c r="L89" s="59"/>
      <c r="M89" s="54"/>
      <c r="N89" s="55"/>
      <c r="P89" s="58"/>
      <c r="Q89" s="59"/>
      <c r="R89" s="54"/>
      <c r="S89" s="55"/>
    </row>
    <row r="90" spans="1:19" x14ac:dyDescent="0.25">
      <c r="A90" s="58"/>
      <c r="B90" s="59"/>
      <c r="C90" s="54"/>
      <c r="D90" s="55"/>
      <c r="F90" s="58"/>
      <c r="G90" s="59"/>
      <c r="H90" s="54"/>
      <c r="I90" s="55"/>
      <c r="K90" s="58"/>
      <c r="L90" s="59"/>
      <c r="M90" s="54"/>
      <c r="N90" s="55"/>
      <c r="P90" s="58"/>
      <c r="Q90" s="59"/>
      <c r="R90" s="54"/>
      <c r="S90" s="55"/>
    </row>
    <row r="91" spans="1:19" x14ac:dyDescent="0.25">
      <c r="A91" s="58"/>
      <c r="B91" s="59"/>
      <c r="C91" s="54"/>
      <c r="D91" s="55"/>
      <c r="F91" s="58"/>
      <c r="G91" s="59"/>
      <c r="H91" s="54"/>
      <c r="I91" s="55"/>
      <c r="K91" s="58"/>
      <c r="L91" s="59"/>
      <c r="M91" s="54"/>
      <c r="N91" s="55"/>
      <c r="P91" s="58"/>
      <c r="Q91" s="59"/>
      <c r="R91" s="54"/>
      <c r="S91" s="55"/>
    </row>
    <row r="92" spans="1:19" x14ac:dyDescent="0.25">
      <c r="A92" s="58"/>
      <c r="B92" s="59"/>
      <c r="C92" s="54"/>
      <c r="D92" s="55"/>
      <c r="F92" s="58"/>
      <c r="G92" s="59"/>
      <c r="H92" s="54"/>
      <c r="I92" s="55"/>
      <c r="K92" s="58"/>
      <c r="L92" s="59"/>
      <c r="M92" s="54"/>
      <c r="N92" s="55"/>
      <c r="P92" s="58"/>
      <c r="Q92" s="59"/>
      <c r="R92" s="54"/>
      <c r="S92" s="55"/>
    </row>
    <row r="93" spans="1:19" x14ac:dyDescent="0.25">
      <c r="A93" s="58"/>
      <c r="B93" s="59"/>
      <c r="C93" s="54"/>
      <c r="D93" s="55"/>
      <c r="F93" s="58"/>
      <c r="G93" s="59"/>
      <c r="H93" s="54"/>
      <c r="I93" s="55"/>
      <c r="K93" s="58"/>
      <c r="L93" s="59"/>
      <c r="M93" s="54"/>
      <c r="N93" s="55"/>
      <c r="P93" s="58"/>
      <c r="Q93" s="59"/>
      <c r="R93" s="54"/>
      <c r="S93" s="55"/>
    </row>
    <row r="94" spans="1:19" x14ac:dyDescent="0.25">
      <c r="A94" s="58"/>
      <c r="B94" s="59"/>
      <c r="C94" s="54"/>
      <c r="D94" s="55"/>
      <c r="F94" s="58"/>
      <c r="G94" s="59"/>
      <c r="H94" s="54"/>
      <c r="I94" s="55"/>
      <c r="K94" s="58"/>
      <c r="L94" s="59"/>
      <c r="M94" s="54"/>
      <c r="N94" s="55"/>
      <c r="P94" s="58"/>
      <c r="Q94" s="59"/>
      <c r="R94" s="54"/>
      <c r="S94" s="55"/>
    </row>
    <row r="95" spans="1:19" x14ac:dyDescent="0.25">
      <c r="A95" s="58"/>
      <c r="B95" s="59"/>
      <c r="C95" s="54"/>
      <c r="D95" s="55"/>
      <c r="F95" s="58"/>
      <c r="G95" s="59"/>
      <c r="H95" s="54"/>
      <c r="I95" s="55"/>
      <c r="K95" s="58"/>
      <c r="L95" s="59"/>
      <c r="M95" s="54"/>
      <c r="N95" s="55"/>
      <c r="P95" s="58"/>
      <c r="Q95" s="59"/>
      <c r="R95" s="54"/>
      <c r="S95" s="55"/>
    </row>
    <row r="96" spans="1:19" x14ac:dyDescent="0.25">
      <c r="A96" s="58"/>
      <c r="B96" s="59"/>
      <c r="C96" s="54"/>
      <c r="D96" s="55"/>
      <c r="F96" s="58"/>
      <c r="G96" s="59"/>
      <c r="H96" s="54"/>
      <c r="I96" s="55"/>
      <c r="K96" s="58"/>
      <c r="L96" s="59"/>
      <c r="M96" s="54"/>
      <c r="N96" s="55"/>
      <c r="P96" s="58"/>
      <c r="Q96" s="59"/>
      <c r="R96" s="54"/>
      <c r="S96" s="55"/>
    </row>
    <row r="97" spans="1:19" x14ac:dyDescent="0.25">
      <c r="A97" s="58"/>
      <c r="B97" s="59"/>
      <c r="C97" s="54"/>
      <c r="D97" s="55"/>
      <c r="F97" s="58"/>
      <c r="G97" s="59"/>
      <c r="H97" s="54"/>
      <c r="I97" s="55"/>
      <c r="K97" s="58"/>
      <c r="L97" s="59"/>
      <c r="M97" s="54"/>
      <c r="N97" s="55"/>
      <c r="P97" s="58"/>
      <c r="Q97" s="59"/>
      <c r="R97" s="54"/>
      <c r="S97" s="55"/>
    </row>
    <row r="98" spans="1:19" x14ac:dyDescent="0.25">
      <c r="A98" s="58"/>
      <c r="B98" s="59"/>
      <c r="C98" s="54"/>
      <c r="D98" s="55"/>
      <c r="F98" s="58"/>
      <c r="G98" s="59"/>
      <c r="H98" s="54"/>
      <c r="I98" s="55"/>
      <c r="K98" s="58"/>
      <c r="L98" s="59"/>
      <c r="M98" s="54"/>
      <c r="N98" s="55"/>
      <c r="P98" s="58"/>
      <c r="Q98" s="59"/>
      <c r="R98" s="54"/>
      <c r="S98" s="55"/>
    </row>
    <row r="99" spans="1:19" x14ac:dyDescent="0.25">
      <c r="A99" s="58"/>
      <c r="B99" s="59"/>
      <c r="C99" s="54"/>
      <c r="D99" s="55"/>
      <c r="F99" s="58"/>
      <c r="G99" s="59"/>
      <c r="H99" s="54"/>
      <c r="I99" s="55"/>
      <c r="K99" s="58"/>
      <c r="L99" s="59"/>
      <c r="M99" s="54"/>
      <c r="N99" s="55"/>
      <c r="P99" s="58"/>
      <c r="Q99" s="59"/>
      <c r="R99" s="54"/>
      <c r="S99" s="55"/>
    </row>
    <row r="100" spans="1:19" x14ac:dyDescent="0.25">
      <c r="A100" s="58"/>
      <c r="B100" s="59"/>
      <c r="C100" s="54"/>
      <c r="D100" s="55"/>
      <c r="F100" s="58"/>
      <c r="G100" s="59"/>
      <c r="H100" s="54"/>
      <c r="I100" s="55"/>
      <c r="K100" s="58"/>
      <c r="L100" s="59"/>
      <c r="M100" s="54"/>
      <c r="N100" s="55"/>
      <c r="P100" s="58"/>
      <c r="Q100" s="59"/>
      <c r="R100" s="54"/>
      <c r="S100" s="55"/>
    </row>
    <row r="101" spans="1:19" x14ac:dyDescent="0.25">
      <c r="A101" s="58"/>
      <c r="B101" s="59"/>
      <c r="C101" s="54"/>
      <c r="D101" s="55"/>
      <c r="F101" s="58"/>
      <c r="G101" s="59"/>
      <c r="H101" s="54"/>
      <c r="I101" s="55"/>
      <c r="K101" s="58"/>
      <c r="L101" s="59"/>
      <c r="M101" s="54"/>
      <c r="N101" s="55"/>
      <c r="P101" s="58"/>
      <c r="Q101" s="59"/>
      <c r="R101" s="54"/>
      <c r="S101" s="55"/>
    </row>
    <row r="102" spans="1:19" x14ac:dyDescent="0.25">
      <c r="A102" s="58"/>
      <c r="B102" s="59"/>
      <c r="C102" s="54"/>
      <c r="D102" s="55"/>
      <c r="F102" s="58"/>
      <c r="G102" s="59"/>
      <c r="H102" s="54"/>
      <c r="I102" s="55"/>
      <c r="K102" s="58"/>
      <c r="L102" s="59"/>
      <c r="M102" s="54"/>
      <c r="N102" s="55"/>
      <c r="P102" s="58"/>
      <c r="Q102" s="59"/>
      <c r="R102" s="54"/>
      <c r="S102" s="55"/>
    </row>
    <row r="103" spans="1:19" x14ac:dyDescent="0.25">
      <c r="A103" s="58"/>
      <c r="B103" s="59"/>
      <c r="C103" s="54"/>
      <c r="D103" s="55"/>
      <c r="F103" s="58"/>
      <c r="G103" s="59"/>
      <c r="H103" s="54"/>
      <c r="I103" s="55"/>
      <c r="K103" s="58"/>
      <c r="L103" s="59"/>
      <c r="M103" s="54"/>
      <c r="N103" s="55"/>
      <c r="P103" s="58"/>
      <c r="Q103" s="59"/>
      <c r="R103" s="54"/>
      <c r="S103" s="55"/>
    </row>
    <row r="104" spans="1:19" x14ac:dyDescent="0.25">
      <c r="A104" s="58"/>
      <c r="B104" s="59"/>
      <c r="C104" s="54"/>
      <c r="D104" s="55"/>
      <c r="F104" s="58"/>
      <c r="G104" s="59"/>
      <c r="H104" s="54"/>
      <c r="I104" s="55"/>
      <c r="K104" s="58"/>
      <c r="L104" s="59"/>
      <c r="M104" s="54"/>
      <c r="N104" s="55"/>
      <c r="P104" s="58"/>
      <c r="Q104" s="59"/>
      <c r="R104" s="54"/>
      <c r="S104" s="55"/>
    </row>
    <row r="105" spans="1:19" x14ac:dyDescent="0.25">
      <c r="A105" s="58"/>
      <c r="B105" s="59"/>
      <c r="C105" s="54"/>
      <c r="D105" s="55"/>
      <c r="F105" s="58"/>
      <c r="G105" s="59"/>
      <c r="H105" s="54"/>
      <c r="I105" s="55"/>
      <c r="K105" s="58"/>
      <c r="L105" s="59"/>
      <c r="M105" s="54"/>
      <c r="N105" s="55"/>
      <c r="P105" s="58"/>
      <c r="Q105" s="59"/>
      <c r="R105" s="54"/>
      <c r="S105" s="55"/>
    </row>
    <row r="106" spans="1:19" x14ac:dyDescent="0.25">
      <c r="A106" s="58"/>
      <c r="B106" s="59"/>
      <c r="C106" s="54"/>
      <c r="D106" s="55"/>
      <c r="F106" s="58"/>
      <c r="G106" s="59"/>
      <c r="H106" s="54"/>
      <c r="I106" s="55"/>
      <c r="K106" s="58"/>
      <c r="L106" s="59"/>
      <c r="M106" s="54"/>
      <c r="N106" s="55"/>
      <c r="P106" s="58"/>
      <c r="Q106" s="59"/>
      <c r="R106" s="54"/>
      <c r="S106" s="55"/>
    </row>
    <row r="107" spans="1:19" x14ac:dyDescent="0.25">
      <c r="A107" s="58"/>
      <c r="B107" s="59"/>
      <c r="C107" s="54"/>
      <c r="D107" s="55"/>
      <c r="F107" s="58"/>
      <c r="G107" s="59"/>
      <c r="H107" s="54"/>
      <c r="I107" s="55"/>
      <c r="K107" s="58"/>
      <c r="L107" s="59"/>
      <c r="M107" s="54"/>
      <c r="N107" s="55"/>
      <c r="P107" s="58"/>
      <c r="Q107" s="59"/>
      <c r="R107" s="54"/>
      <c r="S107" s="55"/>
    </row>
    <row r="108" spans="1:19" x14ac:dyDescent="0.25">
      <c r="A108" s="58"/>
      <c r="B108" s="59"/>
      <c r="C108" s="54"/>
      <c r="D108" s="55"/>
      <c r="F108" s="58"/>
      <c r="G108" s="59"/>
      <c r="H108" s="54"/>
      <c r="I108" s="55"/>
      <c r="K108" s="58"/>
      <c r="L108" s="59"/>
      <c r="M108" s="54"/>
      <c r="N108" s="55"/>
      <c r="P108" s="58"/>
      <c r="Q108" s="59"/>
      <c r="R108" s="54"/>
      <c r="S108" s="55"/>
    </row>
    <row r="109" spans="1:19" x14ac:dyDescent="0.25">
      <c r="A109" s="58"/>
      <c r="B109" s="59"/>
      <c r="C109" s="54"/>
      <c r="D109" s="55"/>
      <c r="F109" s="58"/>
      <c r="G109" s="59"/>
      <c r="H109" s="54"/>
      <c r="I109" s="55"/>
      <c r="K109" s="58"/>
      <c r="L109" s="59"/>
      <c r="M109" s="54"/>
      <c r="N109" s="55"/>
      <c r="P109" s="58"/>
      <c r="Q109" s="59"/>
      <c r="R109" s="54"/>
      <c r="S109" s="55"/>
    </row>
    <row r="110" spans="1:19" x14ac:dyDescent="0.25">
      <c r="A110" s="58"/>
      <c r="B110" s="59"/>
      <c r="C110" s="54"/>
      <c r="D110" s="55"/>
      <c r="F110" s="58"/>
      <c r="G110" s="59"/>
      <c r="H110" s="54"/>
      <c r="I110" s="55"/>
      <c r="K110" s="58"/>
      <c r="L110" s="59"/>
      <c r="M110" s="54"/>
      <c r="N110" s="55"/>
      <c r="P110" s="58"/>
      <c r="Q110" s="59"/>
      <c r="R110" s="54"/>
      <c r="S110" s="55"/>
    </row>
    <row r="111" spans="1:19" x14ac:dyDescent="0.25">
      <c r="A111" s="58"/>
      <c r="B111" s="59"/>
      <c r="C111" s="54"/>
      <c r="D111" s="55"/>
      <c r="F111" s="58"/>
      <c r="G111" s="59"/>
      <c r="H111" s="54"/>
      <c r="I111" s="55"/>
      <c r="K111" s="58"/>
      <c r="L111" s="59"/>
      <c r="M111" s="54"/>
      <c r="N111" s="55"/>
      <c r="P111" s="58"/>
      <c r="Q111" s="59"/>
      <c r="R111" s="54"/>
      <c r="S111" s="55"/>
    </row>
    <row r="112" spans="1:19" x14ac:dyDescent="0.25">
      <c r="A112" s="58"/>
      <c r="B112" s="59"/>
      <c r="C112" s="54"/>
      <c r="D112" s="55"/>
      <c r="F112" s="58"/>
      <c r="G112" s="59"/>
      <c r="H112" s="54"/>
      <c r="I112" s="55"/>
      <c r="K112" s="58"/>
      <c r="L112" s="59"/>
      <c r="M112" s="54"/>
      <c r="N112" s="55"/>
      <c r="P112" s="58"/>
      <c r="Q112" s="59"/>
      <c r="R112" s="54"/>
      <c r="S112" s="55"/>
    </row>
    <row r="113" spans="1:19" x14ac:dyDescent="0.25">
      <c r="A113" s="58"/>
      <c r="B113" s="59"/>
      <c r="C113" s="54"/>
      <c r="D113" s="55"/>
      <c r="F113" s="58"/>
      <c r="G113" s="59"/>
      <c r="H113" s="54"/>
      <c r="I113" s="55"/>
      <c r="K113" s="58"/>
      <c r="L113" s="59"/>
      <c r="M113" s="54"/>
      <c r="N113" s="55"/>
      <c r="P113" s="58"/>
      <c r="Q113" s="59"/>
      <c r="R113" s="54"/>
      <c r="S113" s="55"/>
    </row>
    <row r="114" spans="1:19" x14ac:dyDescent="0.25">
      <c r="A114" s="58"/>
      <c r="B114" s="59"/>
      <c r="C114" s="54"/>
      <c r="D114" s="55"/>
      <c r="F114" s="58"/>
      <c r="G114" s="59"/>
      <c r="H114" s="54"/>
      <c r="I114" s="55"/>
      <c r="K114" s="58"/>
      <c r="L114" s="59"/>
      <c r="M114" s="54"/>
      <c r="N114" s="55"/>
      <c r="P114" s="58"/>
      <c r="Q114" s="59"/>
      <c r="R114" s="54"/>
      <c r="S114" s="55"/>
    </row>
    <row r="115" spans="1:19" x14ac:dyDescent="0.25">
      <c r="A115" s="58"/>
      <c r="B115" s="59"/>
      <c r="C115" s="54"/>
      <c r="D115" s="55"/>
      <c r="F115" s="58"/>
      <c r="G115" s="59"/>
      <c r="H115" s="54"/>
      <c r="I115" s="55"/>
      <c r="K115" s="58"/>
      <c r="L115" s="59"/>
      <c r="M115" s="54"/>
      <c r="N115" s="55"/>
      <c r="P115" s="58"/>
      <c r="Q115" s="59"/>
      <c r="R115" s="54"/>
      <c r="S115" s="55"/>
    </row>
    <row r="116" spans="1:19" x14ac:dyDescent="0.25">
      <c r="A116" s="58"/>
      <c r="B116" s="59"/>
      <c r="C116" s="54"/>
      <c r="D116" s="55"/>
      <c r="F116" s="58"/>
      <c r="G116" s="59"/>
      <c r="H116" s="54"/>
      <c r="I116" s="55"/>
      <c r="K116" s="58"/>
      <c r="L116" s="59"/>
      <c r="M116" s="54"/>
      <c r="N116" s="55"/>
      <c r="P116" s="58"/>
      <c r="Q116" s="59"/>
      <c r="R116" s="54"/>
      <c r="S116" s="55"/>
    </row>
    <row r="117" spans="1:19" x14ac:dyDescent="0.25">
      <c r="A117" s="58"/>
      <c r="B117" s="59"/>
      <c r="C117" s="54"/>
      <c r="D117" s="55"/>
      <c r="F117" s="58"/>
      <c r="G117" s="59"/>
      <c r="H117" s="54"/>
      <c r="I117" s="55"/>
      <c r="K117" s="58"/>
      <c r="L117" s="59"/>
      <c r="M117" s="54"/>
      <c r="N117" s="55"/>
      <c r="P117" s="58"/>
      <c r="Q117" s="59"/>
      <c r="R117" s="54"/>
      <c r="S117" s="55"/>
    </row>
    <row r="118" spans="1:19" ht="15.75" thickBot="1" x14ac:dyDescent="0.3">
      <c r="A118" s="60"/>
      <c r="B118" s="61"/>
      <c r="C118" s="56"/>
      <c r="D118" s="57"/>
      <c r="F118" s="60"/>
      <c r="G118" s="61"/>
      <c r="H118" s="56"/>
      <c r="I118" s="57"/>
      <c r="K118" s="58"/>
      <c r="L118" s="59"/>
      <c r="M118" s="54"/>
      <c r="N118" s="55"/>
      <c r="P118" s="58"/>
      <c r="Q118" s="59"/>
      <c r="R118" s="54"/>
      <c r="S118" s="55"/>
    </row>
    <row r="119" spans="1:19" x14ac:dyDescent="0.25">
      <c r="K119" s="58"/>
      <c r="L119" s="59"/>
      <c r="M119" s="54"/>
      <c r="N119" s="55"/>
      <c r="P119" s="58"/>
      <c r="Q119" s="59"/>
      <c r="R119" s="54"/>
      <c r="S119" s="55"/>
    </row>
    <row r="120" spans="1:19" x14ac:dyDescent="0.25">
      <c r="K120" s="58"/>
      <c r="L120" s="59"/>
      <c r="M120" s="54"/>
      <c r="N120" s="55"/>
      <c r="P120" s="58"/>
      <c r="Q120" s="59"/>
      <c r="R120" s="54"/>
      <c r="S120" s="55"/>
    </row>
    <row r="121" spans="1:19" x14ac:dyDescent="0.25">
      <c r="K121" s="58"/>
      <c r="L121" s="59"/>
      <c r="M121" s="54"/>
      <c r="N121" s="55"/>
      <c r="P121" s="58"/>
      <c r="Q121" s="59"/>
      <c r="R121" s="54"/>
      <c r="S121" s="55"/>
    </row>
    <row r="122" spans="1:19" x14ac:dyDescent="0.25">
      <c r="K122" s="58"/>
      <c r="L122" s="59"/>
      <c r="M122" s="54"/>
      <c r="N122" s="55"/>
      <c r="P122" s="58"/>
      <c r="Q122" s="59"/>
      <c r="R122" s="54"/>
      <c r="S122" s="55"/>
    </row>
    <row r="123" spans="1:19" x14ac:dyDescent="0.25">
      <c r="K123" s="58"/>
      <c r="L123" s="59"/>
      <c r="M123" s="54"/>
      <c r="N123" s="55"/>
      <c r="P123" s="58"/>
      <c r="Q123" s="59"/>
      <c r="R123" s="54"/>
      <c r="S123" s="55"/>
    </row>
    <row r="124" spans="1:19" x14ac:dyDescent="0.25">
      <c r="K124" s="58"/>
      <c r="L124" s="59"/>
      <c r="M124" s="54"/>
      <c r="N124" s="55"/>
      <c r="P124" s="58"/>
      <c r="Q124" s="59"/>
      <c r="R124" s="54"/>
      <c r="S124" s="55"/>
    </row>
    <row r="125" spans="1:19" x14ac:dyDescent="0.25">
      <c r="K125" s="58"/>
      <c r="L125" s="59"/>
      <c r="M125" s="54"/>
      <c r="N125" s="55"/>
      <c r="P125" s="58"/>
      <c r="Q125" s="59"/>
      <c r="R125" s="54"/>
      <c r="S125" s="55"/>
    </row>
    <row r="126" spans="1:19" x14ac:dyDescent="0.25">
      <c r="K126" s="58"/>
      <c r="L126" s="59"/>
      <c r="M126" s="54"/>
      <c r="N126" s="55"/>
      <c r="P126" s="58"/>
      <c r="Q126" s="59"/>
      <c r="R126" s="54"/>
      <c r="S126" s="55"/>
    </row>
    <row r="127" spans="1:19" x14ac:dyDescent="0.25">
      <c r="K127" s="58"/>
      <c r="L127" s="59"/>
      <c r="M127" s="54"/>
      <c r="N127" s="55"/>
      <c r="P127" s="58"/>
      <c r="Q127" s="59"/>
      <c r="R127" s="54"/>
      <c r="S127" s="55"/>
    </row>
    <row r="128" spans="1:19" x14ac:dyDescent="0.25">
      <c r="K128" s="58"/>
      <c r="L128" s="59"/>
      <c r="M128" s="54"/>
      <c r="N128" s="55"/>
      <c r="P128" s="58"/>
      <c r="Q128" s="59"/>
      <c r="R128" s="54"/>
      <c r="S128" s="55"/>
    </row>
    <row r="129" spans="11:19" x14ac:dyDescent="0.25">
      <c r="K129" s="58"/>
      <c r="L129" s="59"/>
      <c r="M129" s="54"/>
      <c r="N129" s="55"/>
      <c r="P129" s="58"/>
      <c r="Q129" s="59"/>
      <c r="R129" s="54"/>
      <c r="S129" s="55"/>
    </row>
    <row r="130" spans="11:19" x14ac:dyDescent="0.25">
      <c r="K130" s="58"/>
      <c r="L130" s="59"/>
      <c r="M130" s="54"/>
      <c r="N130" s="55"/>
      <c r="P130" s="58"/>
      <c r="Q130" s="59"/>
      <c r="R130" s="54"/>
      <c r="S130" s="55"/>
    </row>
    <row r="131" spans="11:19" x14ac:dyDescent="0.25">
      <c r="K131" s="58"/>
      <c r="L131" s="59"/>
      <c r="M131" s="54"/>
      <c r="N131" s="55"/>
      <c r="P131" s="58"/>
      <c r="Q131" s="59"/>
      <c r="R131" s="54"/>
      <c r="S131" s="55"/>
    </row>
    <row r="132" spans="11:19" x14ac:dyDescent="0.25">
      <c r="K132" s="58"/>
      <c r="L132" s="59"/>
      <c r="M132" s="54"/>
      <c r="N132" s="55"/>
      <c r="P132" s="58"/>
      <c r="Q132" s="59"/>
      <c r="R132" s="54"/>
      <c r="S132" s="55"/>
    </row>
    <row r="133" spans="11:19" x14ac:dyDescent="0.25">
      <c r="K133" s="58"/>
      <c r="L133" s="59"/>
      <c r="M133" s="54"/>
      <c r="N133" s="55"/>
      <c r="P133" s="58"/>
      <c r="Q133" s="59"/>
      <c r="R133" s="54"/>
      <c r="S133" s="55"/>
    </row>
    <row r="134" spans="11:19" x14ac:dyDescent="0.25">
      <c r="K134" s="58"/>
      <c r="L134" s="59"/>
      <c r="M134" s="54"/>
      <c r="N134" s="55"/>
      <c r="P134" s="58"/>
      <c r="Q134" s="59"/>
      <c r="R134" s="54"/>
      <c r="S134" s="55"/>
    </row>
    <row r="135" spans="11:19" x14ac:dyDescent="0.25">
      <c r="K135" s="58"/>
      <c r="L135" s="59"/>
      <c r="M135" s="54"/>
      <c r="N135" s="55"/>
      <c r="P135" s="58"/>
      <c r="Q135" s="59"/>
      <c r="R135" s="54"/>
      <c r="S135" s="55"/>
    </row>
    <row r="136" spans="11:19" x14ac:dyDescent="0.25">
      <c r="K136" s="58"/>
      <c r="L136" s="59"/>
      <c r="M136" s="54"/>
      <c r="N136" s="55"/>
      <c r="P136" s="58"/>
      <c r="Q136" s="59"/>
      <c r="R136" s="54"/>
      <c r="S136" s="55"/>
    </row>
    <row r="137" spans="11:19" x14ac:dyDescent="0.25">
      <c r="K137" s="58"/>
      <c r="L137" s="59"/>
      <c r="M137" s="54"/>
      <c r="N137" s="55"/>
      <c r="P137" s="58"/>
      <c r="Q137" s="59"/>
      <c r="R137" s="54"/>
      <c r="S137" s="55"/>
    </row>
    <row r="138" spans="11:19" x14ac:dyDescent="0.25">
      <c r="K138" s="58"/>
      <c r="L138" s="59"/>
      <c r="M138" s="54"/>
      <c r="N138" s="55"/>
      <c r="P138" s="58"/>
      <c r="Q138" s="59"/>
      <c r="R138" s="54"/>
      <c r="S138" s="55"/>
    </row>
    <row r="139" spans="11:19" x14ac:dyDescent="0.25">
      <c r="K139" s="58"/>
      <c r="L139" s="59"/>
      <c r="M139" s="54"/>
      <c r="N139" s="55"/>
      <c r="P139" s="58"/>
      <c r="Q139" s="59"/>
      <c r="R139" s="54"/>
      <c r="S139" s="55"/>
    </row>
    <row r="140" spans="11:19" x14ac:dyDescent="0.25">
      <c r="K140" s="58"/>
      <c r="L140" s="59"/>
      <c r="M140" s="54"/>
      <c r="N140" s="55"/>
      <c r="P140" s="58"/>
      <c r="Q140" s="59"/>
      <c r="R140" s="54"/>
      <c r="S140" s="55"/>
    </row>
    <row r="141" spans="11:19" x14ac:dyDescent="0.25">
      <c r="K141" s="58"/>
      <c r="L141" s="59"/>
      <c r="M141" s="54"/>
      <c r="N141" s="55"/>
      <c r="P141" s="58"/>
      <c r="Q141" s="59"/>
      <c r="R141" s="54"/>
      <c r="S141" s="55"/>
    </row>
    <row r="142" spans="11:19" x14ac:dyDescent="0.25">
      <c r="K142" s="58"/>
      <c r="L142" s="59"/>
      <c r="M142" s="54"/>
      <c r="N142" s="55"/>
      <c r="P142" s="58"/>
      <c r="Q142" s="59"/>
      <c r="R142" s="54"/>
      <c r="S142" s="55"/>
    </row>
    <row r="143" spans="11:19" x14ac:dyDescent="0.25">
      <c r="K143" s="58"/>
      <c r="L143" s="59"/>
      <c r="M143" s="54"/>
      <c r="N143" s="55"/>
      <c r="P143" s="58"/>
      <c r="Q143" s="59"/>
      <c r="R143" s="54"/>
      <c r="S143" s="55"/>
    </row>
    <row r="144" spans="11:19" x14ac:dyDescent="0.25">
      <c r="K144" s="58"/>
      <c r="L144" s="59"/>
      <c r="M144" s="54"/>
      <c r="N144" s="55"/>
      <c r="P144" s="58"/>
      <c r="Q144" s="59"/>
      <c r="R144" s="54"/>
      <c r="S144" s="55"/>
    </row>
    <row r="145" spans="11:19" x14ac:dyDescent="0.25">
      <c r="K145" s="58"/>
      <c r="L145" s="59"/>
      <c r="M145" s="54"/>
      <c r="N145" s="55"/>
      <c r="P145" s="58"/>
      <c r="Q145" s="59"/>
      <c r="R145" s="54"/>
      <c r="S145" s="55"/>
    </row>
    <row r="146" spans="11:19" x14ac:dyDescent="0.25">
      <c r="K146" s="58"/>
      <c r="L146" s="59"/>
      <c r="M146" s="54"/>
      <c r="N146" s="55"/>
      <c r="P146" s="58"/>
      <c r="Q146" s="59"/>
      <c r="R146" s="54"/>
      <c r="S146" s="55"/>
    </row>
    <row r="147" spans="11:19" x14ac:dyDescent="0.25">
      <c r="K147" s="58"/>
      <c r="L147" s="59"/>
      <c r="M147" s="54"/>
      <c r="N147" s="55"/>
      <c r="P147" s="58"/>
      <c r="Q147" s="59"/>
      <c r="R147" s="54"/>
      <c r="S147" s="55"/>
    </row>
    <row r="148" spans="11:19" x14ac:dyDescent="0.25">
      <c r="K148" s="58"/>
      <c r="L148" s="59"/>
      <c r="M148" s="54"/>
      <c r="N148" s="55"/>
      <c r="P148" s="58"/>
      <c r="Q148" s="59"/>
      <c r="R148" s="54"/>
      <c r="S148" s="55"/>
    </row>
    <row r="149" spans="11:19" x14ac:dyDescent="0.25">
      <c r="K149" s="58"/>
      <c r="L149" s="59"/>
      <c r="M149" s="54"/>
      <c r="N149" s="55"/>
      <c r="P149" s="58"/>
      <c r="Q149" s="59"/>
      <c r="R149" s="54"/>
      <c r="S149" s="55"/>
    </row>
    <row r="150" spans="11:19" x14ac:dyDescent="0.25">
      <c r="K150" s="58"/>
      <c r="L150" s="59"/>
      <c r="M150" s="54"/>
      <c r="N150" s="55"/>
      <c r="P150" s="58"/>
      <c r="Q150" s="59"/>
      <c r="R150" s="54"/>
      <c r="S150" s="55"/>
    </row>
    <row r="151" spans="11:19" x14ac:dyDescent="0.25">
      <c r="K151" s="58"/>
      <c r="L151" s="59"/>
      <c r="M151" s="54"/>
      <c r="N151" s="55"/>
      <c r="P151" s="58"/>
      <c r="Q151" s="59"/>
      <c r="R151" s="54"/>
      <c r="S151" s="55"/>
    </row>
    <row r="152" spans="11:19" x14ac:dyDescent="0.25">
      <c r="K152" s="58"/>
      <c r="L152" s="59"/>
      <c r="M152" s="54"/>
      <c r="N152" s="55"/>
      <c r="P152" s="58"/>
      <c r="Q152" s="59"/>
      <c r="R152" s="54"/>
      <c r="S152" s="55"/>
    </row>
    <row r="153" spans="11:19" x14ac:dyDescent="0.25">
      <c r="K153" s="58"/>
      <c r="L153" s="59"/>
      <c r="M153" s="54"/>
      <c r="N153" s="55"/>
      <c r="P153" s="58"/>
      <c r="Q153" s="59"/>
      <c r="R153" s="54"/>
      <c r="S153" s="55"/>
    </row>
    <row r="154" spans="11:19" x14ac:dyDescent="0.25">
      <c r="K154" s="58"/>
      <c r="L154" s="59"/>
      <c r="M154" s="54"/>
      <c r="N154" s="55"/>
      <c r="P154" s="58"/>
      <c r="Q154" s="59"/>
      <c r="R154" s="54"/>
      <c r="S154" s="55"/>
    </row>
    <row r="155" spans="11:19" x14ac:dyDescent="0.25">
      <c r="K155" s="58"/>
      <c r="L155" s="59"/>
      <c r="M155" s="54"/>
      <c r="N155" s="55"/>
      <c r="P155" s="58"/>
      <c r="Q155" s="59"/>
      <c r="R155" s="54"/>
      <c r="S155" s="55"/>
    </row>
    <row r="156" spans="11:19" x14ac:dyDescent="0.25">
      <c r="K156" s="58"/>
      <c r="L156" s="59"/>
      <c r="M156" s="54"/>
      <c r="N156" s="55"/>
      <c r="P156" s="58"/>
      <c r="Q156" s="59"/>
      <c r="R156" s="54"/>
      <c r="S156" s="55"/>
    </row>
    <row r="157" spans="11:19" x14ac:dyDescent="0.25">
      <c r="K157" s="58"/>
      <c r="L157" s="59"/>
      <c r="M157" s="54"/>
      <c r="N157" s="55"/>
      <c r="P157" s="58"/>
      <c r="Q157" s="59"/>
      <c r="R157" s="54"/>
      <c r="S157" s="55"/>
    </row>
    <row r="158" spans="11:19" x14ac:dyDescent="0.25">
      <c r="K158" s="58"/>
      <c r="L158" s="59"/>
      <c r="M158" s="54"/>
      <c r="N158" s="55"/>
      <c r="P158" s="58"/>
      <c r="Q158" s="59"/>
      <c r="R158" s="54"/>
      <c r="S158" s="55"/>
    </row>
    <row r="159" spans="11:19" x14ac:dyDescent="0.25">
      <c r="K159" s="58"/>
      <c r="L159" s="59"/>
      <c r="M159" s="54"/>
      <c r="N159" s="55"/>
      <c r="P159" s="58"/>
      <c r="Q159" s="59"/>
      <c r="R159" s="54"/>
      <c r="S159" s="55"/>
    </row>
    <row r="160" spans="11:19" x14ac:dyDescent="0.25">
      <c r="K160" s="58"/>
      <c r="L160" s="59"/>
      <c r="M160" s="54"/>
      <c r="N160" s="55"/>
      <c r="P160" s="58"/>
      <c r="Q160" s="59"/>
      <c r="R160" s="54"/>
      <c r="S160" s="55"/>
    </row>
    <row r="161" spans="11:19" x14ac:dyDescent="0.25">
      <c r="K161" s="58"/>
      <c r="L161" s="59"/>
      <c r="M161" s="54"/>
      <c r="N161" s="55"/>
      <c r="P161" s="58"/>
      <c r="Q161" s="59"/>
      <c r="R161" s="54"/>
      <c r="S161" s="55"/>
    </row>
    <row r="162" spans="11:19" x14ac:dyDescent="0.25">
      <c r="K162" s="58"/>
      <c r="L162" s="59"/>
      <c r="M162" s="54"/>
      <c r="N162" s="55"/>
      <c r="P162" s="58"/>
      <c r="Q162" s="59"/>
      <c r="R162" s="54"/>
      <c r="S162" s="55"/>
    </row>
    <row r="163" spans="11:19" x14ac:dyDescent="0.25">
      <c r="K163" s="58"/>
      <c r="L163" s="59"/>
      <c r="M163" s="54"/>
      <c r="N163" s="55"/>
      <c r="P163" s="58"/>
      <c r="Q163" s="59"/>
      <c r="R163" s="54"/>
      <c r="S163" s="55"/>
    </row>
    <row r="164" spans="11:19" x14ac:dyDescent="0.25">
      <c r="K164" s="58"/>
      <c r="L164" s="59"/>
      <c r="M164" s="54"/>
      <c r="N164" s="55"/>
      <c r="P164" s="58"/>
      <c r="Q164" s="59"/>
      <c r="R164" s="54"/>
      <c r="S164" s="55"/>
    </row>
    <row r="165" spans="11:19" x14ac:dyDescent="0.25">
      <c r="K165" s="58"/>
      <c r="L165" s="59"/>
      <c r="M165" s="54"/>
      <c r="N165" s="55"/>
      <c r="P165" s="58"/>
      <c r="Q165" s="59"/>
      <c r="R165" s="54"/>
      <c r="S165" s="55"/>
    </row>
    <row r="166" spans="11:19" x14ac:dyDescent="0.25">
      <c r="K166" s="58"/>
      <c r="L166" s="59"/>
      <c r="M166" s="54"/>
      <c r="N166" s="55"/>
      <c r="P166" s="58"/>
      <c r="Q166" s="59"/>
      <c r="R166" s="54"/>
      <c r="S166" s="55"/>
    </row>
    <row r="167" spans="11:19" x14ac:dyDescent="0.25">
      <c r="K167" s="58"/>
      <c r="L167" s="59"/>
      <c r="M167" s="54"/>
      <c r="N167" s="55"/>
      <c r="P167" s="58"/>
      <c r="Q167" s="59"/>
      <c r="R167" s="54"/>
      <c r="S167" s="55"/>
    </row>
    <row r="168" spans="11:19" x14ac:dyDescent="0.25">
      <c r="K168" s="58"/>
      <c r="L168" s="59"/>
      <c r="M168" s="54"/>
      <c r="N168" s="55"/>
      <c r="P168" s="58"/>
      <c r="Q168" s="59"/>
      <c r="R168" s="54"/>
      <c r="S168" s="55"/>
    </row>
    <row r="169" spans="11:19" x14ac:dyDescent="0.25">
      <c r="K169" s="58"/>
      <c r="L169" s="59"/>
      <c r="M169" s="54"/>
      <c r="N169" s="55"/>
      <c r="P169" s="58"/>
      <c r="Q169" s="59"/>
      <c r="R169" s="54"/>
      <c r="S169" s="55"/>
    </row>
    <row r="170" spans="11:19" x14ac:dyDescent="0.25">
      <c r="K170" s="58"/>
      <c r="L170" s="59"/>
      <c r="M170" s="54"/>
      <c r="N170" s="55"/>
      <c r="P170" s="58"/>
      <c r="Q170" s="59"/>
      <c r="R170" s="54"/>
      <c r="S170" s="55"/>
    </row>
    <row r="171" spans="11:19" x14ac:dyDescent="0.25">
      <c r="K171" s="58"/>
      <c r="L171" s="59"/>
      <c r="M171" s="54"/>
      <c r="N171" s="55"/>
      <c r="P171" s="58"/>
      <c r="Q171" s="59"/>
      <c r="R171" s="54"/>
      <c r="S171" s="55"/>
    </row>
    <row r="172" spans="11:19" x14ac:dyDescent="0.25">
      <c r="K172" s="58"/>
      <c r="L172" s="59"/>
      <c r="M172" s="54"/>
      <c r="N172" s="55"/>
      <c r="P172" s="58"/>
      <c r="Q172" s="59"/>
      <c r="R172" s="54"/>
      <c r="S172" s="55"/>
    </row>
    <row r="173" spans="11:19" x14ac:dyDescent="0.25">
      <c r="K173" s="58"/>
      <c r="L173" s="59"/>
      <c r="M173" s="54"/>
      <c r="N173" s="55"/>
      <c r="P173" s="58"/>
      <c r="Q173" s="59"/>
      <c r="R173" s="54"/>
      <c r="S173" s="55"/>
    </row>
    <row r="174" spans="11:19" x14ac:dyDescent="0.25">
      <c r="K174" s="58"/>
      <c r="L174" s="59"/>
      <c r="M174" s="54"/>
      <c r="N174" s="55"/>
      <c r="P174" s="58"/>
      <c r="Q174" s="59"/>
      <c r="R174" s="54"/>
      <c r="S174" s="55"/>
    </row>
    <row r="175" spans="11:19" x14ac:dyDescent="0.25">
      <c r="K175" s="58"/>
      <c r="L175" s="59"/>
      <c r="M175" s="54"/>
      <c r="N175" s="55"/>
      <c r="P175" s="58"/>
      <c r="Q175" s="59"/>
      <c r="R175" s="54"/>
      <c r="S175" s="55"/>
    </row>
    <row r="176" spans="11:19" x14ac:dyDescent="0.25">
      <c r="K176" s="58"/>
      <c r="L176" s="59"/>
      <c r="M176" s="54"/>
      <c r="N176" s="55"/>
      <c r="P176" s="58"/>
      <c r="Q176" s="59"/>
      <c r="R176" s="54"/>
      <c r="S176" s="55"/>
    </row>
    <row r="177" spans="11:19" x14ac:dyDescent="0.25">
      <c r="K177" s="58"/>
      <c r="L177" s="59"/>
      <c r="M177" s="54"/>
      <c r="N177" s="55"/>
      <c r="P177" s="58"/>
      <c r="Q177" s="59"/>
      <c r="R177" s="54"/>
      <c r="S177" s="55"/>
    </row>
    <row r="178" spans="11:19" x14ac:dyDescent="0.25">
      <c r="K178" s="58"/>
      <c r="L178" s="59"/>
      <c r="M178" s="54"/>
      <c r="N178" s="55"/>
      <c r="P178" s="58"/>
      <c r="Q178" s="59"/>
      <c r="R178" s="54"/>
      <c r="S178" s="55"/>
    </row>
    <row r="179" spans="11:19" x14ac:dyDescent="0.25">
      <c r="K179" s="58"/>
      <c r="L179" s="59"/>
      <c r="M179" s="54"/>
      <c r="N179" s="55"/>
      <c r="P179" s="58"/>
      <c r="Q179" s="59"/>
      <c r="R179" s="54"/>
      <c r="S179" s="55"/>
    </row>
    <row r="180" spans="11:19" x14ac:dyDescent="0.25">
      <c r="K180" s="58"/>
      <c r="L180" s="59"/>
      <c r="M180" s="54"/>
      <c r="N180" s="55"/>
      <c r="P180" s="58"/>
      <c r="Q180" s="59"/>
      <c r="R180" s="54"/>
      <c r="S180" s="55"/>
    </row>
    <row r="181" spans="11:19" x14ac:dyDescent="0.25">
      <c r="K181" s="58"/>
      <c r="L181" s="59"/>
      <c r="M181" s="54"/>
      <c r="N181" s="55"/>
      <c r="P181" s="58"/>
      <c r="Q181" s="59"/>
      <c r="R181" s="54"/>
      <c r="S181" s="55"/>
    </row>
    <row r="182" spans="11:19" x14ac:dyDescent="0.25">
      <c r="K182" s="58"/>
      <c r="L182" s="59"/>
      <c r="M182" s="54"/>
      <c r="N182" s="55"/>
      <c r="P182" s="58"/>
      <c r="Q182" s="59"/>
      <c r="R182" s="54"/>
      <c r="S182" s="55"/>
    </row>
    <row r="183" spans="11:19" x14ac:dyDescent="0.25">
      <c r="K183" s="58"/>
      <c r="L183" s="59"/>
      <c r="M183" s="54"/>
      <c r="N183" s="55"/>
      <c r="P183" s="58"/>
      <c r="Q183" s="59"/>
      <c r="R183" s="54"/>
      <c r="S183" s="55"/>
    </row>
    <row r="184" spans="11:19" x14ac:dyDescent="0.25">
      <c r="K184" s="58"/>
      <c r="L184" s="59"/>
      <c r="M184" s="54"/>
      <c r="N184" s="55"/>
      <c r="P184" s="58"/>
      <c r="Q184" s="59"/>
      <c r="R184" s="54"/>
      <c r="S184" s="55"/>
    </row>
    <row r="185" spans="11:19" x14ac:dyDescent="0.25">
      <c r="K185" s="58"/>
      <c r="L185" s="59"/>
      <c r="M185" s="54"/>
      <c r="N185" s="55"/>
      <c r="P185" s="58"/>
      <c r="Q185" s="59"/>
      <c r="R185" s="54"/>
      <c r="S185" s="55"/>
    </row>
    <row r="186" spans="11:19" x14ac:dyDescent="0.25">
      <c r="K186" s="58"/>
      <c r="L186" s="59"/>
      <c r="M186" s="54"/>
      <c r="N186" s="55"/>
      <c r="P186" s="58"/>
      <c r="Q186" s="59"/>
      <c r="R186" s="54"/>
      <c r="S186" s="55"/>
    </row>
    <row r="187" spans="11:19" x14ac:dyDescent="0.25">
      <c r="K187" s="58"/>
      <c r="L187" s="59"/>
      <c r="M187" s="54"/>
      <c r="N187" s="55"/>
      <c r="P187" s="58"/>
      <c r="Q187" s="59"/>
      <c r="R187" s="54"/>
      <c r="S187" s="55"/>
    </row>
    <row r="188" spans="11:19" x14ac:dyDescent="0.25">
      <c r="K188" s="58"/>
      <c r="L188" s="59"/>
      <c r="M188" s="54"/>
      <c r="N188" s="55"/>
      <c r="P188" s="58"/>
      <c r="Q188" s="59"/>
      <c r="R188" s="54"/>
      <c r="S188" s="55"/>
    </row>
    <row r="189" spans="11:19" x14ac:dyDescent="0.25">
      <c r="K189" s="58"/>
      <c r="L189" s="59"/>
      <c r="M189" s="54"/>
      <c r="N189" s="55"/>
      <c r="P189" s="58"/>
      <c r="Q189" s="59"/>
      <c r="R189" s="54"/>
      <c r="S189" s="55"/>
    </row>
    <row r="190" spans="11:19" x14ac:dyDescent="0.25">
      <c r="K190" s="58"/>
      <c r="L190" s="59"/>
      <c r="M190" s="54"/>
      <c r="N190" s="55"/>
      <c r="P190" s="58"/>
      <c r="Q190" s="59"/>
      <c r="R190" s="54"/>
      <c r="S190" s="55"/>
    </row>
    <row r="191" spans="11:19" x14ac:dyDescent="0.25">
      <c r="K191" s="58"/>
      <c r="L191" s="59"/>
      <c r="M191" s="54"/>
      <c r="N191" s="55"/>
      <c r="P191" s="58"/>
      <c r="Q191" s="59"/>
      <c r="R191" s="54"/>
      <c r="S191" s="55"/>
    </row>
    <row r="192" spans="11:19" x14ac:dyDescent="0.25">
      <c r="K192" s="58"/>
      <c r="L192" s="59"/>
      <c r="M192" s="54"/>
      <c r="N192" s="55"/>
      <c r="P192" s="58"/>
      <c r="Q192" s="59"/>
      <c r="R192" s="54"/>
      <c r="S192" s="55"/>
    </row>
    <row r="193" spans="11:19" x14ac:dyDescent="0.25">
      <c r="K193" s="58"/>
      <c r="L193" s="59"/>
      <c r="M193" s="54"/>
      <c r="N193" s="55"/>
      <c r="P193" s="58"/>
      <c r="Q193" s="59"/>
      <c r="R193" s="54"/>
      <c r="S193" s="55"/>
    </row>
    <row r="194" spans="11:19" x14ac:dyDescent="0.25">
      <c r="K194" s="58"/>
      <c r="L194" s="59"/>
      <c r="M194" s="54"/>
      <c r="N194" s="55"/>
      <c r="P194" s="58"/>
      <c r="Q194" s="59"/>
      <c r="R194" s="54"/>
      <c r="S194" s="55"/>
    </row>
    <row r="195" spans="11:19" x14ac:dyDescent="0.25">
      <c r="K195" s="58"/>
      <c r="L195" s="59"/>
      <c r="M195" s="54"/>
      <c r="N195" s="55"/>
      <c r="P195" s="58"/>
      <c r="Q195" s="59"/>
      <c r="R195" s="54"/>
      <c r="S195" s="55"/>
    </row>
    <row r="196" spans="11:19" x14ac:dyDescent="0.25">
      <c r="K196" s="58"/>
      <c r="L196" s="59"/>
      <c r="M196" s="54"/>
      <c r="N196" s="55"/>
      <c r="P196" s="58"/>
      <c r="Q196" s="59"/>
      <c r="R196" s="54"/>
      <c r="S196" s="55"/>
    </row>
    <row r="197" spans="11:19" x14ac:dyDescent="0.25">
      <c r="K197" s="58"/>
      <c r="L197" s="59"/>
      <c r="M197" s="54"/>
      <c r="N197" s="55"/>
      <c r="P197" s="58"/>
      <c r="Q197" s="59"/>
      <c r="R197" s="54"/>
      <c r="S197" s="55"/>
    </row>
    <row r="198" spans="11:19" x14ac:dyDescent="0.25">
      <c r="K198" s="58"/>
      <c r="L198" s="59"/>
      <c r="M198" s="54"/>
      <c r="N198" s="55"/>
      <c r="P198" s="58"/>
      <c r="Q198" s="59"/>
      <c r="R198" s="54"/>
      <c r="S198" s="55"/>
    </row>
    <row r="199" spans="11:19" x14ac:dyDescent="0.25">
      <c r="K199" s="58"/>
      <c r="L199" s="59"/>
      <c r="M199" s="54"/>
      <c r="N199" s="55"/>
      <c r="P199" s="58"/>
      <c r="Q199" s="59"/>
      <c r="R199" s="54"/>
      <c r="S199" s="55"/>
    </row>
    <row r="200" spans="11:19" x14ac:dyDescent="0.25">
      <c r="K200" s="58"/>
      <c r="L200" s="59"/>
      <c r="M200" s="54"/>
      <c r="N200" s="55"/>
      <c r="P200" s="58"/>
      <c r="Q200" s="59"/>
      <c r="R200" s="54"/>
      <c r="S200" s="55"/>
    </row>
    <row r="201" spans="11:19" x14ac:dyDescent="0.25">
      <c r="K201" s="58"/>
      <c r="L201" s="59"/>
      <c r="M201" s="54"/>
      <c r="N201" s="55"/>
      <c r="P201" s="58"/>
      <c r="Q201" s="59"/>
      <c r="R201" s="54"/>
      <c r="S201" s="55"/>
    </row>
    <row r="202" spans="11:19" x14ac:dyDescent="0.25">
      <c r="K202" s="58"/>
      <c r="L202" s="59"/>
      <c r="M202" s="54"/>
      <c r="N202" s="55"/>
      <c r="P202" s="58"/>
      <c r="Q202" s="59"/>
      <c r="R202" s="54"/>
      <c r="S202" s="55"/>
    </row>
    <row r="203" spans="11:19" x14ac:dyDescent="0.25">
      <c r="K203" s="58"/>
      <c r="L203" s="59"/>
      <c r="M203" s="54"/>
      <c r="N203" s="55"/>
      <c r="P203" s="58"/>
      <c r="Q203" s="59"/>
      <c r="R203" s="54"/>
      <c r="S203" s="55"/>
    </row>
    <row r="204" spans="11:19" x14ac:dyDescent="0.25">
      <c r="K204" s="58"/>
      <c r="L204" s="59"/>
      <c r="M204" s="54"/>
      <c r="N204" s="55"/>
      <c r="P204" s="58"/>
      <c r="Q204" s="59"/>
      <c r="R204" s="54"/>
      <c r="S204" s="55"/>
    </row>
    <row r="205" spans="11:19" x14ac:dyDescent="0.25">
      <c r="K205" s="58"/>
      <c r="L205" s="59"/>
      <c r="M205" s="54"/>
      <c r="N205" s="55"/>
      <c r="P205" s="58"/>
      <c r="Q205" s="59"/>
      <c r="R205" s="54"/>
      <c r="S205" s="55"/>
    </row>
    <row r="206" spans="11:19" x14ac:dyDescent="0.25">
      <c r="K206" s="58"/>
      <c r="L206" s="59"/>
      <c r="M206" s="54"/>
      <c r="N206" s="55"/>
      <c r="P206" s="58"/>
      <c r="Q206" s="59"/>
      <c r="R206" s="54"/>
      <c r="S206" s="55"/>
    </row>
    <row r="207" spans="11:19" x14ac:dyDescent="0.25">
      <c r="K207" s="58"/>
      <c r="L207" s="59"/>
      <c r="M207" s="54"/>
      <c r="N207" s="55"/>
      <c r="P207" s="58"/>
      <c r="Q207" s="59"/>
      <c r="R207" s="54"/>
      <c r="S207" s="55"/>
    </row>
    <row r="208" spans="11:19" x14ac:dyDescent="0.25">
      <c r="K208" s="58"/>
      <c r="L208" s="59"/>
      <c r="M208" s="54"/>
      <c r="N208" s="55"/>
      <c r="P208" s="58"/>
      <c r="Q208" s="59"/>
      <c r="R208" s="54"/>
      <c r="S208" s="55"/>
    </row>
    <row r="209" spans="11:19" x14ac:dyDescent="0.25">
      <c r="K209" s="58"/>
      <c r="L209" s="59"/>
      <c r="M209" s="54"/>
      <c r="N209" s="55"/>
      <c r="P209" s="58"/>
      <c r="Q209" s="59"/>
      <c r="R209" s="54"/>
      <c r="S209" s="55"/>
    </row>
    <row r="210" spans="11:19" x14ac:dyDescent="0.25">
      <c r="K210" s="58"/>
      <c r="L210" s="59"/>
      <c r="M210" s="54"/>
      <c r="N210" s="55"/>
      <c r="P210" s="58"/>
      <c r="Q210" s="59"/>
      <c r="R210" s="54"/>
      <c r="S210" s="55"/>
    </row>
    <row r="211" spans="11:19" x14ac:dyDescent="0.25">
      <c r="K211" s="58"/>
      <c r="L211" s="59"/>
      <c r="M211" s="54"/>
      <c r="N211" s="55"/>
      <c r="P211" s="58"/>
      <c r="Q211" s="59"/>
      <c r="R211" s="54"/>
      <c r="S211" s="55"/>
    </row>
    <row r="212" spans="11:19" x14ac:dyDescent="0.25">
      <c r="K212" s="58"/>
      <c r="L212" s="59"/>
      <c r="M212" s="54"/>
      <c r="N212" s="55"/>
      <c r="P212" s="58"/>
      <c r="Q212" s="59"/>
      <c r="R212" s="54"/>
      <c r="S212" s="55"/>
    </row>
    <row r="213" spans="11:19" x14ac:dyDescent="0.25">
      <c r="K213" s="58"/>
      <c r="L213" s="59"/>
      <c r="M213" s="54"/>
      <c r="N213" s="55"/>
      <c r="P213" s="58"/>
      <c r="Q213" s="59"/>
      <c r="R213" s="54"/>
      <c r="S213" s="55"/>
    </row>
    <row r="214" spans="11:19" x14ac:dyDescent="0.25">
      <c r="K214" s="58"/>
      <c r="L214" s="59"/>
      <c r="M214" s="54"/>
      <c r="N214" s="55"/>
      <c r="P214" s="58"/>
      <c r="Q214" s="59"/>
      <c r="R214" s="54"/>
      <c r="S214" s="55"/>
    </row>
    <row r="215" spans="11:19" x14ac:dyDescent="0.25">
      <c r="K215" s="58"/>
      <c r="L215" s="59"/>
      <c r="M215" s="54"/>
      <c r="N215" s="55"/>
      <c r="P215" s="58"/>
      <c r="Q215" s="59"/>
      <c r="R215" s="54"/>
      <c r="S215" s="55"/>
    </row>
    <row r="216" spans="11:19" x14ac:dyDescent="0.25">
      <c r="K216" s="58"/>
      <c r="L216" s="59"/>
      <c r="M216" s="54"/>
      <c r="N216" s="55"/>
      <c r="P216" s="58"/>
      <c r="Q216" s="59"/>
      <c r="R216" s="54"/>
      <c r="S216" s="55"/>
    </row>
    <row r="217" spans="11:19" x14ac:dyDescent="0.25">
      <c r="K217" s="58"/>
      <c r="L217" s="59"/>
      <c r="M217" s="54"/>
      <c r="N217" s="55"/>
      <c r="P217" s="58"/>
      <c r="Q217" s="59"/>
      <c r="R217" s="54"/>
      <c r="S217" s="55"/>
    </row>
    <row r="218" spans="11:19" x14ac:dyDescent="0.25">
      <c r="K218" s="58"/>
      <c r="L218" s="59"/>
      <c r="M218" s="54"/>
      <c r="N218" s="55"/>
      <c r="P218" s="58"/>
      <c r="Q218" s="59"/>
      <c r="R218" s="54"/>
      <c r="S218" s="55"/>
    </row>
    <row r="219" spans="11:19" x14ac:dyDescent="0.25">
      <c r="K219" s="58"/>
      <c r="L219" s="59"/>
      <c r="M219" s="54"/>
      <c r="N219" s="55"/>
      <c r="P219" s="58"/>
      <c r="Q219" s="59"/>
      <c r="R219" s="54"/>
      <c r="S219" s="55"/>
    </row>
    <row r="220" spans="11:19" x14ac:dyDescent="0.25">
      <c r="K220" s="58"/>
      <c r="L220" s="59"/>
      <c r="M220" s="54"/>
      <c r="N220" s="55"/>
      <c r="P220" s="58"/>
      <c r="Q220" s="59"/>
      <c r="R220" s="54"/>
      <c r="S220" s="55"/>
    </row>
    <row r="221" spans="11:19" x14ac:dyDescent="0.25">
      <c r="K221" s="58"/>
      <c r="L221" s="59"/>
      <c r="M221" s="54"/>
      <c r="N221" s="55"/>
      <c r="P221" s="58"/>
      <c r="Q221" s="59"/>
      <c r="R221" s="54"/>
      <c r="S221" s="55"/>
    </row>
    <row r="222" spans="11:19" x14ac:dyDescent="0.25">
      <c r="K222" s="58"/>
      <c r="L222" s="59"/>
      <c r="M222" s="54"/>
      <c r="N222" s="55"/>
      <c r="P222" s="58"/>
      <c r="Q222" s="59"/>
      <c r="R222" s="54"/>
      <c r="S222" s="55"/>
    </row>
    <row r="223" spans="11:19" x14ac:dyDescent="0.25">
      <c r="K223" s="58"/>
      <c r="L223" s="59"/>
      <c r="M223" s="54"/>
      <c r="N223" s="55"/>
      <c r="P223" s="58"/>
      <c r="Q223" s="59"/>
      <c r="R223" s="54"/>
      <c r="S223" s="55"/>
    </row>
    <row r="224" spans="11:19" x14ac:dyDescent="0.25">
      <c r="K224" s="58"/>
      <c r="L224" s="59"/>
      <c r="M224" s="54"/>
      <c r="N224" s="55"/>
      <c r="P224" s="58"/>
      <c r="Q224" s="59"/>
      <c r="R224" s="54"/>
      <c r="S224" s="55"/>
    </row>
    <row r="225" spans="11:19" x14ac:dyDescent="0.25">
      <c r="K225" s="58"/>
      <c r="L225" s="59"/>
      <c r="M225" s="54"/>
      <c r="N225" s="55"/>
      <c r="P225" s="58"/>
      <c r="Q225" s="59"/>
      <c r="R225" s="54"/>
      <c r="S225" s="55"/>
    </row>
    <row r="226" spans="11:19" x14ac:dyDescent="0.25">
      <c r="K226" s="58"/>
      <c r="L226" s="59"/>
      <c r="M226" s="54"/>
      <c r="N226" s="55"/>
      <c r="P226" s="58"/>
      <c r="Q226" s="59"/>
      <c r="R226" s="54"/>
      <c r="S226" s="55"/>
    </row>
    <row r="227" spans="11:19" x14ac:dyDescent="0.25">
      <c r="K227" s="58"/>
      <c r="L227" s="59"/>
      <c r="M227" s="54"/>
      <c r="N227" s="55"/>
      <c r="P227" s="58"/>
      <c r="Q227" s="59"/>
      <c r="R227" s="54"/>
      <c r="S227" s="55"/>
    </row>
    <row r="228" spans="11:19" x14ac:dyDescent="0.25">
      <c r="K228" s="58"/>
      <c r="L228" s="59"/>
      <c r="M228" s="54"/>
      <c r="N228" s="55"/>
      <c r="P228" s="58"/>
      <c r="Q228" s="59"/>
      <c r="R228" s="54"/>
      <c r="S228" s="55"/>
    </row>
    <row r="229" spans="11:19" x14ac:dyDescent="0.25">
      <c r="K229" s="58"/>
      <c r="L229" s="59"/>
      <c r="M229" s="54"/>
      <c r="N229" s="55"/>
      <c r="P229" s="58"/>
      <c r="Q229" s="59"/>
      <c r="R229" s="54"/>
      <c r="S229" s="55"/>
    </row>
    <row r="230" spans="11:19" x14ac:dyDescent="0.25">
      <c r="K230" s="58"/>
      <c r="L230" s="59"/>
      <c r="M230" s="54"/>
      <c r="N230" s="55"/>
      <c r="P230" s="58"/>
      <c r="Q230" s="59"/>
      <c r="R230" s="54"/>
      <c r="S230" s="55"/>
    </row>
    <row r="231" spans="11:19" x14ac:dyDescent="0.25">
      <c r="K231" s="58"/>
      <c r="L231" s="59"/>
      <c r="M231" s="54"/>
      <c r="N231" s="55"/>
      <c r="P231" s="58"/>
      <c r="Q231" s="59"/>
      <c r="R231" s="54"/>
      <c r="S231" s="55"/>
    </row>
    <row r="232" spans="11:19" x14ac:dyDescent="0.25">
      <c r="K232" s="58"/>
      <c r="L232" s="59"/>
      <c r="M232" s="54"/>
      <c r="N232" s="55"/>
      <c r="P232" s="58"/>
      <c r="Q232" s="59"/>
      <c r="R232" s="54"/>
      <c r="S232" s="55"/>
    </row>
    <row r="233" spans="11:19" x14ac:dyDescent="0.25">
      <c r="K233" s="58"/>
      <c r="L233" s="59"/>
      <c r="M233" s="54"/>
      <c r="N233" s="55"/>
      <c r="P233" s="58"/>
      <c r="Q233" s="59"/>
      <c r="R233" s="54"/>
      <c r="S233" s="55"/>
    </row>
    <row r="234" spans="11:19" x14ac:dyDescent="0.25">
      <c r="K234" s="58"/>
      <c r="L234" s="59"/>
      <c r="M234" s="54"/>
      <c r="N234" s="55"/>
      <c r="P234" s="58"/>
      <c r="Q234" s="59"/>
      <c r="R234" s="54"/>
      <c r="S234" s="55"/>
    </row>
    <row r="235" spans="11:19" x14ac:dyDescent="0.25">
      <c r="K235" s="58"/>
      <c r="L235" s="59"/>
      <c r="M235" s="54"/>
      <c r="N235" s="55"/>
      <c r="P235" s="58"/>
      <c r="Q235" s="59"/>
      <c r="R235" s="54"/>
      <c r="S235" s="55"/>
    </row>
    <row r="236" spans="11:19" x14ac:dyDescent="0.25">
      <c r="K236" s="58"/>
      <c r="L236" s="59"/>
      <c r="M236" s="54"/>
      <c r="N236" s="55"/>
      <c r="P236" s="58"/>
      <c r="Q236" s="59"/>
      <c r="R236" s="54"/>
      <c r="S236" s="55"/>
    </row>
    <row r="237" spans="11:19" x14ac:dyDescent="0.25">
      <c r="K237" s="58"/>
      <c r="L237" s="59"/>
      <c r="M237" s="54"/>
      <c r="N237" s="55"/>
      <c r="P237" s="58"/>
      <c r="Q237" s="59"/>
      <c r="R237" s="54"/>
      <c r="S237" s="55"/>
    </row>
    <row r="238" spans="11:19" x14ac:dyDescent="0.25">
      <c r="K238" s="58"/>
      <c r="L238" s="59"/>
      <c r="M238" s="54"/>
      <c r="N238" s="55"/>
      <c r="P238" s="58"/>
      <c r="Q238" s="59"/>
      <c r="R238" s="54"/>
      <c r="S238" s="55"/>
    </row>
    <row r="239" spans="11:19" x14ac:dyDescent="0.25">
      <c r="K239" s="58"/>
      <c r="L239" s="59"/>
      <c r="M239" s="54"/>
      <c r="N239" s="55"/>
      <c r="P239" s="58"/>
      <c r="Q239" s="59"/>
      <c r="R239" s="54"/>
      <c r="S239" s="55"/>
    </row>
    <row r="240" spans="11:19" x14ac:dyDescent="0.25">
      <c r="K240" s="58"/>
      <c r="L240" s="59"/>
      <c r="M240" s="54"/>
      <c r="N240" s="55"/>
      <c r="P240" s="58"/>
      <c r="Q240" s="59"/>
      <c r="R240" s="54"/>
      <c r="S240" s="55"/>
    </row>
    <row r="241" spans="11:19" x14ac:dyDescent="0.25">
      <c r="K241" s="58"/>
      <c r="L241" s="59"/>
      <c r="M241" s="54"/>
      <c r="N241" s="55"/>
      <c r="P241" s="58"/>
      <c r="Q241" s="59"/>
      <c r="R241" s="54"/>
      <c r="S241" s="55"/>
    </row>
    <row r="242" spans="11:19" x14ac:dyDescent="0.25">
      <c r="K242" s="58"/>
      <c r="L242" s="59"/>
      <c r="M242" s="54"/>
      <c r="N242" s="55"/>
      <c r="P242" s="58"/>
      <c r="Q242" s="59"/>
      <c r="R242" s="54"/>
      <c r="S242" s="55"/>
    </row>
    <row r="243" spans="11:19" x14ac:dyDescent="0.25">
      <c r="K243" s="58"/>
      <c r="L243" s="59"/>
      <c r="M243" s="54"/>
      <c r="N243" s="55"/>
      <c r="P243" s="58"/>
      <c r="Q243" s="59"/>
      <c r="R243" s="54"/>
      <c r="S243" s="55"/>
    </row>
    <row r="244" spans="11:19" x14ac:dyDescent="0.25">
      <c r="K244" s="58"/>
      <c r="L244" s="59"/>
      <c r="M244" s="54"/>
      <c r="N244" s="55"/>
      <c r="P244" s="58"/>
      <c r="Q244" s="59"/>
      <c r="R244" s="54"/>
      <c r="S244" s="55"/>
    </row>
    <row r="245" spans="11:19" x14ac:dyDescent="0.25">
      <c r="K245" s="58"/>
      <c r="L245" s="59"/>
      <c r="M245" s="54"/>
      <c r="N245" s="55"/>
      <c r="P245" s="58"/>
      <c r="Q245" s="59"/>
      <c r="R245" s="54"/>
      <c r="S245" s="55"/>
    </row>
    <row r="246" spans="11:19" x14ac:dyDescent="0.25">
      <c r="K246" s="58"/>
      <c r="L246" s="59"/>
      <c r="M246" s="54"/>
      <c r="N246" s="55"/>
      <c r="P246" s="58"/>
      <c r="Q246" s="59"/>
      <c r="R246" s="54"/>
      <c r="S246" s="55"/>
    </row>
    <row r="247" spans="11:19" x14ac:dyDescent="0.25">
      <c r="K247" s="58"/>
      <c r="L247" s="59"/>
      <c r="M247" s="54"/>
      <c r="N247" s="55"/>
      <c r="P247" s="58"/>
      <c r="Q247" s="59"/>
      <c r="R247" s="54"/>
      <c r="S247" s="55"/>
    </row>
    <row r="248" spans="11:19" x14ac:dyDescent="0.25">
      <c r="K248" s="58"/>
      <c r="L248" s="59"/>
      <c r="M248" s="54"/>
      <c r="N248" s="55"/>
      <c r="P248" s="58"/>
      <c r="Q248" s="59"/>
      <c r="R248" s="54"/>
      <c r="S248" s="55"/>
    </row>
    <row r="249" spans="11:19" x14ac:dyDescent="0.25">
      <c r="K249" s="58"/>
      <c r="L249" s="59"/>
      <c r="M249" s="54"/>
      <c r="N249" s="55"/>
      <c r="P249" s="58"/>
      <c r="Q249" s="59"/>
      <c r="R249" s="54"/>
      <c r="S249" s="55"/>
    </row>
    <row r="250" spans="11:19" x14ac:dyDescent="0.25">
      <c r="K250" s="58"/>
      <c r="L250" s="59"/>
      <c r="M250" s="54"/>
      <c r="N250" s="55"/>
      <c r="P250" s="58"/>
      <c r="Q250" s="59"/>
      <c r="R250" s="54"/>
      <c r="S250" s="55"/>
    </row>
    <row r="251" spans="11:19" x14ac:dyDescent="0.25">
      <c r="K251" s="58"/>
      <c r="L251" s="59"/>
      <c r="M251" s="54"/>
      <c r="N251" s="55"/>
      <c r="P251" s="58"/>
      <c r="Q251" s="59"/>
      <c r="R251" s="54"/>
      <c r="S251" s="55"/>
    </row>
    <row r="252" spans="11:19" x14ac:dyDescent="0.25">
      <c r="K252" s="58"/>
      <c r="L252" s="59"/>
      <c r="M252" s="54"/>
      <c r="N252" s="55"/>
      <c r="P252" s="58"/>
      <c r="Q252" s="59"/>
      <c r="R252" s="54"/>
      <c r="S252" s="55"/>
    </row>
    <row r="253" spans="11:19" x14ac:dyDescent="0.25">
      <c r="K253" s="58"/>
      <c r="L253" s="59"/>
      <c r="M253" s="54"/>
      <c r="N253" s="55"/>
      <c r="P253" s="58"/>
      <c r="Q253" s="59"/>
      <c r="R253" s="54"/>
      <c r="S253" s="55"/>
    </row>
    <row r="254" spans="11:19" x14ac:dyDescent="0.25">
      <c r="K254" s="58"/>
      <c r="L254" s="59"/>
      <c r="M254" s="54"/>
      <c r="N254" s="55"/>
      <c r="P254" s="58"/>
      <c r="Q254" s="59"/>
      <c r="R254" s="54"/>
      <c r="S254" s="55"/>
    </row>
    <row r="255" spans="11:19" x14ac:dyDescent="0.25">
      <c r="K255" s="58"/>
      <c r="L255" s="59"/>
      <c r="M255" s="54"/>
      <c r="N255" s="55"/>
      <c r="P255" s="58"/>
      <c r="Q255" s="59"/>
      <c r="R255" s="54"/>
      <c r="S255" s="55"/>
    </row>
    <row r="256" spans="11:19" x14ac:dyDescent="0.25">
      <c r="K256" s="58"/>
      <c r="L256" s="59"/>
      <c r="M256" s="54"/>
      <c r="N256" s="55"/>
      <c r="P256" s="58"/>
      <c r="Q256" s="59"/>
      <c r="R256" s="54"/>
      <c r="S256" s="55"/>
    </row>
    <row r="257" spans="11:19" x14ac:dyDescent="0.25">
      <c r="K257" s="58"/>
      <c r="L257" s="59"/>
      <c r="M257" s="54"/>
      <c r="N257" s="55"/>
      <c r="P257" s="58"/>
      <c r="Q257" s="59"/>
      <c r="R257" s="54"/>
      <c r="S257" s="55"/>
    </row>
    <row r="258" spans="11:19" x14ac:dyDescent="0.25">
      <c r="K258" s="58"/>
      <c r="L258" s="59"/>
      <c r="M258" s="54"/>
      <c r="N258" s="55"/>
      <c r="P258" s="58"/>
      <c r="Q258" s="59"/>
      <c r="R258" s="54"/>
      <c r="S258" s="55"/>
    </row>
    <row r="259" spans="11:19" x14ac:dyDescent="0.25">
      <c r="K259" s="58"/>
      <c r="L259" s="59"/>
      <c r="M259" s="54"/>
      <c r="N259" s="55"/>
      <c r="P259" s="58"/>
      <c r="Q259" s="59"/>
      <c r="R259" s="54"/>
      <c r="S259" s="55"/>
    </row>
    <row r="260" spans="11:19" x14ac:dyDescent="0.25">
      <c r="K260" s="58"/>
      <c r="L260" s="59"/>
      <c r="M260" s="54"/>
      <c r="N260" s="55"/>
      <c r="P260" s="58"/>
      <c r="Q260" s="59"/>
      <c r="R260" s="54"/>
      <c r="S260" s="55"/>
    </row>
    <row r="261" spans="11:19" x14ac:dyDescent="0.25">
      <c r="K261" s="58"/>
      <c r="L261" s="59"/>
      <c r="M261" s="54"/>
      <c r="N261" s="55"/>
      <c r="P261" s="58"/>
      <c r="Q261" s="59"/>
      <c r="R261" s="54"/>
      <c r="S261" s="55"/>
    </row>
    <row r="262" spans="11:19" x14ac:dyDescent="0.25">
      <c r="K262" s="58"/>
      <c r="L262" s="59"/>
      <c r="M262" s="54"/>
      <c r="N262" s="55"/>
      <c r="P262" s="58"/>
      <c r="Q262" s="59"/>
      <c r="R262" s="54"/>
      <c r="S262" s="55"/>
    </row>
    <row r="263" spans="11:19" x14ac:dyDescent="0.25">
      <c r="K263" s="58"/>
      <c r="L263" s="59"/>
      <c r="M263" s="54"/>
      <c r="N263" s="55"/>
      <c r="P263" s="58"/>
      <c r="Q263" s="59"/>
      <c r="R263" s="54"/>
      <c r="S263" s="55"/>
    </row>
    <row r="264" spans="11:19" x14ac:dyDescent="0.25">
      <c r="K264" s="58"/>
      <c r="L264" s="59"/>
      <c r="M264" s="54"/>
      <c r="N264" s="55"/>
      <c r="P264" s="58"/>
      <c r="Q264" s="59"/>
      <c r="R264" s="54"/>
      <c r="S264" s="55"/>
    </row>
    <row r="265" spans="11:19" x14ac:dyDescent="0.25">
      <c r="K265" s="58"/>
      <c r="L265" s="59"/>
      <c r="M265" s="54"/>
      <c r="N265" s="55"/>
      <c r="P265" s="58"/>
      <c r="Q265" s="59"/>
      <c r="R265" s="54"/>
      <c r="S265" s="55"/>
    </row>
    <row r="266" spans="11:19" x14ac:dyDescent="0.25">
      <c r="K266" s="58"/>
      <c r="L266" s="59"/>
      <c r="M266" s="54"/>
      <c r="N266" s="55"/>
      <c r="P266" s="58"/>
      <c r="Q266" s="59"/>
      <c r="R266" s="54"/>
      <c r="S266" s="55"/>
    </row>
    <row r="267" spans="11:19" x14ac:dyDescent="0.25">
      <c r="K267" s="58"/>
      <c r="L267" s="59"/>
      <c r="M267" s="54"/>
      <c r="N267" s="55"/>
      <c r="P267" s="58"/>
      <c r="Q267" s="59"/>
      <c r="R267" s="54"/>
      <c r="S267" s="55"/>
    </row>
    <row r="268" spans="11:19" x14ac:dyDescent="0.25">
      <c r="K268" s="58"/>
      <c r="L268" s="59"/>
      <c r="M268" s="54"/>
      <c r="N268" s="55"/>
      <c r="P268" s="58"/>
      <c r="Q268" s="59"/>
      <c r="R268" s="54"/>
      <c r="S268" s="55"/>
    </row>
    <row r="269" spans="11:19" x14ac:dyDescent="0.25">
      <c r="K269" s="58"/>
      <c r="L269" s="59"/>
      <c r="M269" s="54"/>
      <c r="N269" s="55"/>
      <c r="P269" s="58"/>
      <c r="Q269" s="59"/>
      <c r="R269" s="54"/>
      <c r="S269" s="55"/>
    </row>
    <row r="270" spans="11:19" x14ac:dyDescent="0.25">
      <c r="K270" s="58"/>
      <c r="L270" s="59"/>
      <c r="M270" s="54"/>
      <c r="N270" s="55"/>
      <c r="P270" s="58"/>
      <c r="Q270" s="59"/>
      <c r="R270" s="54"/>
      <c r="S270" s="55"/>
    </row>
    <row r="271" spans="11:19" x14ac:dyDescent="0.25">
      <c r="K271" s="58"/>
      <c r="L271" s="59"/>
      <c r="M271" s="54"/>
      <c r="N271" s="55"/>
      <c r="P271" s="58"/>
      <c r="Q271" s="59"/>
      <c r="R271" s="54"/>
      <c r="S271" s="55"/>
    </row>
    <row r="272" spans="11:19" x14ac:dyDescent="0.25">
      <c r="K272" s="58"/>
      <c r="L272" s="59"/>
      <c r="M272" s="54"/>
      <c r="N272" s="55"/>
      <c r="P272" s="58"/>
      <c r="Q272" s="59"/>
      <c r="R272" s="54"/>
      <c r="S272" s="55"/>
    </row>
    <row r="273" spans="11:19" x14ac:dyDescent="0.25">
      <c r="K273" s="58"/>
      <c r="L273" s="59"/>
      <c r="M273" s="54"/>
      <c r="N273" s="55"/>
      <c r="P273" s="58"/>
      <c r="Q273" s="59"/>
      <c r="R273" s="54"/>
      <c r="S273" s="55"/>
    </row>
    <row r="274" spans="11:19" x14ac:dyDescent="0.25">
      <c r="K274" s="58"/>
      <c r="L274" s="59"/>
      <c r="M274" s="54"/>
      <c r="N274" s="55"/>
      <c r="P274" s="58"/>
      <c r="Q274" s="59"/>
      <c r="R274" s="54"/>
      <c r="S274" s="55"/>
    </row>
    <row r="275" spans="11:19" x14ac:dyDescent="0.25">
      <c r="K275" s="58"/>
      <c r="L275" s="59"/>
      <c r="M275" s="54"/>
      <c r="N275" s="55"/>
      <c r="P275" s="58"/>
      <c r="Q275" s="59"/>
      <c r="R275" s="54"/>
      <c r="S275" s="55"/>
    </row>
    <row r="276" spans="11:19" x14ac:dyDescent="0.25">
      <c r="K276" s="58"/>
      <c r="L276" s="59"/>
      <c r="M276" s="54"/>
      <c r="N276" s="55"/>
      <c r="P276" s="58"/>
      <c r="Q276" s="59"/>
      <c r="R276" s="54"/>
      <c r="S276" s="55"/>
    </row>
    <row r="277" spans="11:19" x14ac:dyDescent="0.25">
      <c r="K277" s="58"/>
      <c r="L277" s="59"/>
      <c r="M277" s="54"/>
      <c r="N277" s="55"/>
      <c r="P277" s="58"/>
      <c r="Q277" s="59"/>
      <c r="R277" s="54"/>
      <c r="S277" s="55"/>
    </row>
    <row r="278" spans="11:19" x14ac:dyDescent="0.25">
      <c r="K278" s="58"/>
      <c r="L278" s="59"/>
      <c r="M278" s="54"/>
      <c r="N278" s="55"/>
      <c r="P278" s="58"/>
      <c r="Q278" s="59"/>
      <c r="R278" s="54"/>
      <c r="S278" s="55"/>
    </row>
    <row r="279" spans="11:19" x14ac:dyDescent="0.25">
      <c r="K279" s="58"/>
      <c r="L279" s="59"/>
      <c r="M279" s="54"/>
      <c r="N279" s="55"/>
      <c r="P279" s="58"/>
      <c r="Q279" s="59"/>
      <c r="R279" s="54"/>
      <c r="S279" s="55"/>
    </row>
    <row r="280" spans="11:19" x14ac:dyDescent="0.25">
      <c r="K280" s="58"/>
      <c r="L280" s="59"/>
      <c r="M280" s="54"/>
      <c r="N280" s="55"/>
      <c r="P280" s="58"/>
      <c r="Q280" s="59"/>
      <c r="R280" s="54"/>
      <c r="S280" s="55"/>
    </row>
    <row r="281" spans="11:19" x14ac:dyDescent="0.25">
      <c r="K281" s="58"/>
      <c r="L281" s="59"/>
      <c r="M281" s="54"/>
      <c r="N281" s="55"/>
      <c r="P281" s="58"/>
      <c r="Q281" s="59"/>
      <c r="R281" s="54"/>
      <c r="S281" s="55"/>
    </row>
    <row r="282" spans="11:19" x14ac:dyDescent="0.25">
      <c r="K282" s="58"/>
      <c r="L282" s="59"/>
      <c r="M282" s="54"/>
      <c r="N282" s="55"/>
      <c r="P282" s="58"/>
      <c r="Q282" s="59"/>
      <c r="R282" s="54"/>
      <c r="S282" s="55"/>
    </row>
    <row r="283" spans="11:19" x14ac:dyDescent="0.25">
      <c r="K283" s="58"/>
      <c r="L283" s="59"/>
      <c r="M283" s="54"/>
      <c r="N283" s="55"/>
      <c r="P283" s="58"/>
      <c r="Q283" s="59"/>
      <c r="R283" s="54"/>
      <c r="S283" s="55"/>
    </row>
    <row r="284" spans="11:19" x14ac:dyDescent="0.25">
      <c r="K284" s="58"/>
      <c r="L284" s="59"/>
      <c r="M284" s="54"/>
      <c r="N284" s="55"/>
      <c r="P284" s="58"/>
      <c r="Q284" s="59"/>
      <c r="R284" s="54"/>
      <c r="S284" s="55"/>
    </row>
    <row r="285" spans="11:19" x14ac:dyDescent="0.25">
      <c r="K285" s="58"/>
      <c r="L285" s="59"/>
      <c r="M285" s="54"/>
      <c r="N285" s="55"/>
      <c r="P285" s="58"/>
      <c r="Q285" s="59"/>
      <c r="R285" s="54"/>
      <c r="S285" s="55"/>
    </row>
    <row r="286" spans="11:19" x14ac:dyDescent="0.25">
      <c r="K286" s="58"/>
      <c r="L286" s="59"/>
      <c r="M286" s="54"/>
      <c r="N286" s="55"/>
      <c r="P286" s="58"/>
      <c r="Q286" s="59"/>
      <c r="R286" s="54"/>
      <c r="S286" s="55"/>
    </row>
    <row r="287" spans="11:19" x14ac:dyDescent="0.25">
      <c r="K287" s="58"/>
      <c r="L287" s="59"/>
      <c r="M287" s="54"/>
      <c r="N287" s="55"/>
      <c r="P287" s="58"/>
      <c r="Q287" s="59"/>
      <c r="R287" s="54"/>
      <c r="S287" s="55"/>
    </row>
    <row r="288" spans="11:19" x14ac:dyDescent="0.25">
      <c r="K288" s="58"/>
      <c r="L288" s="59"/>
      <c r="M288" s="54"/>
      <c r="N288" s="55"/>
      <c r="P288" s="58"/>
      <c r="Q288" s="59"/>
      <c r="R288" s="54"/>
      <c r="S288" s="55"/>
    </row>
    <row r="289" spans="11:19" x14ac:dyDescent="0.25">
      <c r="K289" s="58"/>
      <c r="L289" s="59"/>
      <c r="M289" s="54"/>
      <c r="N289" s="55"/>
      <c r="P289" s="58"/>
      <c r="Q289" s="59"/>
      <c r="R289" s="54"/>
      <c r="S289" s="55"/>
    </row>
    <row r="290" spans="11:19" x14ac:dyDescent="0.25">
      <c r="K290" s="58"/>
      <c r="L290" s="59"/>
      <c r="M290" s="54"/>
      <c r="N290" s="55"/>
      <c r="P290" s="58"/>
      <c r="Q290" s="59"/>
      <c r="R290" s="54"/>
      <c r="S290" s="55"/>
    </row>
    <row r="291" spans="11:19" x14ac:dyDescent="0.25">
      <c r="K291" s="58"/>
      <c r="L291" s="59"/>
      <c r="M291" s="54"/>
      <c r="N291" s="55"/>
      <c r="P291" s="58"/>
      <c r="Q291" s="59"/>
      <c r="R291" s="54"/>
      <c r="S291" s="55"/>
    </row>
    <row r="292" spans="11:19" x14ac:dyDescent="0.25">
      <c r="K292" s="58"/>
      <c r="L292" s="59"/>
      <c r="M292" s="54"/>
      <c r="N292" s="55"/>
      <c r="P292" s="58"/>
      <c r="Q292" s="59"/>
      <c r="R292" s="54"/>
      <c r="S292" s="55"/>
    </row>
    <row r="293" spans="11:19" x14ac:dyDescent="0.25">
      <c r="K293" s="58"/>
      <c r="L293" s="59"/>
      <c r="M293" s="54"/>
      <c r="N293" s="55"/>
      <c r="P293" s="58"/>
      <c r="Q293" s="59"/>
      <c r="R293" s="54"/>
      <c r="S293" s="55"/>
    </row>
    <row r="294" spans="11:19" x14ac:dyDescent="0.25">
      <c r="K294" s="58"/>
      <c r="L294" s="59"/>
      <c r="M294" s="54"/>
      <c r="N294" s="55"/>
      <c r="P294" s="58"/>
      <c r="Q294" s="59"/>
      <c r="R294" s="54"/>
      <c r="S294" s="55"/>
    </row>
    <row r="295" spans="11:19" x14ac:dyDescent="0.25">
      <c r="K295" s="58"/>
      <c r="L295" s="59"/>
      <c r="M295" s="54"/>
      <c r="N295" s="55"/>
      <c r="P295" s="58"/>
      <c r="Q295" s="59"/>
      <c r="R295" s="54"/>
      <c r="S295" s="55"/>
    </row>
    <row r="296" spans="11:19" x14ac:dyDescent="0.25">
      <c r="K296" s="58"/>
      <c r="L296" s="59"/>
      <c r="M296" s="54"/>
      <c r="N296" s="55"/>
      <c r="P296" s="58"/>
      <c r="Q296" s="59"/>
      <c r="R296" s="54"/>
      <c r="S296" s="55"/>
    </row>
    <row r="297" spans="11:19" x14ac:dyDescent="0.25">
      <c r="K297" s="58"/>
      <c r="L297" s="59"/>
      <c r="M297" s="54"/>
      <c r="N297" s="55"/>
      <c r="P297" s="58"/>
      <c r="Q297" s="59"/>
      <c r="R297" s="54"/>
      <c r="S297" s="55"/>
    </row>
    <row r="298" spans="11:19" x14ac:dyDescent="0.25">
      <c r="K298" s="58"/>
      <c r="L298" s="59"/>
      <c r="M298" s="54"/>
      <c r="N298" s="55"/>
      <c r="P298" s="58"/>
      <c r="Q298" s="59"/>
      <c r="R298" s="54"/>
      <c r="S298" s="55"/>
    </row>
    <row r="299" spans="11:19" x14ac:dyDescent="0.25">
      <c r="K299" s="58"/>
      <c r="L299" s="59"/>
      <c r="M299" s="54"/>
      <c r="N299" s="55"/>
      <c r="P299" s="58"/>
      <c r="Q299" s="59"/>
      <c r="R299" s="54"/>
      <c r="S299" s="55"/>
    </row>
    <row r="300" spans="11:19" x14ac:dyDescent="0.25">
      <c r="K300" s="58"/>
      <c r="L300" s="59"/>
      <c r="M300" s="54"/>
      <c r="N300" s="55"/>
      <c r="P300" s="58"/>
      <c r="Q300" s="59"/>
      <c r="R300" s="54"/>
      <c r="S300" s="55"/>
    </row>
    <row r="301" spans="11:19" x14ac:dyDescent="0.25">
      <c r="K301" s="58"/>
      <c r="L301" s="59"/>
      <c r="M301" s="54"/>
      <c r="N301" s="55"/>
      <c r="P301" s="58"/>
      <c r="Q301" s="59"/>
      <c r="R301" s="54"/>
      <c r="S301" s="55"/>
    </row>
    <row r="302" spans="11:19" x14ac:dyDescent="0.25">
      <c r="K302" s="58"/>
      <c r="L302" s="59"/>
      <c r="M302" s="54"/>
      <c r="N302" s="55"/>
      <c r="P302" s="58"/>
      <c r="Q302" s="59"/>
      <c r="R302" s="54"/>
      <c r="S302" s="55"/>
    </row>
    <row r="303" spans="11:19" x14ac:dyDescent="0.25">
      <c r="K303" s="58"/>
      <c r="L303" s="59"/>
      <c r="M303" s="54"/>
      <c r="N303" s="55"/>
      <c r="P303" s="58"/>
      <c r="Q303" s="59"/>
      <c r="R303" s="54"/>
      <c r="S303" s="55"/>
    </row>
    <row r="304" spans="11:19" x14ac:dyDescent="0.25">
      <c r="K304" s="58"/>
      <c r="L304" s="59"/>
      <c r="M304" s="54"/>
      <c r="N304" s="55"/>
      <c r="P304" s="58"/>
      <c r="Q304" s="59"/>
      <c r="R304" s="54"/>
      <c r="S304" s="55"/>
    </row>
    <row r="305" spans="11:19" x14ac:dyDescent="0.25">
      <c r="K305" s="58"/>
      <c r="L305" s="59"/>
      <c r="M305" s="54"/>
      <c r="N305" s="55"/>
      <c r="P305" s="58"/>
      <c r="Q305" s="59"/>
      <c r="R305" s="54"/>
      <c r="S305" s="55"/>
    </row>
    <row r="306" spans="11:19" x14ac:dyDescent="0.25">
      <c r="K306" s="58"/>
      <c r="L306" s="59"/>
      <c r="M306" s="54"/>
      <c r="N306" s="55"/>
      <c r="P306" s="58"/>
      <c r="Q306" s="59"/>
      <c r="R306" s="54"/>
      <c r="S306" s="55"/>
    </row>
    <row r="307" spans="11:19" x14ac:dyDescent="0.25">
      <c r="K307" s="58"/>
      <c r="L307" s="59"/>
      <c r="M307" s="54"/>
      <c r="N307" s="55"/>
      <c r="P307" s="58"/>
      <c r="Q307" s="59"/>
      <c r="R307" s="54"/>
      <c r="S307" s="55"/>
    </row>
    <row r="308" spans="11:19" x14ac:dyDescent="0.25">
      <c r="K308" s="58"/>
      <c r="L308" s="59"/>
      <c r="M308" s="54"/>
      <c r="N308" s="55"/>
      <c r="P308" s="58"/>
      <c r="Q308" s="59"/>
      <c r="R308" s="54"/>
      <c r="S308" s="55"/>
    </row>
    <row r="309" spans="11:19" x14ac:dyDescent="0.25">
      <c r="K309" s="58"/>
      <c r="L309" s="59"/>
      <c r="M309" s="54"/>
      <c r="N309" s="55"/>
      <c r="P309" s="58"/>
      <c r="Q309" s="59"/>
      <c r="R309" s="54"/>
      <c r="S309" s="55"/>
    </row>
    <row r="310" spans="11:19" x14ac:dyDescent="0.25">
      <c r="K310" s="58"/>
      <c r="L310" s="59"/>
      <c r="M310" s="54"/>
      <c r="N310" s="55"/>
      <c r="P310" s="58"/>
      <c r="Q310" s="59"/>
      <c r="R310" s="54"/>
      <c r="S310" s="55"/>
    </row>
    <row r="311" spans="11:19" x14ac:dyDescent="0.25">
      <c r="K311" s="58"/>
      <c r="L311" s="59"/>
      <c r="M311" s="54"/>
      <c r="N311" s="55"/>
      <c r="P311" s="58"/>
      <c r="Q311" s="59"/>
      <c r="R311" s="54"/>
      <c r="S311" s="55"/>
    </row>
    <row r="312" spans="11:19" x14ac:dyDescent="0.25">
      <c r="K312" s="58"/>
      <c r="L312" s="59"/>
      <c r="M312" s="54"/>
      <c r="N312" s="55"/>
      <c r="P312" s="58"/>
      <c r="Q312" s="59"/>
      <c r="R312" s="54"/>
      <c r="S312" s="55"/>
    </row>
    <row r="313" spans="11:19" x14ac:dyDescent="0.25">
      <c r="K313" s="58"/>
      <c r="L313" s="59"/>
      <c r="M313" s="54"/>
      <c r="N313" s="55"/>
      <c r="P313" s="58"/>
      <c r="Q313" s="59"/>
      <c r="R313" s="54"/>
      <c r="S313" s="55"/>
    </row>
    <row r="314" spans="11:19" x14ac:dyDescent="0.25">
      <c r="K314" s="58"/>
      <c r="L314" s="59"/>
      <c r="M314" s="54"/>
      <c r="N314" s="55"/>
      <c r="P314" s="58"/>
      <c r="Q314" s="59"/>
      <c r="R314" s="54"/>
      <c r="S314" s="55"/>
    </row>
    <row r="315" spans="11:19" x14ac:dyDescent="0.25">
      <c r="K315" s="58"/>
      <c r="L315" s="59"/>
      <c r="M315" s="54"/>
      <c r="N315" s="55"/>
      <c r="P315" s="58"/>
      <c r="Q315" s="59"/>
      <c r="R315" s="54"/>
      <c r="S315" s="55"/>
    </row>
    <row r="316" spans="11:19" x14ac:dyDescent="0.25">
      <c r="K316" s="58"/>
      <c r="L316" s="59"/>
      <c r="M316" s="54"/>
      <c r="N316" s="55"/>
      <c r="P316" s="58"/>
      <c r="Q316" s="59"/>
      <c r="R316" s="54"/>
      <c r="S316" s="55"/>
    </row>
    <row r="317" spans="11:19" x14ac:dyDescent="0.25">
      <c r="K317" s="58"/>
      <c r="L317" s="59"/>
      <c r="M317" s="54"/>
      <c r="N317" s="55"/>
      <c r="P317" s="58"/>
      <c r="Q317" s="59"/>
      <c r="R317" s="54"/>
      <c r="S317" s="55"/>
    </row>
    <row r="318" spans="11:19" x14ac:dyDescent="0.25">
      <c r="K318" s="58"/>
      <c r="L318" s="59"/>
      <c r="M318" s="54"/>
      <c r="N318" s="55"/>
      <c r="P318" s="58"/>
      <c r="Q318" s="59"/>
      <c r="R318" s="54"/>
      <c r="S318" s="55"/>
    </row>
    <row r="319" spans="11:19" x14ac:dyDescent="0.25">
      <c r="K319" s="58"/>
      <c r="L319" s="59"/>
      <c r="M319" s="54"/>
      <c r="N319" s="55"/>
      <c r="P319" s="58"/>
      <c r="Q319" s="59"/>
      <c r="R319" s="54"/>
      <c r="S319" s="55"/>
    </row>
    <row r="320" spans="11:19" x14ac:dyDescent="0.25">
      <c r="K320" s="58"/>
      <c r="L320" s="59"/>
      <c r="M320" s="54"/>
      <c r="N320" s="55"/>
      <c r="P320" s="58"/>
      <c r="Q320" s="59"/>
      <c r="R320" s="54"/>
      <c r="S320" s="55"/>
    </row>
    <row r="321" spans="11:19" x14ac:dyDescent="0.25">
      <c r="K321" s="58"/>
      <c r="L321" s="59"/>
      <c r="M321" s="54"/>
      <c r="N321" s="55"/>
      <c r="P321" s="58"/>
      <c r="Q321" s="59"/>
      <c r="R321" s="54"/>
      <c r="S321" s="55"/>
    </row>
    <row r="322" spans="11:19" x14ac:dyDescent="0.25">
      <c r="K322" s="58"/>
      <c r="L322" s="59"/>
      <c r="M322" s="54"/>
      <c r="N322" s="55"/>
      <c r="P322" s="58"/>
      <c r="Q322" s="59"/>
      <c r="R322" s="54"/>
      <c r="S322" s="55"/>
    </row>
    <row r="323" spans="11:19" x14ac:dyDescent="0.25">
      <c r="K323" s="58"/>
      <c r="L323" s="59"/>
      <c r="M323" s="54"/>
      <c r="N323" s="55"/>
      <c r="P323" s="58"/>
      <c r="Q323" s="59"/>
      <c r="R323" s="54"/>
      <c r="S323" s="55"/>
    </row>
    <row r="324" spans="11:19" x14ac:dyDescent="0.25">
      <c r="K324" s="58"/>
      <c r="L324" s="59"/>
      <c r="M324" s="54"/>
      <c r="N324" s="55"/>
      <c r="P324" s="58"/>
      <c r="Q324" s="59"/>
      <c r="R324" s="54"/>
      <c r="S324" s="55"/>
    </row>
    <row r="325" spans="11:19" x14ac:dyDescent="0.25">
      <c r="K325" s="58"/>
      <c r="L325" s="59"/>
      <c r="M325" s="54"/>
      <c r="N325" s="55"/>
      <c r="P325" s="58"/>
      <c r="Q325" s="59"/>
      <c r="R325" s="54"/>
      <c r="S325" s="55"/>
    </row>
    <row r="326" spans="11:19" x14ac:dyDescent="0.25">
      <c r="K326" s="58"/>
      <c r="L326" s="59"/>
      <c r="M326" s="54"/>
      <c r="N326" s="55"/>
      <c r="P326" s="58"/>
      <c r="Q326" s="59"/>
      <c r="R326" s="54"/>
      <c r="S326" s="55"/>
    </row>
    <row r="327" spans="11:19" x14ac:dyDescent="0.25">
      <c r="K327" s="58"/>
      <c r="L327" s="59"/>
      <c r="M327" s="54"/>
      <c r="N327" s="55"/>
      <c r="P327" s="58"/>
      <c r="Q327" s="59"/>
      <c r="R327" s="54"/>
      <c r="S327" s="55"/>
    </row>
    <row r="328" spans="11:19" x14ac:dyDescent="0.25">
      <c r="K328" s="58"/>
      <c r="L328" s="59"/>
      <c r="M328" s="54"/>
      <c r="N328" s="55"/>
      <c r="P328" s="58"/>
      <c r="Q328" s="59"/>
      <c r="R328" s="54"/>
      <c r="S328" s="55"/>
    </row>
    <row r="329" spans="11:19" x14ac:dyDescent="0.25">
      <c r="K329" s="58"/>
      <c r="L329" s="59"/>
      <c r="M329" s="54"/>
      <c r="N329" s="55"/>
      <c r="P329" s="58"/>
      <c r="Q329" s="59"/>
      <c r="R329" s="54"/>
      <c r="S329" s="55"/>
    </row>
    <row r="330" spans="11:19" x14ac:dyDescent="0.25">
      <c r="K330" s="58"/>
      <c r="L330" s="59"/>
      <c r="M330" s="54"/>
      <c r="N330" s="55"/>
      <c r="P330" s="58"/>
      <c r="Q330" s="59"/>
      <c r="R330" s="54"/>
      <c r="S330" s="55"/>
    </row>
    <row r="331" spans="11:19" x14ac:dyDescent="0.25">
      <c r="K331" s="58"/>
      <c r="L331" s="59"/>
      <c r="M331" s="54"/>
      <c r="N331" s="55"/>
      <c r="P331" s="58"/>
      <c r="Q331" s="59"/>
      <c r="R331" s="54"/>
      <c r="S331" s="55"/>
    </row>
    <row r="332" spans="11:19" x14ac:dyDescent="0.25">
      <c r="K332" s="58"/>
      <c r="L332" s="59"/>
      <c r="M332" s="54"/>
      <c r="N332" s="55"/>
      <c r="P332" s="58"/>
      <c r="Q332" s="59"/>
      <c r="R332" s="54"/>
      <c r="S332" s="55"/>
    </row>
    <row r="333" spans="11:19" x14ac:dyDescent="0.25">
      <c r="K333" s="58"/>
      <c r="L333" s="59"/>
      <c r="M333" s="54"/>
      <c r="N333" s="55"/>
      <c r="P333" s="58"/>
      <c r="Q333" s="59"/>
      <c r="R333" s="54"/>
      <c r="S333" s="55"/>
    </row>
    <row r="334" spans="11:19" x14ac:dyDescent="0.25">
      <c r="K334" s="58"/>
      <c r="L334" s="59"/>
      <c r="M334" s="54"/>
      <c r="N334" s="55"/>
      <c r="P334" s="58"/>
      <c r="Q334" s="59"/>
      <c r="R334" s="54"/>
      <c r="S334" s="55"/>
    </row>
    <row r="335" spans="11:19" x14ac:dyDescent="0.25">
      <c r="K335" s="58"/>
      <c r="L335" s="59"/>
      <c r="M335" s="54"/>
      <c r="N335" s="55"/>
      <c r="P335" s="58"/>
      <c r="Q335" s="59"/>
      <c r="R335" s="54"/>
      <c r="S335" s="55"/>
    </row>
    <row r="336" spans="11:19" x14ac:dyDescent="0.25">
      <c r="K336" s="58"/>
      <c r="L336" s="59"/>
      <c r="M336" s="54"/>
      <c r="N336" s="55"/>
      <c r="P336" s="58"/>
      <c r="Q336" s="59"/>
      <c r="R336" s="54"/>
      <c r="S336" s="55"/>
    </row>
    <row r="337" spans="11:19" x14ac:dyDescent="0.25">
      <c r="K337" s="58"/>
      <c r="L337" s="59"/>
      <c r="M337" s="54"/>
      <c r="N337" s="55"/>
      <c r="P337" s="58"/>
      <c r="Q337" s="59"/>
      <c r="R337" s="54"/>
      <c r="S337" s="55"/>
    </row>
    <row r="338" spans="11:19" x14ac:dyDescent="0.25">
      <c r="K338" s="58"/>
      <c r="L338" s="59"/>
      <c r="M338" s="54"/>
      <c r="N338" s="55"/>
      <c r="P338" s="58"/>
      <c r="Q338" s="59"/>
      <c r="R338" s="54"/>
      <c r="S338" s="55"/>
    </row>
    <row r="339" spans="11:19" x14ac:dyDescent="0.25">
      <c r="K339" s="58"/>
      <c r="L339" s="59"/>
      <c r="M339" s="54"/>
      <c r="N339" s="55"/>
      <c r="P339" s="58"/>
      <c r="Q339" s="59"/>
      <c r="R339" s="54"/>
      <c r="S339" s="55"/>
    </row>
    <row r="340" spans="11:19" x14ac:dyDescent="0.25">
      <c r="K340" s="58"/>
      <c r="L340" s="59"/>
      <c r="M340" s="54"/>
      <c r="N340" s="55"/>
      <c r="P340" s="58"/>
      <c r="Q340" s="59"/>
      <c r="R340" s="54"/>
      <c r="S340" s="55"/>
    </row>
    <row r="341" spans="11:19" x14ac:dyDescent="0.25">
      <c r="K341" s="58"/>
      <c r="L341" s="59"/>
      <c r="M341" s="54"/>
      <c r="N341" s="55"/>
      <c r="P341" s="58"/>
      <c r="Q341" s="59"/>
      <c r="R341" s="54"/>
      <c r="S341" s="55"/>
    </row>
    <row r="342" spans="11:19" x14ac:dyDescent="0.25">
      <c r="K342" s="58"/>
      <c r="L342" s="59"/>
      <c r="M342" s="54"/>
      <c r="N342" s="55"/>
      <c r="P342" s="58"/>
      <c r="Q342" s="59"/>
      <c r="R342" s="54"/>
      <c r="S342" s="55"/>
    </row>
    <row r="343" spans="11:19" x14ac:dyDescent="0.25">
      <c r="K343" s="58"/>
      <c r="L343" s="59"/>
      <c r="M343" s="54"/>
      <c r="N343" s="55"/>
      <c r="P343" s="58"/>
      <c r="Q343" s="59"/>
      <c r="R343" s="54"/>
      <c r="S343" s="55"/>
    </row>
    <row r="344" spans="11:19" x14ac:dyDescent="0.25">
      <c r="K344" s="58"/>
      <c r="L344" s="59"/>
      <c r="M344" s="54"/>
      <c r="N344" s="55"/>
      <c r="P344" s="58"/>
      <c r="Q344" s="59"/>
      <c r="R344" s="54"/>
      <c r="S344" s="55"/>
    </row>
    <row r="345" spans="11:19" x14ac:dyDescent="0.25">
      <c r="K345" s="58"/>
      <c r="L345" s="59"/>
      <c r="M345" s="54"/>
      <c r="N345" s="55"/>
      <c r="P345" s="58"/>
      <c r="Q345" s="59"/>
      <c r="R345" s="54"/>
      <c r="S345" s="55"/>
    </row>
    <row r="346" spans="11:19" x14ac:dyDescent="0.25">
      <c r="K346" s="58"/>
      <c r="L346" s="59"/>
      <c r="M346" s="54"/>
      <c r="N346" s="55"/>
      <c r="P346" s="58"/>
      <c r="Q346" s="59"/>
      <c r="R346" s="54"/>
      <c r="S346" s="55"/>
    </row>
    <row r="347" spans="11:19" x14ac:dyDescent="0.25">
      <c r="K347" s="58"/>
      <c r="L347" s="59"/>
      <c r="M347" s="54"/>
      <c r="N347" s="55"/>
      <c r="P347" s="58"/>
      <c r="Q347" s="59"/>
      <c r="R347" s="54"/>
      <c r="S347" s="55"/>
    </row>
    <row r="348" spans="11:19" ht="15.75" thickBot="1" x14ac:dyDescent="0.3">
      <c r="K348" s="60"/>
      <c r="L348" s="61"/>
      <c r="M348" s="56"/>
      <c r="N348" s="57"/>
      <c r="P348" s="60"/>
      <c r="Q348" s="61"/>
      <c r="R348" s="56"/>
      <c r="S348" s="57"/>
    </row>
  </sheetData>
  <mergeCells count="4">
    <mergeCell ref="A8:D8"/>
    <mergeCell ref="F8:I8"/>
    <mergeCell ref="K8:N8"/>
    <mergeCell ref="P8:S8"/>
  </mergeCells>
  <conditionalFormatting sqref="G3">
    <cfRule type="cellIs" dxfId="114" priority="5" operator="greaterThan">
      <formula>$J$4</formula>
    </cfRule>
  </conditionalFormatting>
  <conditionalFormatting sqref="T5">
    <cfRule type="cellIs" dxfId="113" priority="1" operator="greaterThan">
      <formula>$T$6</formula>
    </cfRule>
    <cfRule type="cellIs" dxfId="112" priority="4" operator="lessThan">
      <formula>$T$6</formula>
    </cfRule>
  </conditionalFormatting>
  <conditionalFormatting sqref="T6">
    <cfRule type="cellIs" dxfId="111" priority="2" operator="greaterThan">
      <formula>$T$5</formula>
    </cfRule>
    <cfRule type="cellIs" dxfId="110" priority="3" operator="lessThan">
      <formula>$T$5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82F39-0947-4B64-B4B4-8D044045288A}">
  <sheetPr codeName="Sheet30"/>
  <dimension ref="A1:T348"/>
  <sheetViews>
    <sheetView zoomScale="90" zoomScaleNormal="90" workbookViewId="0">
      <pane ySplit="9" topLeftCell="A10" activePane="bottomLeft" state="frozen"/>
      <selection pane="bottomLeft" activeCell="A38" sqref="A38"/>
    </sheetView>
  </sheetViews>
  <sheetFormatPr baseColWidth="10" defaultColWidth="9.140625" defaultRowHeight="15" x14ac:dyDescent="0.25"/>
  <cols>
    <col min="2" max="2" width="11.85546875" bestFit="1" customWidth="1"/>
    <col min="3" max="3" width="17.140625" bestFit="1" customWidth="1"/>
    <col min="4" max="4" width="14.5703125" customWidth="1"/>
    <col min="5" max="7" width="14.5703125" bestFit="1" customWidth="1"/>
    <col min="8" max="8" width="18.7109375" bestFit="1" customWidth="1"/>
    <col min="9" max="9" width="16.28515625" bestFit="1" customWidth="1"/>
    <col min="10" max="10" width="14" bestFit="1" customWidth="1"/>
    <col min="12" max="12" width="11.85546875" bestFit="1" customWidth="1"/>
    <col min="13" max="13" width="17.140625" bestFit="1" customWidth="1"/>
    <col min="14" max="14" width="14.42578125" bestFit="1" customWidth="1"/>
    <col min="15" max="15" width="8.7109375" customWidth="1"/>
    <col min="17" max="17" width="14.85546875" bestFit="1" customWidth="1"/>
    <col min="18" max="18" width="17.140625" bestFit="1" customWidth="1"/>
    <col min="19" max="19" width="14.85546875" bestFit="1" customWidth="1"/>
    <col min="20" max="20" width="12.42578125" bestFit="1" customWidth="1"/>
    <col min="22" max="23" width="14.5703125" bestFit="1" customWidth="1"/>
    <col min="24" max="24" width="15.85546875" bestFit="1" customWidth="1"/>
    <col min="26" max="26" width="15.85546875" bestFit="1" customWidth="1"/>
  </cols>
  <sheetData>
    <row r="1" spans="1:20" ht="15.75" thickBot="1" x14ac:dyDescent="0.3">
      <c r="C1" s="1" t="s">
        <v>0</v>
      </c>
      <c r="D1" s="2" t="s">
        <v>1</v>
      </c>
      <c r="E1" s="1" t="s">
        <v>2</v>
      </c>
      <c r="F1" s="2" t="s">
        <v>3</v>
      </c>
      <c r="G1" s="63" t="s">
        <v>4</v>
      </c>
      <c r="H1" s="81" t="s">
        <v>24</v>
      </c>
      <c r="I1" s="66" t="s">
        <v>5</v>
      </c>
      <c r="J1" s="3">
        <v>368</v>
      </c>
      <c r="M1" s="1" t="s">
        <v>5</v>
      </c>
      <c r="N1" s="4" t="s">
        <v>6</v>
      </c>
      <c r="P1" t="s">
        <v>0</v>
      </c>
      <c r="Q1">
        <f>SUM(E10:E54)</f>
        <v>2</v>
      </c>
      <c r="R1" t="s">
        <v>2</v>
      </c>
      <c r="S1">
        <f>(M3/M2)*Q1</f>
        <v>1.3333333333333335</v>
      </c>
      <c r="T1">
        <f>S1-1</f>
        <v>0.33333333333333348</v>
      </c>
    </row>
    <row r="2" spans="1:20" ht="15.75" thickBot="1" x14ac:dyDescent="0.3">
      <c r="B2" s="5" t="s">
        <v>7</v>
      </c>
      <c r="C2" s="6">
        <f>SUMPRODUCT(C10:C118,E10:E118)</f>
        <v>1571963</v>
      </c>
      <c r="D2" s="7">
        <f>SUMPRODUCT(H10:H118,J10:J118)</f>
        <v>0</v>
      </c>
      <c r="E2" s="6">
        <f>SUMPRODUCT(M10:M348,O10:O348)</f>
        <v>1154384.333333333</v>
      </c>
      <c r="F2" s="7">
        <f>SUMPRODUCT(R10:R348,T10:T348)</f>
        <v>0</v>
      </c>
      <c r="G2" s="64">
        <f>C2+D2+E2+F2</f>
        <v>2726347.333333333</v>
      </c>
      <c r="H2" s="82">
        <v>24786935</v>
      </c>
      <c r="I2" s="67" t="s">
        <v>6</v>
      </c>
      <c r="J2" s="8">
        <v>334</v>
      </c>
      <c r="L2" s="5" t="s">
        <v>8</v>
      </c>
      <c r="M2" s="9">
        <v>0.6</v>
      </c>
      <c r="N2" s="10">
        <v>0.25</v>
      </c>
      <c r="P2" t="s">
        <v>3</v>
      </c>
      <c r="Q2">
        <f>SUM(T10:T64)</f>
        <v>0</v>
      </c>
      <c r="R2" t="s">
        <v>1</v>
      </c>
      <c r="S2">
        <f>(N2/N3)*Q2</f>
        <v>0</v>
      </c>
    </row>
    <row r="3" spans="1:20" ht="15.75" thickBot="1" x14ac:dyDescent="0.3">
      <c r="B3" s="11" t="s">
        <v>9</v>
      </c>
      <c r="C3" s="12">
        <f>SUMPRODUCT(B10:B118,E10:E118)</f>
        <v>60.652173913043477</v>
      </c>
      <c r="D3" s="13">
        <f>SUMPRODUCT(G10:G118,J10:J118)</f>
        <v>0</v>
      </c>
      <c r="E3" s="12">
        <f>SUMPRODUCT(L10:L348,O10:O348)</f>
        <v>40.434782608695642</v>
      </c>
      <c r="F3" s="13">
        <f>SUMPRODUCT(Q10:Q348,T10:T348)</f>
        <v>0</v>
      </c>
      <c r="G3" s="65">
        <f>SUM(C3:F3)</f>
        <v>101.08695652173913</v>
      </c>
      <c r="H3" s="80">
        <f>(H2-G2)/G2</f>
        <v>8.0916277236380516</v>
      </c>
      <c r="I3" s="67" t="s">
        <v>10</v>
      </c>
      <c r="J3" s="8">
        <f>11160</f>
        <v>11160</v>
      </c>
      <c r="L3" s="14" t="s">
        <v>11</v>
      </c>
      <c r="M3" s="15">
        <v>0.4</v>
      </c>
      <c r="N3" s="16">
        <v>0.75</v>
      </c>
      <c r="P3" t="s">
        <v>0</v>
      </c>
      <c r="Q3">
        <v>1</v>
      </c>
      <c r="R3" t="s">
        <v>2</v>
      </c>
      <c r="S3">
        <f>(M3/M2)*Q3</f>
        <v>0.66666666666666674</v>
      </c>
    </row>
    <row r="4" spans="1:20" ht="15.75" thickBot="1" x14ac:dyDescent="0.3">
      <c r="B4" s="14" t="s">
        <v>12</v>
      </c>
      <c r="C4" s="17">
        <f>SUM(E10:E118)*J3</f>
        <v>22320</v>
      </c>
      <c r="D4" s="18">
        <f>SUM(J10:J118)*J3</f>
        <v>0</v>
      </c>
      <c r="E4" s="17">
        <f>SUM(O10:O348)*J3</f>
        <v>14879.999999999996</v>
      </c>
      <c r="F4" s="18">
        <f>SUM(T10:T348)*J3</f>
        <v>0</v>
      </c>
      <c r="G4" s="19">
        <f>SUM(C4:F4)</f>
        <v>37200</v>
      </c>
      <c r="H4" s="20"/>
      <c r="I4" s="21" t="s">
        <v>13</v>
      </c>
      <c r="J4" s="22">
        <v>100000</v>
      </c>
      <c r="L4" s="5" t="s">
        <v>14</v>
      </c>
      <c r="M4" s="76">
        <f>C4/(C4+E4)</f>
        <v>0.6</v>
      </c>
      <c r="N4" s="77" t="e">
        <f>D4/(D4+F4)</f>
        <v>#DIV/0!</v>
      </c>
      <c r="O4" s="23"/>
      <c r="P4" t="s">
        <v>3</v>
      </c>
      <c r="Q4">
        <v>1</v>
      </c>
      <c r="R4" t="s">
        <v>1</v>
      </c>
      <c r="S4">
        <f>(N2/N3)*Q4</f>
        <v>0.33333333333333331</v>
      </c>
    </row>
    <row r="5" spans="1:20" ht="15.75" thickBot="1" x14ac:dyDescent="0.3">
      <c r="B5" s="24" t="s">
        <v>15</v>
      </c>
      <c r="C5" s="25">
        <v>217620</v>
      </c>
      <c r="D5" s="26">
        <v>74400</v>
      </c>
      <c r="E5" s="27">
        <v>145080</v>
      </c>
      <c r="F5" s="26">
        <v>223200</v>
      </c>
      <c r="G5" s="28">
        <f>SUM(C5:F5)</f>
        <v>660300</v>
      </c>
      <c r="H5" s="20"/>
      <c r="I5" s="20"/>
      <c r="L5" s="29" t="s">
        <v>16</v>
      </c>
      <c r="M5" s="78">
        <f>E4/(C4+E4)</f>
        <v>0.39999999999999991</v>
      </c>
      <c r="N5" s="79" t="e">
        <f>F4/(D4+F4)</f>
        <v>#DIV/0!</v>
      </c>
      <c r="O5" s="23"/>
      <c r="P5" t="s">
        <v>0</v>
      </c>
      <c r="Q5" s="88">
        <v>24688.381362007171</v>
      </c>
      <c r="R5" t="s">
        <v>2</v>
      </c>
      <c r="S5" s="88">
        <v>25979.843727598567</v>
      </c>
      <c r="T5">
        <f>Q5*Q3+S5*S3</f>
        <v>42008.277180406221</v>
      </c>
    </row>
    <row r="6" spans="1:20" ht="15.75" thickBot="1" x14ac:dyDescent="0.3">
      <c r="B6" s="24" t="s">
        <v>17</v>
      </c>
      <c r="C6" s="27">
        <f>C5-C4</f>
        <v>195300</v>
      </c>
      <c r="D6" s="30">
        <f>D5-D4</f>
        <v>74400</v>
      </c>
      <c r="E6" s="27">
        <f>E5-E4</f>
        <v>130200</v>
      </c>
      <c r="F6" s="30">
        <f>F5-F4</f>
        <v>223200</v>
      </c>
      <c r="H6" s="20"/>
      <c r="I6" s="20"/>
      <c r="J6" s="62"/>
      <c r="N6" s="23"/>
      <c r="O6" s="23"/>
      <c r="P6" t="s">
        <v>3</v>
      </c>
      <c r="Q6" s="88">
        <v>24785.014695340502</v>
      </c>
      <c r="R6" t="s">
        <v>1</v>
      </c>
      <c r="S6" s="88">
        <v>25114.615232974909</v>
      </c>
      <c r="T6">
        <f>Q6*Q4+S6*S4</f>
        <v>33156.55310633214</v>
      </c>
    </row>
    <row r="7" spans="1:20" ht="15.75" thickBot="1" x14ac:dyDescent="0.3"/>
    <row r="8" spans="1:20" ht="15.75" thickBot="1" x14ac:dyDescent="0.3">
      <c r="A8" s="113" t="s">
        <v>18</v>
      </c>
      <c r="B8" s="114"/>
      <c r="C8" s="114"/>
      <c r="D8" s="115"/>
      <c r="E8" s="31"/>
      <c r="F8" s="113" t="s">
        <v>19</v>
      </c>
      <c r="G8" s="114"/>
      <c r="H8" s="114"/>
      <c r="I8" s="115"/>
      <c r="J8" s="31"/>
      <c r="K8" s="113" t="s">
        <v>20</v>
      </c>
      <c r="L8" s="114"/>
      <c r="M8" s="114"/>
      <c r="N8" s="115"/>
      <c r="O8" s="31"/>
      <c r="P8" s="113" t="s">
        <v>21</v>
      </c>
      <c r="Q8" s="114"/>
      <c r="R8" s="114"/>
      <c r="S8" s="115"/>
    </row>
    <row r="9" spans="1:20" ht="15.75" thickBot="1" x14ac:dyDescent="0.3">
      <c r="A9" s="32" t="s">
        <v>22</v>
      </c>
      <c r="B9" s="33" t="s">
        <v>9</v>
      </c>
      <c r="C9" s="33" t="s">
        <v>7</v>
      </c>
      <c r="D9" s="34" t="s">
        <v>23</v>
      </c>
      <c r="E9" s="31"/>
      <c r="F9" s="32" t="s">
        <v>22</v>
      </c>
      <c r="G9" s="33" t="s">
        <v>9</v>
      </c>
      <c r="H9" s="33" t="s">
        <v>7</v>
      </c>
      <c r="I9" s="34" t="s">
        <v>23</v>
      </c>
      <c r="J9" s="31"/>
      <c r="K9" s="32" t="s">
        <v>22</v>
      </c>
      <c r="L9" s="33" t="s">
        <v>9</v>
      </c>
      <c r="M9" s="33" t="s">
        <v>7</v>
      </c>
      <c r="N9" s="34" t="s">
        <v>23</v>
      </c>
      <c r="O9" s="31"/>
      <c r="P9" s="35" t="s">
        <v>22</v>
      </c>
      <c r="Q9" s="36" t="s">
        <v>9</v>
      </c>
      <c r="R9" s="36" t="s">
        <v>7</v>
      </c>
      <c r="S9" s="37" t="s">
        <v>23</v>
      </c>
    </row>
    <row r="10" spans="1:20" x14ac:dyDescent="0.25">
      <c r="A10" s="38">
        <v>15</v>
      </c>
      <c r="B10" s="39">
        <f>$J$3/$J$1</f>
        <v>30.326086956521738</v>
      </c>
      <c r="C10" s="40">
        <v>823261</v>
      </c>
      <c r="D10" s="41">
        <f>C10/B10</f>
        <v>27146.957706093192</v>
      </c>
      <c r="E10">
        <v>1</v>
      </c>
      <c r="F10" s="86">
        <v>9</v>
      </c>
      <c r="G10" s="68">
        <f>$J$3/$J$2</f>
        <v>33.41317365269461</v>
      </c>
      <c r="H10" s="87">
        <v>839159</v>
      </c>
      <c r="I10" s="69">
        <f>H10/G10</f>
        <v>25114.615232974909</v>
      </c>
      <c r="K10" s="38">
        <v>99</v>
      </c>
      <c r="L10" s="39">
        <f>$J$3/$J$1</f>
        <v>30.326086956521738</v>
      </c>
      <c r="M10" s="40">
        <v>891762</v>
      </c>
      <c r="N10" s="41">
        <f>M10/L10</f>
        <v>29405.772043010755</v>
      </c>
      <c r="O10">
        <v>1</v>
      </c>
      <c r="P10" s="86">
        <v>31</v>
      </c>
      <c r="Q10" s="68">
        <f>$J$3/$J$2</f>
        <v>33.41317365269461</v>
      </c>
      <c r="R10" s="87">
        <v>828146</v>
      </c>
      <c r="S10" s="69">
        <f>R10/Q10</f>
        <v>24785.014695340502</v>
      </c>
    </row>
    <row r="11" spans="1:20" x14ac:dyDescent="0.25">
      <c r="A11" s="46">
        <v>4</v>
      </c>
      <c r="B11" s="39">
        <f t="shared" ref="B11:B54" si="0">$J$3/$J$1</f>
        <v>30.326086956521738</v>
      </c>
      <c r="C11" s="47">
        <v>748702</v>
      </c>
      <c r="D11" s="41">
        <f t="shared" ref="D11:D54" si="1">C11/B11</f>
        <v>24688.381362007171</v>
      </c>
      <c r="E11">
        <v>1</v>
      </c>
      <c r="F11" s="58">
        <v>1</v>
      </c>
      <c r="G11" s="68">
        <f t="shared" ref="G11:G54" si="2">$J$3/$J$2</f>
        <v>33.41317365269461</v>
      </c>
      <c r="H11" s="54">
        <v>816679</v>
      </c>
      <c r="I11" s="69">
        <f t="shared" ref="I11:I54" si="3">H11/G11</f>
        <v>24441.826702508963</v>
      </c>
      <c r="K11" s="99">
        <v>22</v>
      </c>
      <c r="L11" s="100">
        <f t="shared" ref="L11:L64" si="4">$J$3/$J$1</f>
        <v>30.326086956521738</v>
      </c>
      <c r="M11" s="101">
        <v>787867</v>
      </c>
      <c r="N11" s="102">
        <f t="shared" ref="N11:N64" si="5">M11/L11</f>
        <v>25979.843727598567</v>
      </c>
      <c r="O11">
        <v>0.33333333333333298</v>
      </c>
      <c r="P11" s="58">
        <v>95</v>
      </c>
      <c r="Q11" s="68">
        <f t="shared" ref="Q11:Q64" si="6">$J$3/$J$2</f>
        <v>33.41317365269461</v>
      </c>
      <c r="R11" s="54">
        <v>778683</v>
      </c>
      <c r="S11" s="69">
        <f t="shared" ref="S11:S64" si="7">R11/Q11</f>
        <v>23304.670430107526</v>
      </c>
    </row>
    <row r="12" spans="1:20" x14ac:dyDescent="0.25">
      <c r="A12" s="58">
        <v>75</v>
      </c>
      <c r="B12" s="68">
        <f t="shared" si="0"/>
        <v>30.326086956521738</v>
      </c>
      <c r="C12" s="54">
        <v>700923</v>
      </c>
      <c r="D12" s="69">
        <f t="shared" si="1"/>
        <v>23112.873118279571</v>
      </c>
      <c r="F12" s="58">
        <v>3</v>
      </c>
      <c r="G12" s="68">
        <f t="shared" si="2"/>
        <v>33.41317365269461</v>
      </c>
      <c r="H12" s="54">
        <v>637399</v>
      </c>
      <c r="I12" s="69">
        <f t="shared" si="3"/>
        <v>19076.278315412186</v>
      </c>
      <c r="K12" s="58">
        <v>83</v>
      </c>
      <c r="L12" s="68">
        <f t="shared" si="4"/>
        <v>30.326086956521738</v>
      </c>
      <c r="M12" s="54">
        <v>776669</v>
      </c>
      <c r="N12" s="69">
        <f t="shared" si="5"/>
        <v>25610.590681003585</v>
      </c>
      <c r="P12" s="58">
        <v>32</v>
      </c>
      <c r="Q12" s="68">
        <f t="shared" si="6"/>
        <v>33.41317365269461</v>
      </c>
      <c r="R12" s="54">
        <v>742165</v>
      </c>
      <c r="S12" s="69">
        <f t="shared" si="7"/>
        <v>22211.748207885306</v>
      </c>
    </row>
    <row r="13" spans="1:20" x14ac:dyDescent="0.25">
      <c r="A13" s="58">
        <v>61</v>
      </c>
      <c r="B13" s="68">
        <f t="shared" si="0"/>
        <v>30.326086956521738</v>
      </c>
      <c r="C13" s="54">
        <v>594344</v>
      </c>
      <c r="D13" s="69">
        <f t="shared" si="1"/>
        <v>19598.440143369175</v>
      </c>
      <c r="F13" s="58">
        <v>89</v>
      </c>
      <c r="G13" s="68">
        <f t="shared" si="2"/>
        <v>33.41317365269461</v>
      </c>
      <c r="H13" s="54">
        <v>626952</v>
      </c>
      <c r="I13" s="69">
        <f t="shared" si="3"/>
        <v>18763.617204301077</v>
      </c>
      <c r="K13" s="58">
        <v>57</v>
      </c>
      <c r="L13" s="68">
        <f t="shared" si="4"/>
        <v>30.326086956521738</v>
      </c>
      <c r="M13" s="54">
        <v>764937</v>
      </c>
      <c r="N13" s="69">
        <f t="shared" si="5"/>
        <v>25223.729032258067</v>
      </c>
      <c r="P13" s="58">
        <v>86</v>
      </c>
      <c r="Q13" s="68">
        <f t="shared" si="6"/>
        <v>33.41317365269461</v>
      </c>
      <c r="R13" s="54">
        <v>708838</v>
      </c>
      <c r="S13" s="69">
        <f t="shared" si="7"/>
        <v>21214.327240143371</v>
      </c>
    </row>
    <row r="14" spans="1:20" x14ac:dyDescent="0.25">
      <c r="A14" s="58">
        <v>2</v>
      </c>
      <c r="B14" s="68">
        <f t="shared" si="0"/>
        <v>30.326086956521738</v>
      </c>
      <c r="C14" s="54">
        <v>573963</v>
      </c>
      <c r="D14" s="69">
        <f t="shared" si="1"/>
        <v>18926.378494623656</v>
      </c>
      <c r="F14" s="58">
        <v>74</v>
      </c>
      <c r="G14" s="68">
        <f t="shared" si="2"/>
        <v>33.41317365269461</v>
      </c>
      <c r="H14" s="54">
        <v>528188</v>
      </c>
      <c r="I14" s="69">
        <f t="shared" si="3"/>
        <v>15807.7770609319</v>
      </c>
      <c r="K14" s="58">
        <v>33</v>
      </c>
      <c r="L14" s="68">
        <f t="shared" si="4"/>
        <v>30.326086956521738</v>
      </c>
      <c r="M14" s="54">
        <v>739492</v>
      </c>
      <c r="N14" s="69">
        <f t="shared" si="5"/>
        <v>24384.682437275987</v>
      </c>
      <c r="P14" s="58">
        <v>44</v>
      </c>
      <c r="Q14" s="68">
        <f t="shared" si="6"/>
        <v>33.41317365269461</v>
      </c>
      <c r="R14" s="54">
        <v>644475</v>
      </c>
      <c r="S14" s="69">
        <f t="shared" si="7"/>
        <v>19288.051075268817</v>
      </c>
    </row>
    <row r="15" spans="1:20" x14ac:dyDescent="0.25">
      <c r="A15" s="58">
        <v>66</v>
      </c>
      <c r="B15" s="68">
        <f t="shared" si="0"/>
        <v>30.326086956521738</v>
      </c>
      <c r="C15" s="54">
        <v>543888</v>
      </c>
      <c r="D15" s="69">
        <f t="shared" si="1"/>
        <v>17934.65806451613</v>
      </c>
      <c r="F15" s="58">
        <v>7</v>
      </c>
      <c r="G15" s="68">
        <f t="shared" si="2"/>
        <v>33.41317365269461</v>
      </c>
      <c r="H15" s="54">
        <v>517706</v>
      </c>
      <c r="I15" s="69">
        <f t="shared" si="3"/>
        <v>15494.068458781363</v>
      </c>
      <c r="K15" s="58">
        <v>34</v>
      </c>
      <c r="L15" s="68">
        <f t="shared" si="4"/>
        <v>30.326086956521738</v>
      </c>
      <c r="M15" s="54">
        <v>706466</v>
      </c>
      <c r="N15" s="69">
        <f t="shared" si="5"/>
        <v>23295.653046594984</v>
      </c>
      <c r="P15" s="58">
        <v>43</v>
      </c>
      <c r="Q15" s="68">
        <f t="shared" si="6"/>
        <v>33.41317365269461</v>
      </c>
      <c r="R15" s="54">
        <v>600711</v>
      </c>
      <c r="S15" s="69">
        <f t="shared" si="7"/>
        <v>17978.268279569893</v>
      </c>
    </row>
    <row r="16" spans="1:20" x14ac:dyDescent="0.25">
      <c r="A16" s="58">
        <v>9</v>
      </c>
      <c r="B16" s="68">
        <f t="shared" si="0"/>
        <v>30.326086956521738</v>
      </c>
      <c r="C16" s="54">
        <v>458407</v>
      </c>
      <c r="D16" s="69">
        <f t="shared" si="1"/>
        <v>15115.929749103943</v>
      </c>
      <c r="F16" s="58">
        <v>16</v>
      </c>
      <c r="G16" s="68">
        <f t="shared" si="2"/>
        <v>33.41317365269461</v>
      </c>
      <c r="H16" s="54">
        <v>471825</v>
      </c>
      <c r="I16" s="69">
        <f t="shared" si="3"/>
        <v>14120.927419354839</v>
      </c>
      <c r="K16" s="58">
        <v>54</v>
      </c>
      <c r="L16" s="68">
        <f t="shared" si="4"/>
        <v>30.326086956521738</v>
      </c>
      <c r="M16" s="54">
        <v>704680</v>
      </c>
      <c r="N16" s="69">
        <f t="shared" si="5"/>
        <v>23236.759856630826</v>
      </c>
      <c r="P16" s="58">
        <v>54</v>
      </c>
      <c r="Q16" s="68">
        <f t="shared" si="6"/>
        <v>33.41317365269461</v>
      </c>
      <c r="R16" s="54">
        <v>600526</v>
      </c>
      <c r="S16" s="69">
        <f t="shared" si="7"/>
        <v>17972.73154121864</v>
      </c>
    </row>
    <row r="17" spans="1:20" x14ac:dyDescent="0.25">
      <c r="A17" s="58">
        <v>6</v>
      </c>
      <c r="B17" s="68">
        <f t="shared" si="0"/>
        <v>30.326086956521738</v>
      </c>
      <c r="C17" s="54">
        <v>413342</v>
      </c>
      <c r="D17" s="69">
        <f t="shared" si="1"/>
        <v>13629.915412186379</v>
      </c>
      <c r="F17" s="58">
        <v>20</v>
      </c>
      <c r="G17" s="68">
        <f t="shared" si="2"/>
        <v>33.41317365269461</v>
      </c>
      <c r="H17" s="54">
        <v>465526</v>
      </c>
      <c r="I17" s="69">
        <f t="shared" si="3"/>
        <v>13932.408960573477</v>
      </c>
      <c r="K17" s="58">
        <v>46</v>
      </c>
      <c r="L17" s="68">
        <f t="shared" si="4"/>
        <v>30.326086956521738</v>
      </c>
      <c r="M17" s="54">
        <v>647685</v>
      </c>
      <c r="N17" s="69">
        <f t="shared" si="5"/>
        <v>21357.354838709678</v>
      </c>
      <c r="P17" s="58">
        <v>33</v>
      </c>
      <c r="Q17" s="68">
        <f t="shared" si="6"/>
        <v>33.41317365269461</v>
      </c>
      <c r="R17" s="54">
        <v>533105</v>
      </c>
      <c r="S17" s="69">
        <f t="shared" si="7"/>
        <v>15954.934587813621</v>
      </c>
    </row>
    <row r="18" spans="1:20" x14ac:dyDescent="0.25">
      <c r="A18" s="58">
        <v>90</v>
      </c>
      <c r="B18" s="68">
        <f t="shared" si="0"/>
        <v>30.326086956521738</v>
      </c>
      <c r="C18" s="54">
        <v>390167</v>
      </c>
      <c r="D18" s="69">
        <f t="shared" si="1"/>
        <v>12865.721863799283</v>
      </c>
      <c r="F18" s="58">
        <v>71</v>
      </c>
      <c r="G18" s="68">
        <f t="shared" si="2"/>
        <v>33.41317365269461</v>
      </c>
      <c r="H18" s="54">
        <v>459240</v>
      </c>
      <c r="I18" s="69">
        <f t="shared" si="3"/>
        <v>13744.279569892473</v>
      </c>
      <c r="K18" s="58">
        <v>35</v>
      </c>
      <c r="L18" s="68">
        <f t="shared" si="4"/>
        <v>30.326086956521738</v>
      </c>
      <c r="M18" s="54">
        <v>520964</v>
      </c>
      <c r="N18" s="69">
        <f t="shared" si="5"/>
        <v>17178.741218637992</v>
      </c>
      <c r="P18" s="58">
        <v>29</v>
      </c>
      <c r="Q18" s="68">
        <f t="shared" si="6"/>
        <v>33.41317365269461</v>
      </c>
      <c r="R18" s="54">
        <v>466819</v>
      </c>
      <c r="S18" s="69">
        <f t="shared" si="7"/>
        <v>13971.106272401434</v>
      </c>
    </row>
    <row r="19" spans="1:20" x14ac:dyDescent="0.25">
      <c r="A19" s="58">
        <v>10</v>
      </c>
      <c r="B19" s="68">
        <f t="shared" si="0"/>
        <v>30.326086956521738</v>
      </c>
      <c r="C19" s="54">
        <v>374487</v>
      </c>
      <c r="D19" s="69">
        <f t="shared" si="1"/>
        <v>12348.675268817206</v>
      </c>
      <c r="F19" s="58">
        <v>73</v>
      </c>
      <c r="G19" s="68">
        <f t="shared" si="2"/>
        <v>33.41317365269461</v>
      </c>
      <c r="H19" s="54">
        <v>435675</v>
      </c>
      <c r="I19" s="69">
        <f t="shared" si="3"/>
        <v>13039.018817204302</v>
      </c>
      <c r="K19" s="58">
        <v>28</v>
      </c>
      <c r="L19" s="68">
        <f t="shared" si="4"/>
        <v>30.326086956521738</v>
      </c>
      <c r="M19" s="54">
        <v>485282</v>
      </c>
      <c r="N19" s="69">
        <f t="shared" si="5"/>
        <v>16002.130465949822</v>
      </c>
      <c r="P19" s="58">
        <v>39</v>
      </c>
      <c r="Q19" s="68">
        <f t="shared" si="6"/>
        <v>33.41317365269461</v>
      </c>
      <c r="R19" s="54">
        <v>443533</v>
      </c>
      <c r="S19" s="69">
        <f t="shared" si="7"/>
        <v>13274.195519713261</v>
      </c>
    </row>
    <row r="20" spans="1:20" x14ac:dyDescent="0.25">
      <c r="A20" s="58">
        <v>72</v>
      </c>
      <c r="B20" s="68">
        <f t="shared" si="0"/>
        <v>30.326086956521738</v>
      </c>
      <c r="C20" s="54">
        <v>339217</v>
      </c>
      <c r="D20" s="69">
        <f t="shared" si="1"/>
        <v>11185.65017921147</v>
      </c>
      <c r="F20" s="95">
        <v>4</v>
      </c>
      <c r="G20" s="96">
        <f t="shared" si="2"/>
        <v>33.41317365269461</v>
      </c>
      <c r="H20" s="97">
        <v>435251</v>
      </c>
      <c r="I20" s="98">
        <f t="shared" si="3"/>
        <v>13026.329211469534</v>
      </c>
      <c r="J20">
        <v>0</v>
      </c>
      <c r="K20" s="58">
        <v>25</v>
      </c>
      <c r="L20" s="68">
        <f t="shared" si="4"/>
        <v>30.326086956521738</v>
      </c>
      <c r="M20" s="54">
        <v>428682</v>
      </c>
      <c r="N20" s="69">
        <f t="shared" si="5"/>
        <v>14135.750537634409</v>
      </c>
      <c r="P20" s="58">
        <v>85</v>
      </c>
      <c r="Q20" s="68">
        <f t="shared" si="6"/>
        <v>33.41317365269461</v>
      </c>
      <c r="R20" s="54">
        <v>400656</v>
      </c>
      <c r="S20" s="69">
        <f t="shared" si="7"/>
        <v>11990.959139784947</v>
      </c>
    </row>
    <row r="21" spans="1:20" x14ac:dyDescent="0.25">
      <c r="A21" s="58">
        <v>63</v>
      </c>
      <c r="B21" s="68">
        <f t="shared" si="0"/>
        <v>30.326086956521738</v>
      </c>
      <c r="C21" s="54">
        <v>148379</v>
      </c>
      <c r="D21" s="69">
        <f t="shared" si="1"/>
        <v>4892.7842293906815</v>
      </c>
      <c r="F21" s="58">
        <v>58</v>
      </c>
      <c r="G21" s="68">
        <f t="shared" si="2"/>
        <v>33.41317365269461</v>
      </c>
      <c r="H21" s="54">
        <v>425212</v>
      </c>
      <c r="I21" s="69">
        <f t="shared" si="3"/>
        <v>12725.878853046595</v>
      </c>
      <c r="K21" s="58">
        <v>53</v>
      </c>
      <c r="L21" s="68">
        <f t="shared" si="4"/>
        <v>30.326086956521738</v>
      </c>
      <c r="M21" s="54">
        <v>427876</v>
      </c>
      <c r="N21" s="69">
        <f t="shared" si="5"/>
        <v>14109.17275985663</v>
      </c>
      <c r="P21" s="58">
        <v>51</v>
      </c>
      <c r="Q21" s="68">
        <f t="shared" si="6"/>
        <v>33.41317365269461</v>
      </c>
      <c r="R21" s="54">
        <v>295735</v>
      </c>
      <c r="S21" s="69">
        <f t="shared" si="7"/>
        <v>8850.8503584229402</v>
      </c>
    </row>
    <row r="22" spans="1:20" x14ac:dyDescent="0.25">
      <c r="A22" s="58">
        <v>5</v>
      </c>
      <c r="B22" s="68">
        <f t="shared" si="0"/>
        <v>30.326086956521738</v>
      </c>
      <c r="C22" s="54">
        <v>135603</v>
      </c>
      <c r="D22" s="69">
        <f t="shared" si="1"/>
        <v>4471.4967741935488</v>
      </c>
      <c r="F22" s="58">
        <v>69</v>
      </c>
      <c r="G22" s="68">
        <f t="shared" si="2"/>
        <v>33.41317365269461</v>
      </c>
      <c r="H22" s="54">
        <v>301059</v>
      </c>
      <c r="I22" s="69">
        <f t="shared" si="3"/>
        <v>9010.188709677419</v>
      </c>
      <c r="K22" s="58">
        <v>30</v>
      </c>
      <c r="L22" s="68">
        <f t="shared" si="4"/>
        <v>30.326086956521738</v>
      </c>
      <c r="M22" s="54">
        <v>412457</v>
      </c>
      <c r="N22" s="69">
        <f t="shared" si="5"/>
        <v>13600.732616487456</v>
      </c>
      <c r="P22" s="58">
        <v>84</v>
      </c>
      <c r="Q22" s="68">
        <f t="shared" si="6"/>
        <v>33.41317365269461</v>
      </c>
      <c r="R22" s="54">
        <v>277116</v>
      </c>
      <c r="S22" s="69">
        <f t="shared" si="7"/>
        <v>8293.6150537634403</v>
      </c>
    </row>
    <row r="23" spans="1:20" x14ac:dyDescent="0.25">
      <c r="A23" s="58">
        <v>89</v>
      </c>
      <c r="B23" s="68">
        <f t="shared" si="0"/>
        <v>30.326086956521738</v>
      </c>
      <c r="C23" s="54">
        <v>43767</v>
      </c>
      <c r="D23" s="69">
        <f t="shared" si="1"/>
        <v>1443.2129032258065</v>
      </c>
      <c r="F23" s="58">
        <v>91</v>
      </c>
      <c r="G23" s="68">
        <f t="shared" si="2"/>
        <v>33.41317365269461</v>
      </c>
      <c r="H23" s="54">
        <v>248437</v>
      </c>
      <c r="I23" s="69">
        <f t="shared" si="3"/>
        <v>7435.3008960573479</v>
      </c>
      <c r="K23" s="58">
        <v>45</v>
      </c>
      <c r="L23" s="68">
        <f t="shared" si="4"/>
        <v>30.326086956521738</v>
      </c>
      <c r="M23" s="54">
        <v>411553</v>
      </c>
      <c r="N23" s="69">
        <f t="shared" si="5"/>
        <v>13570.923297491039</v>
      </c>
      <c r="P23" s="58">
        <v>100</v>
      </c>
      <c r="Q23" s="68">
        <f t="shared" si="6"/>
        <v>33.41317365269461</v>
      </c>
      <c r="R23" s="54">
        <v>196154</v>
      </c>
      <c r="S23" s="69">
        <f t="shared" si="7"/>
        <v>5870.5587813620077</v>
      </c>
    </row>
    <row r="24" spans="1:20" x14ac:dyDescent="0.25">
      <c r="A24" s="58">
        <v>8</v>
      </c>
      <c r="B24" s="68">
        <f t="shared" si="0"/>
        <v>30.326086956521738</v>
      </c>
      <c r="C24" s="54">
        <v>-31569</v>
      </c>
      <c r="D24" s="69">
        <f t="shared" si="1"/>
        <v>-1040.9849462365592</v>
      </c>
      <c r="F24" s="58">
        <v>75</v>
      </c>
      <c r="G24" s="68">
        <f t="shared" si="2"/>
        <v>33.41317365269461</v>
      </c>
      <c r="H24" s="54">
        <v>241104</v>
      </c>
      <c r="I24" s="69">
        <f t="shared" si="3"/>
        <v>7215.8365591397851</v>
      </c>
      <c r="K24" s="58">
        <v>43</v>
      </c>
      <c r="L24" s="68">
        <f t="shared" si="4"/>
        <v>30.326086956521738</v>
      </c>
      <c r="M24" s="54">
        <v>287718</v>
      </c>
      <c r="N24" s="69">
        <f t="shared" si="5"/>
        <v>9487.4752688172048</v>
      </c>
      <c r="P24" s="58">
        <v>56</v>
      </c>
      <c r="Q24" s="68">
        <f t="shared" si="6"/>
        <v>33.41317365269461</v>
      </c>
      <c r="R24" s="54">
        <v>175558</v>
      </c>
      <c r="S24" s="69">
        <f t="shared" si="7"/>
        <v>5254.1551971326162</v>
      </c>
    </row>
    <row r="25" spans="1:20" x14ac:dyDescent="0.25">
      <c r="A25" s="58">
        <v>62</v>
      </c>
      <c r="B25" s="68">
        <f t="shared" si="0"/>
        <v>30.326086956521738</v>
      </c>
      <c r="C25" s="54">
        <v>-50310</v>
      </c>
      <c r="D25" s="69">
        <f t="shared" si="1"/>
        <v>-1658.9677419354839</v>
      </c>
      <c r="F25" s="58">
        <v>21</v>
      </c>
      <c r="G25" s="68">
        <f t="shared" si="2"/>
        <v>33.41317365269461</v>
      </c>
      <c r="H25" s="54">
        <v>182068</v>
      </c>
      <c r="I25" s="69">
        <f t="shared" si="3"/>
        <v>5448.9885304659501</v>
      </c>
      <c r="K25" s="58">
        <v>47</v>
      </c>
      <c r="L25" s="68">
        <f t="shared" si="4"/>
        <v>30.326086956521738</v>
      </c>
      <c r="M25" s="54">
        <v>244892</v>
      </c>
      <c r="N25" s="69">
        <f t="shared" si="5"/>
        <v>8075.2917562724015</v>
      </c>
      <c r="P25" s="58">
        <v>24</v>
      </c>
      <c r="Q25" s="68">
        <f t="shared" si="6"/>
        <v>33.41317365269461</v>
      </c>
      <c r="R25" s="54">
        <v>71007</v>
      </c>
      <c r="S25" s="69">
        <f t="shared" si="7"/>
        <v>2125.1198924731184</v>
      </c>
    </row>
    <row r="26" spans="1:20" x14ac:dyDescent="0.25">
      <c r="A26" s="58">
        <v>20</v>
      </c>
      <c r="B26" s="68">
        <f t="shared" si="0"/>
        <v>30.326086956521738</v>
      </c>
      <c r="C26" s="54">
        <v>-55320</v>
      </c>
      <c r="D26" s="69">
        <f t="shared" si="1"/>
        <v>-1824.1720430107528</v>
      </c>
      <c r="F26" s="58">
        <v>59</v>
      </c>
      <c r="G26" s="68">
        <f t="shared" si="2"/>
        <v>33.41317365269461</v>
      </c>
      <c r="H26" s="54">
        <v>167225</v>
      </c>
      <c r="I26" s="69">
        <f t="shared" si="3"/>
        <v>5004.7625448028675</v>
      </c>
      <c r="K26" s="58">
        <v>27</v>
      </c>
      <c r="L26" s="68">
        <f t="shared" si="4"/>
        <v>30.326086956521738</v>
      </c>
      <c r="M26" s="54">
        <v>217246</v>
      </c>
      <c r="N26" s="69">
        <f t="shared" si="5"/>
        <v>7163.6673835125448</v>
      </c>
      <c r="P26" s="58">
        <v>94</v>
      </c>
      <c r="Q26" s="68">
        <f t="shared" si="6"/>
        <v>33.41317365269461</v>
      </c>
      <c r="R26" s="54">
        <v>48569</v>
      </c>
      <c r="S26" s="69">
        <f t="shared" si="7"/>
        <v>1453.5883512544804</v>
      </c>
    </row>
    <row r="27" spans="1:20" x14ac:dyDescent="0.25">
      <c r="A27" s="58">
        <v>14</v>
      </c>
      <c r="B27" s="68">
        <f t="shared" si="0"/>
        <v>30.326086956521738</v>
      </c>
      <c r="C27" s="54">
        <v>-99929</v>
      </c>
      <c r="D27" s="69">
        <f t="shared" si="1"/>
        <v>-3295.1498207885306</v>
      </c>
      <c r="F27" s="58">
        <v>63</v>
      </c>
      <c r="G27" s="68">
        <f t="shared" si="2"/>
        <v>33.41317365269461</v>
      </c>
      <c r="H27" s="54">
        <v>-59023</v>
      </c>
      <c r="I27" s="69">
        <f t="shared" si="3"/>
        <v>-1766.4589605734768</v>
      </c>
      <c r="K27" s="58">
        <v>98</v>
      </c>
      <c r="L27" s="68">
        <f t="shared" si="4"/>
        <v>30.326086956521738</v>
      </c>
      <c r="M27" s="54">
        <v>186371</v>
      </c>
      <c r="N27" s="69">
        <f t="shared" si="5"/>
        <v>6145.5670250896055</v>
      </c>
      <c r="P27" s="58">
        <v>98</v>
      </c>
      <c r="Q27" s="68">
        <f t="shared" si="6"/>
        <v>33.41317365269461</v>
      </c>
      <c r="R27" s="54">
        <v>42432</v>
      </c>
      <c r="S27" s="69">
        <f t="shared" si="7"/>
        <v>1269.9182795698925</v>
      </c>
    </row>
    <row r="28" spans="1:20" x14ac:dyDescent="0.25">
      <c r="A28" s="58">
        <v>59</v>
      </c>
      <c r="B28" s="68">
        <f t="shared" si="0"/>
        <v>30.326086956521738</v>
      </c>
      <c r="C28" s="54">
        <v>-120499</v>
      </c>
      <c r="D28" s="69">
        <f t="shared" si="1"/>
        <v>-3973.4437275985665</v>
      </c>
      <c r="F28" s="58">
        <v>70</v>
      </c>
      <c r="G28" s="68">
        <f t="shared" si="2"/>
        <v>33.41317365269461</v>
      </c>
      <c r="H28" s="54">
        <v>-82956</v>
      </c>
      <c r="I28" s="69">
        <f t="shared" si="3"/>
        <v>-2482.7333333333336</v>
      </c>
      <c r="K28" s="58">
        <v>82</v>
      </c>
      <c r="L28" s="68">
        <f t="shared" si="4"/>
        <v>30.326086956521738</v>
      </c>
      <c r="M28" s="54">
        <v>157735</v>
      </c>
      <c r="N28" s="69">
        <f t="shared" si="5"/>
        <v>5201.2974910394269</v>
      </c>
      <c r="P28" s="58">
        <v>79</v>
      </c>
      <c r="Q28" s="68">
        <f t="shared" si="6"/>
        <v>33.41317365269461</v>
      </c>
      <c r="R28" s="54">
        <v>-17472</v>
      </c>
      <c r="S28" s="69">
        <f t="shared" si="7"/>
        <v>-522.9075268817204</v>
      </c>
    </row>
    <row r="29" spans="1:20" x14ac:dyDescent="0.25">
      <c r="A29" s="58">
        <v>11</v>
      </c>
      <c r="B29" s="68">
        <f t="shared" si="0"/>
        <v>30.326086956521738</v>
      </c>
      <c r="C29" s="54">
        <v>-150180</v>
      </c>
      <c r="D29" s="69">
        <f t="shared" si="1"/>
        <v>-4952.1720430107525</v>
      </c>
      <c r="F29" s="58">
        <v>64</v>
      </c>
      <c r="G29" s="68">
        <f t="shared" si="2"/>
        <v>33.41317365269461</v>
      </c>
      <c r="H29" s="54">
        <v>-163863</v>
      </c>
      <c r="I29" s="69">
        <f t="shared" si="3"/>
        <v>-4904.1435483870973</v>
      </c>
      <c r="K29" s="58">
        <v>39</v>
      </c>
      <c r="L29" s="68">
        <f t="shared" si="4"/>
        <v>30.326086956521738</v>
      </c>
      <c r="M29" s="54">
        <v>75371</v>
      </c>
      <c r="N29" s="69">
        <f t="shared" si="5"/>
        <v>2485.3519713261649</v>
      </c>
      <c r="P29" s="58">
        <v>30</v>
      </c>
      <c r="Q29" s="68">
        <f t="shared" si="6"/>
        <v>33.41317365269461</v>
      </c>
      <c r="R29" s="54">
        <v>-18899</v>
      </c>
      <c r="S29" s="69">
        <f t="shared" si="7"/>
        <v>-565.61523297491044</v>
      </c>
    </row>
    <row r="30" spans="1:20" x14ac:dyDescent="0.25">
      <c r="A30" s="58">
        <v>19</v>
      </c>
      <c r="B30" s="68">
        <f t="shared" si="0"/>
        <v>30.326086956521738</v>
      </c>
      <c r="C30" s="54">
        <v>-212225</v>
      </c>
      <c r="D30" s="69">
        <f t="shared" si="1"/>
        <v>-6998.1003584229393</v>
      </c>
      <c r="F30" s="58">
        <v>8</v>
      </c>
      <c r="G30" s="68">
        <f t="shared" si="2"/>
        <v>33.41317365269461</v>
      </c>
      <c r="H30" s="54">
        <v>-187009</v>
      </c>
      <c r="I30" s="69">
        <f t="shared" si="3"/>
        <v>-5596.8643369175625</v>
      </c>
      <c r="K30" s="58">
        <v>79</v>
      </c>
      <c r="L30" s="68">
        <f t="shared" si="4"/>
        <v>30.326086956521738</v>
      </c>
      <c r="M30" s="54">
        <v>42924</v>
      </c>
      <c r="N30" s="69">
        <f t="shared" si="5"/>
        <v>1415.4150537634409</v>
      </c>
      <c r="P30" s="95">
        <v>99</v>
      </c>
      <c r="Q30" s="96">
        <f t="shared" si="6"/>
        <v>33.41317365269461</v>
      </c>
      <c r="R30" s="97">
        <v>-53380</v>
      </c>
      <c r="S30" s="98">
        <f t="shared" si="7"/>
        <v>-1597.573476702509</v>
      </c>
      <c r="T30">
        <v>0</v>
      </c>
    </row>
    <row r="31" spans="1:20" x14ac:dyDescent="0.25">
      <c r="A31" s="58">
        <v>7</v>
      </c>
      <c r="B31" s="68">
        <f t="shared" si="0"/>
        <v>30.326086956521738</v>
      </c>
      <c r="C31" s="54">
        <v>-425925</v>
      </c>
      <c r="D31" s="69">
        <f t="shared" si="1"/>
        <v>-14044.83870967742</v>
      </c>
      <c r="F31" s="58">
        <v>61</v>
      </c>
      <c r="G31" s="68">
        <f t="shared" si="2"/>
        <v>33.41317365269461</v>
      </c>
      <c r="H31" s="54">
        <v>-223907</v>
      </c>
      <c r="I31" s="69">
        <f t="shared" si="3"/>
        <v>-6701.159318996416</v>
      </c>
      <c r="K31" s="58">
        <v>49</v>
      </c>
      <c r="L31" s="68">
        <f t="shared" si="4"/>
        <v>30.326086956521738</v>
      </c>
      <c r="M31" s="54">
        <v>-35135</v>
      </c>
      <c r="N31" s="69">
        <f t="shared" si="5"/>
        <v>-1158.573476702509</v>
      </c>
      <c r="P31" s="58">
        <v>76</v>
      </c>
      <c r="Q31" s="68">
        <f t="shared" si="6"/>
        <v>33.41317365269461</v>
      </c>
      <c r="R31" s="54">
        <v>-134133</v>
      </c>
      <c r="S31" s="69">
        <f t="shared" si="7"/>
        <v>-4014.3747311827956</v>
      </c>
    </row>
    <row r="32" spans="1:20" x14ac:dyDescent="0.25">
      <c r="A32" s="58">
        <v>88</v>
      </c>
      <c r="B32" s="68">
        <f t="shared" si="0"/>
        <v>30.326086956521738</v>
      </c>
      <c r="C32" s="54">
        <v>-426293</v>
      </c>
      <c r="D32" s="69">
        <f t="shared" si="1"/>
        <v>-14056.973476702509</v>
      </c>
      <c r="F32" s="58">
        <v>92</v>
      </c>
      <c r="G32" s="68">
        <f t="shared" si="2"/>
        <v>33.41317365269461</v>
      </c>
      <c r="H32" s="54">
        <v>-299484</v>
      </c>
      <c r="I32" s="69">
        <f t="shared" si="3"/>
        <v>-8963.0516129032258</v>
      </c>
      <c r="K32" s="58">
        <v>86</v>
      </c>
      <c r="L32" s="68">
        <f t="shared" si="4"/>
        <v>30.326086956521738</v>
      </c>
      <c r="M32" s="54">
        <v>-36114</v>
      </c>
      <c r="N32" s="69">
        <f t="shared" si="5"/>
        <v>-1190.8559139784948</v>
      </c>
      <c r="P32" s="58">
        <v>27</v>
      </c>
      <c r="Q32" s="68">
        <f t="shared" si="6"/>
        <v>33.41317365269461</v>
      </c>
      <c r="R32" s="54">
        <v>-237585</v>
      </c>
      <c r="S32" s="69">
        <f t="shared" si="7"/>
        <v>-7110.5188172043008</v>
      </c>
    </row>
    <row r="33" spans="1:19" x14ac:dyDescent="0.25">
      <c r="A33" s="58">
        <v>1</v>
      </c>
      <c r="B33" s="68">
        <f t="shared" si="0"/>
        <v>30.326086956521738</v>
      </c>
      <c r="C33" s="54">
        <v>-436549</v>
      </c>
      <c r="D33" s="69">
        <f t="shared" si="1"/>
        <v>-14395.164157706093</v>
      </c>
      <c r="F33" s="58">
        <v>93</v>
      </c>
      <c r="G33" s="68">
        <f t="shared" si="2"/>
        <v>33.41317365269461</v>
      </c>
      <c r="H33" s="54">
        <v>-392062</v>
      </c>
      <c r="I33" s="69">
        <f t="shared" si="3"/>
        <v>-11733.755197132617</v>
      </c>
      <c r="K33" s="58">
        <v>95</v>
      </c>
      <c r="L33" s="68">
        <f t="shared" si="4"/>
        <v>30.326086956521738</v>
      </c>
      <c r="M33" s="54">
        <v>-117870</v>
      </c>
      <c r="N33" s="69">
        <f t="shared" si="5"/>
        <v>-3886.7526881720432</v>
      </c>
      <c r="P33" s="58">
        <v>49</v>
      </c>
      <c r="Q33" s="68">
        <f t="shared" si="6"/>
        <v>33.41317365269461</v>
      </c>
      <c r="R33" s="54">
        <v>-320509</v>
      </c>
      <c r="S33" s="69">
        <f t="shared" si="7"/>
        <v>-9592.2944444444438</v>
      </c>
    </row>
    <row r="34" spans="1:19" x14ac:dyDescent="0.25">
      <c r="A34" s="58">
        <v>16</v>
      </c>
      <c r="B34" s="68">
        <f t="shared" si="0"/>
        <v>30.326086956521738</v>
      </c>
      <c r="C34" s="54">
        <v>-516654</v>
      </c>
      <c r="D34" s="69">
        <f t="shared" si="1"/>
        <v>-17036.619354838709</v>
      </c>
      <c r="F34" s="58">
        <v>17</v>
      </c>
      <c r="G34" s="68">
        <f t="shared" si="2"/>
        <v>33.41317365269461</v>
      </c>
      <c r="H34" s="54">
        <v>-421127</v>
      </c>
      <c r="I34" s="69">
        <f t="shared" si="3"/>
        <v>-12603.621684587813</v>
      </c>
      <c r="K34" s="58">
        <v>42</v>
      </c>
      <c r="L34" s="68">
        <f t="shared" si="4"/>
        <v>30.326086956521738</v>
      </c>
      <c r="M34" s="54">
        <v>-137859</v>
      </c>
      <c r="N34" s="69">
        <f t="shared" si="5"/>
        <v>-4545.8881720430109</v>
      </c>
      <c r="P34" s="58">
        <v>47</v>
      </c>
      <c r="Q34" s="68">
        <f t="shared" si="6"/>
        <v>33.41317365269461</v>
      </c>
      <c r="R34" s="54">
        <v>-338573</v>
      </c>
      <c r="S34" s="69">
        <f t="shared" si="7"/>
        <v>-10132.919534050179</v>
      </c>
    </row>
    <row r="35" spans="1:19" x14ac:dyDescent="0.25">
      <c r="A35" s="58">
        <v>73</v>
      </c>
      <c r="B35" s="68">
        <f t="shared" si="0"/>
        <v>30.326086956521738</v>
      </c>
      <c r="C35" s="54">
        <v>-526062</v>
      </c>
      <c r="D35" s="69">
        <f t="shared" si="1"/>
        <v>-17346.847311827958</v>
      </c>
      <c r="F35" s="58">
        <v>5</v>
      </c>
      <c r="G35" s="68">
        <f t="shared" si="2"/>
        <v>33.41317365269461</v>
      </c>
      <c r="H35" s="54">
        <v>-473972</v>
      </c>
      <c r="I35" s="69">
        <f t="shared" si="3"/>
        <v>-14185.183512544803</v>
      </c>
      <c r="K35" s="58">
        <v>50</v>
      </c>
      <c r="L35" s="68">
        <f t="shared" si="4"/>
        <v>30.326086956521738</v>
      </c>
      <c r="M35" s="54">
        <v>-141217</v>
      </c>
      <c r="N35" s="69">
        <f t="shared" si="5"/>
        <v>-4656.6179211469534</v>
      </c>
      <c r="P35" s="58">
        <v>34</v>
      </c>
      <c r="Q35" s="68">
        <f t="shared" si="6"/>
        <v>33.41317365269461</v>
      </c>
      <c r="R35" s="54">
        <v>-343537</v>
      </c>
      <c r="S35" s="69">
        <f t="shared" si="7"/>
        <v>-10281.483691756273</v>
      </c>
    </row>
    <row r="36" spans="1:19" x14ac:dyDescent="0.25">
      <c r="A36" s="58">
        <v>69</v>
      </c>
      <c r="B36" s="68">
        <f t="shared" si="0"/>
        <v>30.326086956521738</v>
      </c>
      <c r="C36" s="54">
        <v>-582190</v>
      </c>
      <c r="D36" s="69">
        <f t="shared" si="1"/>
        <v>-19197.663082437277</v>
      </c>
      <c r="F36" s="58">
        <v>67</v>
      </c>
      <c r="G36" s="68">
        <f t="shared" si="2"/>
        <v>33.41317365269461</v>
      </c>
      <c r="H36" s="54">
        <v>-479440</v>
      </c>
      <c r="I36" s="69">
        <f t="shared" si="3"/>
        <v>-14348.831541218638</v>
      </c>
      <c r="K36" s="58">
        <v>24</v>
      </c>
      <c r="L36" s="68">
        <f t="shared" si="4"/>
        <v>30.326086956521738</v>
      </c>
      <c r="M36" s="54">
        <v>-265494</v>
      </c>
      <c r="N36" s="69">
        <f t="shared" si="5"/>
        <v>-8754.6408602150532</v>
      </c>
      <c r="P36" s="58">
        <v>26</v>
      </c>
      <c r="Q36" s="68">
        <f t="shared" si="6"/>
        <v>33.41317365269461</v>
      </c>
      <c r="R36" s="54">
        <v>-410208</v>
      </c>
      <c r="S36" s="69">
        <f t="shared" si="7"/>
        <v>-12276.834408602152</v>
      </c>
    </row>
    <row r="37" spans="1:19" x14ac:dyDescent="0.25">
      <c r="A37" s="58">
        <v>17</v>
      </c>
      <c r="B37" s="68">
        <f t="shared" si="0"/>
        <v>30.326086956521738</v>
      </c>
      <c r="C37" s="54">
        <v>-710390</v>
      </c>
      <c r="D37" s="69">
        <f t="shared" si="1"/>
        <v>-23425.046594982079</v>
      </c>
      <c r="F37" s="58">
        <v>65</v>
      </c>
      <c r="G37" s="68">
        <f t="shared" si="2"/>
        <v>33.41317365269461</v>
      </c>
      <c r="H37" s="54">
        <v>-681880</v>
      </c>
      <c r="I37" s="69">
        <f t="shared" si="3"/>
        <v>-20407.519713261649</v>
      </c>
      <c r="K37" s="58">
        <v>44</v>
      </c>
      <c r="L37" s="68">
        <f t="shared" si="4"/>
        <v>30.326086956521738</v>
      </c>
      <c r="M37" s="54">
        <v>-279807</v>
      </c>
      <c r="N37" s="69">
        <f t="shared" si="5"/>
        <v>-9226.6107526881715</v>
      </c>
      <c r="P37" s="58">
        <v>55</v>
      </c>
      <c r="Q37" s="68">
        <f t="shared" si="6"/>
        <v>33.41317365269461</v>
      </c>
      <c r="R37" s="54">
        <v>-412943</v>
      </c>
      <c r="S37" s="69">
        <f t="shared" si="7"/>
        <v>-12358.688351254481</v>
      </c>
    </row>
    <row r="38" spans="1:19" x14ac:dyDescent="0.25">
      <c r="A38" s="58">
        <v>12</v>
      </c>
      <c r="B38" s="68">
        <f t="shared" si="0"/>
        <v>30.326086956521738</v>
      </c>
      <c r="C38" s="54">
        <v>-753136</v>
      </c>
      <c r="D38" s="69">
        <f t="shared" si="1"/>
        <v>-24834.592114695341</v>
      </c>
      <c r="F38" s="95">
        <v>15</v>
      </c>
      <c r="G38" s="96">
        <f t="shared" si="2"/>
        <v>33.41317365269461</v>
      </c>
      <c r="H38" s="97">
        <v>-737370</v>
      </c>
      <c r="I38" s="98">
        <f t="shared" si="3"/>
        <v>-22068.241935483871</v>
      </c>
      <c r="J38">
        <v>0</v>
      </c>
      <c r="K38" s="58">
        <v>78</v>
      </c>
      <c r="L38" s="68">
        <f t="shared" si="4"/>
        <v>30.326086956521738</v>
      </c>
      <c r="M38" s="54">
        <v>-450754</v>
      </c>
      <c r="N38" s="69">
        <f t="shared" si="5"/>
        <v>-14863.572759856632</v>
      </c>
      <c r="P38" s="99">
        <v>22</v>
      </c>
      <c r="Q38" s="100">
        <f t="shared" si="6"/>
        <v>33.41317365269461</v>
      </c>
      <c r="R38" s="101">
        <v>-443480</v>
      </c>
      <c r="S38" s="102">
        <f t="shared" si="7"/>
        <v>-13272.609318996416</v>
      </c>
    </row>
    <row r="39" spans="1:19" x14ac:dyDescent="0.25">
      <c r="A39" s="58">
        <v>58</v>
      </c>
      <c r="B39" s="68">
        <f t="shared" si="0"/>
        <v>30.326086956521738</v>
      </c>
      <c r="C39" s="54">
        <v>-793953</v>
      </c>
      <c r="D39" s="69">
        <f t="shared" si="1"/>
        <v>-26180.529032258066</v>
      </c>
      <c r="F39" s="58">
        <v>6</v>
      </c>
      <c r="G39" s="68">
        <f t="shared" si="2"/>
        <v>33.41317365269461</v>
      </c>
      <c r="H39" s="54">
        <v>-760719</v>
      </c>
      <c r="I39" s="69">
        <f t="shared" si="3"/>
        <v>-22767.038172043012</v>
      </c>
      <c r="K39" s="58">
        <v>81</v>
      </c>
      <c r="L39" s="68">
        <f t="shared" si="4"/>
        <v>30.326086956521738</v>
      </c>
      <c r="M39" s="54">
        <v>-460974</v>
      </c>
      <c r="N39" s="69">
        <f t="shared" si="5"/>
        <v>-15200.576344086023</v>
      </c>
      <c r="P39" s="58">
        <v>97</v>
      </c>
      <c r="Q39" s="68">
        <f t="shared" si="6"/>
        <v>33.41317365269461</v>
      </c>
      <c r="R39" s="54">
        <v>-474669</v>
      </c>
      <c r="S39" s="69">
        <f t="shared" si="7"/>
        <v>-14206.043548387097</v>
      </c>
    </row>
    <row r="40" spans="1:19" x14ac:dyDescent="0.25">
      <c r="A40" s="58">
        <v>68</v>
      </c>
      <c r="B40" s="68">
        <f t="shared" si="0"/>
        <v>30.326086956521738</v>
      </c>
      <c r="C40" s="54">
        <v>-803861</v>
      </c>
      <c r="D40" s="69">
        <f t="shared" si="1"/>
        <v>-26507.244444444445</v>
      </c>
      <c r="F40" s="58">
        <v>18</v>
      </c>
      <c r="G40" s="68">
        <f t="shared" si="2"/>
        <v>33.41317365269461</v>
      </c>
      <c r="H40" s="54">
        <v>-824942</v>
      </c>
      <c r="I40" s="69">
        <f t="shared" si="3"/>
        <v>-24689.124372759856</v>
      </c>
      <c r="K40" s="58">
        <v>48</v>
      </c>
      <c r="L40" s="68">
        <f t="shared" si="4"/>
        <v>30.326086956521738</v>
      </c>
      <c r="M40" s="54">
        <v>-522318</v>
      </c>
      <c r="N40" s="69">
        <f t="shared" si="5"/>
        <v>-17223.389247311829</v>
      </c>
      <c r="P40" s="58">
        <v>57</v>
      </c>
      <c r="Q40" s="68">
        <f t="shared" si="6"/>
        <v>33.41317365269461</v>
      </c>
      <c r="R40" s="54">
        <v>-519769</v>
      </c>
      <c r="S40" s="69">
        <f t="shared" si="7"/>
        <v>-15555.810573476703</v>
      </c>
    </row>
    <row r="41" spans="1:19" x14ac:dyDescent="0.25">
      <c r="A41" s="58">
        <v>60</v>
      </c>
      <c r="B41" s="68">
        <f t="shared" si="0"/>
        <v>30.326086956521738</v>
      </c>
      <c r="C41" s="54">
        <v>-850901</v>
      </c>
      <c r="D41" s="69">
        <f t="shared" si="1"/>
        <v>-28058.384229390682</v>
      </c>
      <c r="F41" s="58">
        <v>11</v>
      </c>
      <c r="G41" s="68">
        <f t="shared" si="2"/>
        <v>33.41317365269461</v>
      </c>
      <c r="H41" s="54">
        <v>-906527</v>
      </c>
      <c r="I41" s="69">
        <f t="shared" si="3"/>
        <v>-27130.825985663083</v>
      </c>
      <c r="K41" s="58">
        <v>87</v>
      </c>
      <c r="L41" s="68">
        <f t="shared" si="4"/>
        <v>30.326086956521738</v>
      </c>
      <c r="M41" s="54">
        <v>-542332</v>
      </c>
      <c r="N41" s="69">
        <f t="shared" si="5"/>
        <v>-17883.349103942652</v>
      </c>
      <c r="P41" s="58">
        <v>35</v>
      </c>
      <c r="Q41" s="68">
        <f t="shared" si="6"/>
        <v>33.41317365269461</v>
      </c>
      <c r="R41" s="54">
        <v>-552149</v>
      </c>
      <c r="S41" s="69">
        <f t="shared" si="7"/>
        <v>-16524.889426523299</v>
      </c>
    </row>
    <row r="42" spans="1:19" x14ac:dyDescent="0.25">
      <c r="A42" s="58">
        <v>74</v>
      </c>
      <c r="B42" s="68">
        <f t="shared" si="0"/>
        <v>30.326086956521738</v>
      </c>
      <c r="C42" s="54">
        <v>-871942</v>
      </c>
      <c r="D42" s="69">
        <f t="shared" si="1"/>
        <v>-28752.209318996418</v>
      </c>
      <c r="F42" s="58">
        <v>14</v>
      </c>
      <c r="G42" s="68">
        <f t="shared" si="2"/>
        <v>33.41317365269461</v>
      </c>
      <c r="H42" s="54">
        <v>-923878</v>
      </c>
      <c r="I42" s="69">
        <f t="shared" si="3"/>
        <v>-27650.112186379931</v>
      </c>
      <c r="K42" s="58">
        <v>41</v>
      </c>
      <c r="L42" s="68">
        <f t="shared" si="4"/>
        <v>30.326086956521738</v>
      </c>
      <c r="M42" s="54">
        <v>-545075</v>
      </c>
      <c r="N42" s="69">
        <f t="shared" si="5"/>
        <v>-17973.799283154123</v>
      </c>
      <c r="P42" s="58">
        <v>81</v>
      </c>
      <c r="Q42" s="68">
        <f t="shared" si="6"/>
        <v>33.41317365269461</v>
      </c>
      <c r="R42" s="54">
        <v>-553719</v>
      </c>
      <c r="S42" s="69">
        <f t="shared" si="7"/>
        <v>-16571.876881720429</v>
      </c>
    </row>
    <row r="43" spans="1:19" x14ac:dyDescent="0.25">
      <c r="A43" s="58">
        <v>71</v>
      </c>
      <c r="B43" s="68">
        <f t="shared" si="0"/>
        <v>30.326086956521738</v>
      </c>
      <c r="C43" s="54">
        <v>-879757</v>
      </c>
      <c r="D43" s="69">
        <f t="shared" si="1"/>
        <v>-29009.908243727601</v>
      </c>
      <c r="F43" s="58">
        <v>90</v>
      </c>
      <c r="G43" s="68">
        <f t="shared" si="2"/>
        <v>33.41317365269461</v>
      </c>
      <c r="H43" s="54">
        <v>-944796</v>
      </c>
      <c r="I43" s="69">
        <f t="shared" si="3"/>
        <v>-28276.152688172042</v>
      </c>
      <c r="K43" s="58">
        <v>23</v>
      </c>
      <c r="L43" s="68">
        <f t="shared" si="4"/>
        <v>30.326086956521738</v>
      </c>
      <c r="M43" s="54">
        <v>-550483</v>
      </c>
      <c r="N43" s="69">
        <f t="shared" si="5"/>
        <v>-18152.127598566309</v>
      </c>
      <c r="P43" s="58">
        <v>25</v>
      </c>
      <c r="Q43" s="68">
        <f t="shared" si="6"/>
        <v>33.41317365269461</v>
      </c>
      <c r="R43" s="54">
        <v>-602771</v>
      </c>
      <c r="S43" s="69">
        <f t="shared" si="7"/>
        <v>-18039.920609318997</v>
      </c>
    </row>
    <row r="44" spans="1:19" x14ac:dyDescent="0.25">
      <c r="A44" s="58">
        <v>13</v>
      </c>
      <c r="B44" s="68">
        <f t="shared" si="0"/>
        <v>30.326086956521738</v>
      </c>
      <c r="C44" s="54">
        <v>-1072053</v>
      </c>
      <c r="D44" s="69">
        <f t="shared" si="1"/>
        <v>-35350.851612903229</v>
      </c>
      <c r="F44" s="58">
        <v>88</v>
      </c>
      <c r="G44" s="68">
        <f t="shared" si="2"/>
        <v>33.41317365269461</v>
      </c>
      <c r="H44" s="54">
        <v>-964689</v>
      </c>
      <c r="I44" s="69">
        <f t="shared" si="3"/>
        <v>-28871.516666666666</v>
      </c>
      <c r="K44" s="58">
        <v>55</v>
      </c>
      <c r="L44" s="68">
        <f t="shared" si="4"/>
        <v>30.326086956521738</v>
      </c>
      <c r="M44" s="54">
        <v>-592287</v>
      </c>
      <c r="N44" s="69">
        <f t="shared" si="5"/>
        <v>-19530.610752688171</v>
      </c>
      <c r="P44" s="58">
        <v>23</v>
      </c>
      <c r="Q44" s="68">
        <f t="shared" si="6"/>
        <v>33.41317365269461</v>
      </c>
      <c r="R44" s="54">
        <v>-625997</v>
      </c>
      <c r="S44" s="69">
        <f t="shared" si="7"/>
        <v>-18735.035663082439</v>
      </c>
    </row>
    <row r="45" spans="1:19" x14ac:dyDescent="0.25">
      <c r="A45" s="58">
        <v>92</v>
      </c>
      <c r="B45" s="68">
        <f t="shared" si="0"/>
        <v>30.326086956521738</v>
      </c>
      <c r="C45" s="54">
        <v>-1105120</v>
      </c>
      <c r="D45" s="69">
        <f t="shared" si="1"/>
        <v>-36441.232974910396</v>
      </c>
      <c r="F45" s="58">
        <v>10</v>
      </c>
      <c r="G45" s="68">
        <f t="shared" si="2"/>
        <v>33.41317365269461</v>
      </c>
      <c r="H45" s="54">
        <v>-1019506</v>
      </c>
      <c r="I45" s="69">
        <f t="shared" si="3"/>
        <v>-30512.097132616487</v>
      </c>
      <c r="K45" s="58">
        <v>31</v>
      </c>
      <c r="L45" s="68">
        <f t="shared" si="4"/>
        <v>30.326086956521738</v>
      </c>
      <c r="M45" s="54">
        <v>-620072</v>
      </c>
      <c r="N45" s="69">
        <f t="shared" si="5"/>
        <v>-20446.818637992834</v>
      </c>
      <c r="P45" s="58">
        <v>78</v>
      </c>
      <c r="Q45" s="68">
        <f t="shared" si="6"/>
        <v>33.41317365269461</v>
      </c>
      <c r="R45" s="54">
        <v>-732192</v>
      </c>
      <c r="S45" s="69">
        <f t="shared" si="7"/>
        <v>-21913.273118279569</v>
      </c>
    </row>
    <row r="46" spans="1:19" x14ac:dyDescent="0.25">
      <c r="A46" s="58">
        <v>21</v>
      </c>
      <c r="B46" s="68">
        <f t="shared" si="0"/>
        <v>30.326086956521738</v>
      </c>
      <c r="C46" s="54">
        <v>-1124143</v>
      </c>
      <c r="D46" s="69">
        <f t="shared" si="1"/>
        <v>-37068.514695340506</v>
      </c>
      <c r="F46" s="58">
        <v>2</v>
      </c>
      <c r="G46" s="68">
        <f t="shared" si="2"/>
        <v>33.41317365269461</v>
      </c>
      <c r="H46" s="54">
        <v>-1048073</v>
      </c>
      <c r="I46" s="69">
        <f t="shared" si="3"/>
        <v>-31367.059318996417</v>
      </c>
      <c r="K46" s="58">
        <v>40</v>
      </c>
      <c r="L46" s="68">
        <f t="shared" si="4"/>
        <v>30.326086956521738</v>
      </c>
      <c r="M46" s="54">
        <v>-658386</v>
      </c>
      <c r="N46" s="69">
        <f t="shared" si="5"/>
        <v>-21710.219354838711</v>
      </c>
      <c r="P46" s="58">
        <v>41</v>
      </c>
      <c r="Q46" s="68">
        <f t="shared" si="6"/>
        <v>33.41317365269461</v>
      </c>
      <c r="R46" s="54">
        <v>-890843</v>
      </c>
      <c r="S46" s="69">
        <f t="shared" si="7"/>
        <v>-26661.430286738352</v>
      </c>
    </row>
    <row r="47" spans="1:19" x14ac:dyDescent="0.25">
      <c r="A47" s="58">
        <v>64</v>
      </c>
      <c r="B47" s="68">
        <f t="shared" si="0"/>
        <v>30.326086956521738</v>
      </c>
      <c r="C47" s="54">
        <v>-1198677</v>
      </c>
      <c r="D47" s="69">
        <f t="shared" si="1"/>
        <v>-39526.26666666667</v>
      </c>
      <c r="F47" s="58">
        <v>12</v>
      </c>
      <c r="G47" s="68">
        <f t="shared" si="2"/>
        <v>33.41317365269461</v>
      </c>
      <c r="H47" s="54">
        <v>-1098022</v>
      </c>
      <c r="I47" s="69">
        <f t="shared" si="3"/>
        <v>-32861.948745519716</v>
      </c>
      <c r="K47" s="58">
        <v>97</v>
      </c>
      <c r="L47" s="68">
        <f t="shared" si="4"/>
        <v>30.326086956521738</v>
      </c>
      <c r="M47" s="54">
        <v>-661431</v>
      </c>
      <c r="N47" s="69">
        <f t="shared" si="5"/>
        <v>-21810.627956989247</v>
      </c>
      <c r="P47" s="58">
        <v>48</v>
      </c>
      <c r="Q47" s="68">
        <f t="shared" si="6"/>
        <v>33.41317365269461</v>
      </c>
      <c r="R47" s="54">
        <v>-914243</v>
      </c>
      <c r="S47" s="69">
        <f t="shared" si="7"/>
        <v>-27361.752867383515</v>
      </c>
    </row>
    <row r="48" spans="1:19" x14ac:dyDescent="0.25">
      <c r="A48" s="58">
        <v>3</v>
      </c>
      <c r="B48" s="68">
        <f t="shared" si="0"/>
        <v>30.326086956521738</v>
      </c>
      <c r="C48" s="54">
        <v>-1231829</v>
      </c>
      <c r="D48" s="69">
        <f t="shared" si="1"/>
        <v>-40619.450896057351</v>
      </c>
      <c r="F48" s="58">
        <v>72</v>
      </c>
      <c r="G48" s="68">
        <f t="shared" si="2"/>
        <v>33.41317365269461</v>
      </c>
      <c r="H48" s="54">
        <v>-1168137</v>
      </c>
      <c r="I48" s="69">
        <f t="shared" si="3"/>
        <v>-34960.372580645162</v>
      </c>
      <c r="K48" s="58">
        <v>56</v>
      </c>
      <c r="L48" s="68">
        <f t="shared" si="4"/>
        <v>30.326086956521738</v>
      </c>
      <c r="M48" s="54">
        <v>-736742</v>
      </c>
      <c r="N48" s="69">
        <f t="shared" si="5"/>
        <v>-24294.001433691756</v>
      </c>
      <c r="P48" s="58">
        <v>96</v>
      </c>
      <c r="Q48" s="68">
        <f t="shared" si="6"/>
        <v>33.41317365269461</v>
      </c>
      <c r="R48" s="54">
        <v>-944950</v>
      </c>
      <c r="S48" s="69">
        <f t="shared" si="7"/>
        <v>-28280.76164874552</v>
      </c>
    </row>
    <row r="49" spans="1:19" x14ac:dyDescent="0.25">
      <c r="A49" s="58">
        <v>70</v>
      </c>
      <c r="B49" s="68">
        <f t="shared" si="0"/>
        <v>30.326086956521738</v>
      </c>
      <c r="C49" s="54">
        <v>-1290356</v>
      </c>
      <c r="D49" s="69">
        <f t="shared" si="1"/>
        <v>-42549.373476702509</v>
      </c>
      <c r="F49" s="58">
        <v>62</v>
      </c>
      <c r="G49" s="68">
        <f t="shared" si="2"/>
        <v>33.41317365269461</v>
      </c>
      <c r="H49" s="54">
        <v>-1177761</v>
      </c>
      <c r="I49" s="69">
        <f t="shared" si="3"/>
        <v>-35248.402688172042</v>
      </c>
      <c r="K49" s="58">
        <v>85</v>
      </c>
      <c r="L49" s="68">
        <f t="shared" si="4"/>
        <v>30.326086956521738</v>
      </c>
      <c r="M49" s="54">
        <v>-789944</v>
      </c>
      <c r="N49" s="69">
        <f t="shared" si="5"/>
        <v>-26048.332616487456</v>
      </c>
      <c r="P49" s="58">
        <v>82</v>
      </c>
      <c r="Q49" s="68">
        <f t="shared" si="6"/>
        <v>33.41317365269461</v>
      </c>
      <c r="R49" s="54">
        <v>-954865</v>
      </c>
      <c r="S49" s="69">
        <f t="shared" si="7"/>
        <v>-28577.500896057347</v>
      </c>
    </row>
    <row r="50" spans="1:19" x14ac:dyDescent="0.25">
      <c r="A50" s="58">
        <v>65</v>
      </c>
      <c r="B50" s="68">
        <f t="shared" si="0"/>
        <v>30.326086956521738</v>
      </c>
      <c r="C50" s="54">
        <v>-1335361</v>
      </c>
      <c r="D50" s="69">
        <f t="shared" si="1"/>
        <v>-44033.409318996419</v>
      </c>
      <c r="F50" s="58">
        <v>19</v>
      </c>
      <c r="G50" s="68">
        <f t="shared" si="2"/>
        <v>33.41317365269461</v>
      </c>
      <c r="H50" s="54">
        <v>-1251057</v>
      </c>
      <c r="I50" s="69">
        <f t="shared" si="3"/>
        <v>-37442.028494623657</v>
      </c>
      <c r="K50" s="58">
        <v>26</v>
      </c>
      <c r="L50" s="68">
        <f t="shared" si="4"/>
        <v>30.326086956521738</v>
      </c>
      <c r="M50" s="54">
        <v>-946136</v>
      </c>
      <c r="N50" s="69">
        <f t="shared" si="5"/>
        <v>-31198.749820788533</v>
      </c>
      <c r="P50" s="58">
        <v>50</v>
      </c>
      <c r="Q50" s="68">
        <f t="shared" si="6"/>
        <v>33.41317365269461</v>
      </c>
      <c r="R50" s="54">
        <v>-1011749</v>
      </c>
      <c r="S50" s="69">
        <f t="shared" si="7"/>
        <v>-30279.943189964157</v>
      </c>
    </row>
    <row r="51" spans="1:19" x14ac:dyDescent="0.25">
      <c r="A51" s="58">
        <v>18</v>
      </c>
      <c r="B51" s="68">
        <f t="shared" si="0"/>
        <v>30.326086956521738</v>
      </c>
      <c r="C51" s="54">
        <v>-1388548</v>
      </c>
      <c r="D51" s="69">
        <f t="shared" si="1"/>
        <v>-45787.2458781362</v>
      </c>
      <c r="F51" s="58">
        <v>68</v>
      </c>
      <c r="G51" s="68">
        <f t="shared" si="2"/>
        <v>33.41317365269461</v>
      </c>
      <c r="H51" s="54">
        <v>-1292553</v>
      </c>
      <c r="I51" s="69">
        <f t="shared" si="3"/>
        <v>-38683.933870967739</v>
      </c>
      <c r="K51" s="58">
        <v>84</v>
      </c>
      <c r="L51" s="68">
        <f t="shared" si="4"/>
        <v>30.326086956521738</v>
      </c>
      <c r="M51" s="54">
        <v>-948146</v>
      </c>
      <c r="N51" s="69">
        <f t="shared" si="5"/>
        <v>-31265.029390681004</v>
      </c>
      <c r="P51" s="58">
        <v>40</v>
      </c>
      <c r="Q51" s="68">
        <f t="shared" si="6"/>
        <v>33.41317365269461</v>
      </c>
      <c r="R51" s="54">
        <v>-1028317</v>
      </c>
      <c r="S51" s="69">
        <f t="shared" si="7"/>
        <v>-30775.795519713261</v>
      </c>
    </row>
    <row r="52" spans="1:19" x14ac:dyDescent="0.25">
      <c r="A52" s="58">
        <v>91</v>
      </c>
      <c r="B52" s="68">
        <f t="shared" si="0"/>
        <v>30.326086956521738</v>
      </c>
      <c r="C52" s="54">
        <v>-1477388</v>
      </c>
      <c r="D52" s="69">
        <f t="shared" si="1"/>
        <v>-48716.736917562725</v>
      </c>
      <c r="F52" s="58">
        <v>60</v>
      </c>
      <c r="G52" s="68">
        <f t="shared" si="2"/>
        <v>33.41317365269461</v>
      </c>
      <c r="H52" s="54">
        <v>-1363928</v>
      </c>
      <c r="I52" s="69">
        <f t="shared" si="3"/>
        <v>-40820.067383512549</v>
      </c>
      <c r="K52" s="58">
        <v>37</v>
      </c>
      <c r="L52" s="68">
        <f t="shared" si="4"/>
        <v>30.326086956521738</v>
      </c>
      <c r="M52" s="54">
        <v>-1123636</v>
      </c>
      <c r="N52" s="69">
        <f t="shared" si="5"/>
        <v>-37051.796415770608</v>
      </c>
      <c r="P52" s="58">
        <v>45</v>
      </c>
      <c r="Q52" s="68">
        <f t="shared" si="6"/>
        <v>33.41317365269461</v>
      </c>
      <c r="R52" s="54">
        <v>-1108132</v>
      </c>
      <c r="S52" s="69">
        <f t="shared" si="7"/>
        <v>-33164.524014336916</v>
      </c>
    </row>
    <row r="53" spans="1:19" x14ac:dyDescent="0.25">
      <c r="A53" s="58">
        <v>67</v>
      </c>
      <c r="B53" s="68">
        <f t="shared" si="0"/>
        <v>30.326086956521738</v>
      </c>
      <c r="C53" s="54">
        <v>-1558535</v>
      </c>
      <c r="D53" s="69">
        <f t="shared" si="1"/>
        <v>-51392.551971326167</v>
      </c>
      <c r="F53" s="58">
        <v>66</v>
      </c>
      <c r="G53" s="68">
        <f t="shared" si="2"/>
        <v>33.41317365269461</v>
      </c>
      <c r="H53" s="54">
        <v>-1541082</v>
      </c>
      <c r="I53" s="69">
        <f t="shared" si="3"/>
        <v>-46121.988172043013</v>
      </c>
      <c r="K53" s="58">
        <v>77</v>
      </c>
      <c r="L53" s="68">
        <f t="shared" si="4"/>
        <v>30.326086956521738</v>
      </c>
      <c r="M53" s="54">
        <v>-1136517</v>
      </c>
      <c r="N53" s="69">
        <f t="shared" si="5"/>
        <v>-37476.546236559137</v>
      </c>
      <c r="P53" s="58">
        <v>37</v>
      </c>
      <c r="Q53" s="68">
        <f t="shared" si="6"/>
        <v>33.41317365269461</v>
      </c>
      <c r="R53" s="54">
        <v>-1231599</v>
      </c>
      <c r="S53" s="69">
        <f t="shared" si="7"/>
        <v>-36859.683333333334</v>
      </c>
    </row>
    <row r="54" spans="1:19" x14ac:dyDescent="0.25">
      <c r="A54" s="58">
        <v>93</v>
      </c>
      <c r="B54" s="68">
        <f t="shared" si="0"/>
        <v>30.326086956521738</v>
      </c>
      <c r="C54" s="54">
        <v>-1560391</v>
      </c>
      <c r="D54" s="69">
        <f t="shared" si="1"/>
        <v>-51453.753405017924</v>
      </c>
      <c r="F54" s="58">
        <v>13</v>
      </c>
      <c r="G54" s="68">
        <f t="shared" si="2"/>
        <v>33.41317365269461</v>
      </c>
      <c r="H54" s="54">
        <v>-1570807</v>
      </c>
      <c r="I54" s="69">
        <f t="shared" si="3"/>
        <v>-47011.607347670251</v>
      </c>
      <c r="K54" s="58">
        <v>94</v>
      </c>
      <c r="L54" s="68">
        <f t="shared" si="4"/>
        <v>30.326086956521738</v>
      </c>
      <c r="M54" s="54">
        <v>-1189690</v>
      </c>
      <c r="N54" s="69">
        <f t="shared" si="5"/>
        <v>-39229.921146953406</v>
      </c>
      <c r="P54" s="58">
        <v>80</v>
      </c>
      <c r="Q54" s="68">
        <f t="shared" si="6"/>
        <v>33.41317365269461</v>
      </c>
      <c r="R54" s="54">
        <v>-1261366</v>
      </c>
      <c r="S54" s="69">
        <f t="shared" si="7"/>
        <v>-37750.559498207884</v>
      </c>
    </row>
    <row r="55" spans="1:19" x14ac:dyDescent="0.25">
      <c r="A55" s="58"/>
      <c r="B55" s="59"/>
      <c r="C55" s="54"/>
      <c r="D55" s="55"/>
      <c r="F55" s="58"/>
      <c r="G55" s="59"/>
      <c r="H55" s="54"/>
      <c r="I55" s="55"/>
      <c r="K55" s="58">
        <v>32</v>
      </c>
      <c r="L55" s="68">
        <f t="shared" si="4"/>
        <v>30.326086956521738</v>
      </c>
      <c r="M55" s="54">
        <v>-1238968</v>
      </c>
      <c r="N55" s="69">
        <f t="shared" si="5"/>
        <v>-40854.858781362011</v>
      </c>
      <c r="P55" s="58">
        <v>52</v>
      </c>
      <c r="Q55" s="68">
        <f t="shared" si="6"/>
        <v>33.41317365269461</v>
      </c>
      <c r="R55" s="54">
        <v>-1306284</v>
      </c>
      <c r="S55" s="69">
        <f t="shared" si="7"/>
        <v>-39094.879569892473</v>
      </c>
    </row>
    <row r="56" spans="1:19" x14ac:dyDescent="0.25">
      <c r="A56" s="58"/>
      <c r="B56" s="59"/>
      <c r="C56" s="54"/>
      <c r="D56" s="55"/>
      <c r="F56" s="58"/>
      <c r="G56" s="59"/>
      <c r="H56" s="54"/>
      <c r="I56" s="55"/>
      <c r="K56" s="58">
        <v>36</v>
      </c>
      <c r="L56" s="68">
        <f t="shared" si="4"/>
        <v>30.326086956521738</v>
      </c>
      <c r="M56" s="54">
        <v>-1281241</v>
      </c>
      <c r="N56" s="69">
        <f t="shared" si="5"/>
        <v>-42248.807168458785</v>
      </c>
      <c r="P56" s="58">
        <v>38</v>
      </c>
      <c r="Q56" s="68">
        <f t="shared" si="6"/>
        <v>33.41317365269461</v>
      </c>
      <c r="R56" s="54">
        <v>-1308829</v>
      </c>
      <c r="S56" s="69">
        <f t="shared" si="7"/>
        <v>-39171.047132616492</v>
      </c>
    </row>
    <row r="57" spans="1:19" x14ac:dyDescent="0.25">
      <c r="A57" s="58"/>
      <c r="B57" s="59"/>
      <c r="C57" s="54"/>
      <c r="D57" s="55"/>
      <c r="F57" s="58"/>
      <c r="G57" s="59"/>
      <c r="H57" s="54"/>
      <c r="I57" s="55"/>
      <c r="K57" s="58">
        <v>29</v>
      </c>
      <c r="L57" s="68">
        <f t="shared" si="4"/>
        <v>30.326086956521738</v>
      </c>
      <c r="M57" s="54">
        <v>-1329121</v>
      </c>
      <c r="N57" s="69">
        <f t="shared" si="5"/>
        <v>-43827.645878136202</v>
      </c>
      <c r="P57" s="58">
        <v>46</v>
      </c>
      <c r="Q57" s="68">
        <f t="shared" si="6"/>
        <v>33.41317365269461</v>
      </c>
      <c r="R57" s="54">
        <v>-1311822</v>
      </c>
      <c r="S57" s="69">
        <f t="shared" si="7"/>
        <v>-39260.622580645162</v>
      </c>
    </row>
    <row r="58" spans="1:19" x14ac:dyDescent="0.25">
      <c r="A58" s="58"/>
      <c r="B58" s="59"/>
      <c r="C58" s="54"/>
      <c r="D58" s="55"/>
      <c r="F58" s="58"/>
      <c r="G58" s="59"/>
      <c r="H58" s="54"/>
      <c r="I58" s="55"/>
      <c r="K58" s="58">
        <v>80</v>
      </c>
      <c r="L58" s="68">
        <f t="shared" si="4"/>
        <v>30.326086956521738</v>
      </c>
      <c r="M58" s="54">
        <v>-1382584</v>
      </c>
      <c r="N58" s="69">
        <f t="shared" si="5"/>
        <v>-45590.583512544807</v>
      </c>
      <c r="P58" s="58">
        <v>53</v>
      </c>
      <c r="Q58" s="68">
        <f t="shared" si="6"/>
        <v>33.41317365269461</v>
      </c>
      <c r="R58" s="54">
        <v>-1316172</v>
      </c>
      <c r="S58" s="69">
        <f t="shared" si="7"/>
        <v>-39390.810752688172</v>
      </c>
    </row>
    <row r="59" spans="1:19" x14ac:dyDescent="0.25">
      <c r="A59" s="58"/>
      <c r="B59" s="59"/>
      <c r="C59" s="54"/>
      <c r="D59" s="55"/>
      <c r="F59" s="58"/>
      <c r="G59" s="59"/>
      <c r="H59" s="54"/>
      <c r="I59" s="55"/>
      <c r="K59" s="58">
        <v>38</v>
      </c>
      <c r="L59" s="68">
        <f t="shared" si="4"/>
        <v>30.326086956521738</v>
      </c>
      <c r="M59" s="54">
        <v>-1454904</v>
      </c>
      <c r="N59" s="69">
        <f t="shared" si="5"/>
        <v>-47975.329032258065</v>
      </c>
      <c r="P59" s="58">
        <v>87</v>
      </c>
      <c r="Q59" s="68">
        <f t="shared" si="6"/>
        <v>33.41317365269461</v>
      </c>
      <c r="R59" s="54">
        <v>-1394051</v>
      </c>
      <c r="S59" s="69">
        <f t="shared" si="7"/>
        <v>-41721.598028673834</v>
      </c>
    </row>
    <row r="60" spans="1:19" x14ac:dyDescent="0.25">
      <c r="A60" s="58"/>
      <c r="B60" s="59"/>
      <c r="C60" s="54"/>
      <c r="D60" s="55"/>
      <c r="F60" s="58"/>
      <c r="G60" s="59"/>
      <c r="H60" s="54"/>
      <c r="I60" s="55"/>
      <c r="K60" s="58">
        <v>96</v>
      </c>
      <c r="L60" s="68">
        <f t="shared" si="4"/>
        <v>30.326086956521738</v>
      </c>
      <c r="M60" s="54">
        <v>-1495940</v>
      </c>
      <c r="N60" s="69">
        <f t="shared" si="5"/>
        <v>-49328.487455197137</v>
      </c>
      <c r="P60" s="58">
        <v>36</v>
      </c>
      <c r="Q60" s="68">
        <f t="shared" si="6"/>
        <v>33.41317365269461</v>
      </c>
      <c r="R60" s="54">
        <v>-1395762</v>
      </c>
      <c r="S60" s="69">
        <f t="shared" si="7"/>
        <v>-41772.805376344084</v>
      </c>
    </row>
    <row r="61" spans="1:19" x14ac:dyDescent="0.25">
      <c r="A61" s="58"/>
      <c r="B61" s="59"/>
      <c r="C61" s="54"/>
      <c r="D61" s="55"/>
      <c r="F61" s="58"/>
      <c r="G61" s="59"/>
      <c r="H61" s="54"/>
      <c r="I61" s="55"/>
      <c r="K61" s="58">
        <v>76</v>
      </c>
      <c r="L61" s="68">
        <f t="shared" si="4"/>
        <v>30.326086956521738</v>
      </c>
      <c r="M61" s="54">
        <v>-1505954</v>
      </c>
      <c r="N61" s="69">
        <f t="shared" si="5"/>
        <v>-49658.698207885303</v>
      </c>
      <c r="P61" s="58">
        <v>42</v>
      </c>
      <c r="Q61" s="68">
        <f t="shared" si="6"/>
        <v>33.41317365269461</v>
      </c>
      <c r="R61" s="54">
        <v>-1449513</v>
      </c>
      <c r="S61" s="69">
        <f t="shared" si="7"/>
        <v>-43381.48225806452</v>
      </c>
    </row>
    <row r="62" spans="1:19" x14ac:dyDescent="0.25">
      <c r="A62" s="58"/>
      <c r="B62" s="59"/>
      <c r="C62" s="54"/>
      <c r="D62" s="55"/>
      <c r="F62" s="58"/>
      <c r="G62" s="59"/>
      <c r="H62" s="54"/>
      <c r="I62" s="55"/>
      <c r="K62" s="58">
        <v>52</v>
      </c>
      <c r="L62" s="68">
        <f t="shared" si="4"/>
        <v>30.326086956521738</v>
      </c>
      <c r="M62" s="54">
        <v>-1572435</v>
      </c>
      <c r="N62" s="69">
        <f t="shared" si="5"/>
        <v>-51850.903225806454</v>
      </c>
      <c r="P62" s="58">
        <v>28</v>
      </c>
      <c r="Q62" s="68">
        <f t="shared" si="6"/>
        <v>33.41317365269461</v>
      </c>
      <c r="R62" s="54">
        <v>-1475625</v>
      </c>
      <c r="S62" s="69">
        <f t="shared" si="7"/>
        <v>-44162.970430107525</v>
      </c>
    </row>
    <row r="63" spans="1:19" x14ac:dyDescent="0.25">
      <c r="A63" s="58"/>
      <c r="B63" s="59"/>
      <c r="C63" s="54"/>
      <c r="D63" s="55"/>
      <c r="F63" s="58"/>
      <c r="G63" s="59"/>
      <c r="H63" s="54"/>
      <c r="I63" s="55"/>
      <c r="K63" s="58">
        <v>100</v>
      </c>
      <c r="L63" s="68">
        <f t="shared" si="4"/>
        <v>30.326086956521738</v>
      </c>
      <c r="M63" s="54">
        <v>-1597710</v>
      </c>
      <c r="N63" s="69">
        <f t="shared" si="5"/>
        <v>-52684.344086021505</v>
      </c>
      <c r="P63" s="58">
        <v>83</v>
      </c>
      <c r="Q63" s="68">
        <f t="shared" si="6"/>
        <v>33.41317365269461</v>
      </c>
      <c r="R63" s="54">
        <v>-1533913</v>
      </c>
      <c r="S63" s="69">
        <f t="shared" si="7"/>
        <v>-45907.432078853046</v>
      </c>
    </row>
    <row r="64" spans="1:19" x14ac:dyDescent="0.25">
      <c r="A64" s="58"/>
      <c r="B64" s="59"/>
      <c r="C64" s="54"/>
      <c r="D64" s="55"/>
      <c r="F64" s="58"/>
      <c r="G64" s="59"/>
      <c r="H64" s="54"/>
      <c r="I64" s="55"/>
      <c r="K64" s="58">
        <v>51</v>
      </c>
      <c r="L64" s="68">
        <f t="shared" si="4"/>
        <v>30.326086956521738</v>
      </c>
      <c r="M64" s="54">
        <v>-1602000</v>
      </c>
      <c r="N64" s="69">
        <f t="shared" si="5"/>
        <v>-52825.806451612902</v>
      </c>
      <c r="P64" s="58">
        <v>77</v>
      </c>
      <c r="Q64" s="68">
        <f t="shared" si="6"/>
        <v>33.41317365269461</v>
      </c>
      <c r="R64" s="54">
        <v>-1545855</v>
      </c>
      <c r="S64" s="69">
        <f t="shared" si="7"/>
        <v>-46264.836021505376</v>
      </c>
    </row>
    <row r="65" spans="1:19" x14ac:dyDescent="0.25">
      <c r="A65" s="58"/>
      <c r="B65" s="59"/>
      <c r="C65" s="54"/>
      <c r="D65" s="55"/>
      <c r="F65" s="58"/>
      <c r="G65" s="59"/>
      <c r="H65" s="54"/>
      <c r="I65" s="55"/>
      <c r="K65" s="58"/>
      <c r="L65" s="59"/>
      <c r="M65" s="54"/>
      <c r="N65" s="55"/>
      <c r="P65" s="58"/>
      <c r="Q65" s="59"/>
      <c r="R65" s="54"/>
      <c r="S65" s="55"/>
    </row>
    <row r="66" spans="1:19" x14ac:dyDescent="0.25">
      <c r="A66" s="58"/>
      <c r="B66" s="59"/>
      <c r="C66" s="54"/>
      <c r="D66" s="55"/>
      <c r="F66" s="58"/>
      <c r="G66" s="59"/>
      <c r="H66" s="54"/>
      <c r="I66" s="55"/>
      <c r="K66" s="58"/>
      <c r="L66" s="59"/>
      <c r="M66" s="54"/>
      <c r="N66" s="55"/>
      <c r="P66" s="58"/>
      <c r="Q66" s="59"/>
      <c r="R66" s="54"/>
      <c r="S66" s="55"/>
    </row>
    <row r="67" spans="1:19" x14ac:dyDescent="0.25">
      <c r="A67" s="58"/>
      <c r="B67" s="59"/>
      <c r="C67" s="54"/>
      <c r="D67" s="55"/>
      <c r="F67" s="58"/>
      <c r="G67" s="59"/>
      <c r="H67" s="54"/>
      <c r="I67" s="55"/>
      <c r="K67" s="58"/>
      <c r="L67" s="59"/>
      <c r="M67" s="54"/>
      <c r="N67" s="55"/>
      <c r="P67" s="58"/>
      <c r="Q67" s="59"/>
      <c r="R67" s="54"/>
      <c r="S67" s="55"/>
    </row>
    <row r="68" spans="1:19" x14ac:dyDescent="0.25">
      <c r="A68" s="58"/>
      <c r="B68" s="59"/>
      <c r="C68" s="54"/>
      <c r="D68" s="55"/>
      <c r="F68" s="58"/>
      <c r="G68" s="59"/>
      <c r="H68" s="54"/>
      <c r="I68" s="55"/>
      <c r="K68" s="58"/>
      <c r="L68" s="59"/>
      <c r="M68" s="54"/>
      <c r="N68" s="55"/>
      <c r="P68" s="58"/>
      <c r="Q68" s="59"/>
      <c r="R68" s="54"/>
      <c r="S68" s="55"/>
    </row>
    <row r="69" spans="1:19" x14ac:dyDescent="0.25">
      <c r="A69" s="58"/>
      <c r="B69" s="59"/>
      <c r="C69" s="54"/>
      <c r="D69" s="55"/>
      <c r="F69" s="58"/>
      <c r="G69" s="59"/>
      <c r="H69" s="54"/>
      <c r="I69" s="55"/>
      <c r="K69" s="58"/>
      <c r="L69" s="59"/>
      <c r="M69" s="54"/>
      <c r="N69" s="55"/>
      <c r="P69" s="58"/>
      <c r="Q69" s="59"/>
      <c r="R69" s="54"/>
      <c r="S69" s="55"/>
    </row>
    <row r="70" spans="1:19" x14ac:dyDescent="0.25">
      <c r="A70" s="58"/>
      <c r="B70" s="59"/>
      <c r="C70" s="54"/>
      <c r="D70" s="55"/>
      <c r="F70" s="58"/>
      <c r="G70" s="59"/>
      <c r="H70" s="54"/>
      <c r="I70" s="55"/>
      <c r="K70" s="58"/>
      <c r="L70" s="59"/>
      <c r="M70" s="54"/>
      <c r="N70" s="55"/>
      <c r="P70" s="58"/>
      <c r="Q70" s="59"/>
      <c r="R70" s="54"/>
      <c r="S70" s="55"/>
    </row>
    <row r="71" spans="1:19" x14ac:dyDescent="0.25">
      <c r="A71" s="58"/>
      <c r="B71" s="59"/>
      <c r="C71" s="54"/>
      <c r="D71" s="55"/>
      <c r="F71" s="58"/>
      <c r="G71" s="59"/>
      <c r="H71" s="54"/>
      <c r="I71" s="55"/>
      <c r="K71" s="58"/>
      <c r="L71" s="59"/>
      <c r="M71" s="54"/>
      <c r="N71" s="55"/>
      <c r="P71" s="58"/>
      <c r="Q71" s="59"/>
      <c r="R71" s="54"/>
      <c r="S71" s="55"/>
    </row>
    <row r="72" spans="1:19" x14ac:dyDescent="0.25">
      <c r="A72" s="58"/>
      <c r="B72" s="59"/>
      <c r="C72" s="54"/>
      <c r="D72" s="55"/>
      <c r="F72" s="58"/>
      <c r="G72" s="59"/>
      <c r="H72" s="54"/>
      <c r="I72" s="55"/>
      <c r="K72" s="58"/>
      <c r="L72" s="59"/>
      <c r="M72" s="54"/>
      <c r="N72" s="55"/>
      <c r="P72" s="58"/>
      <c r="Q72" s="59"/>
      <c r="R72" s="54"/>
      <c r="S72" s="55"/>
    </row>
    <row r="73" spans="1:19" x14ac:dyDescent="0.25">
      <c r="A73" s="58"/>
      <c r="B73" s="59"/>
      <c r="C73" s="54"/>
      <c r="D73" s="55"/>
      <c r="F73" s="58"/>
      <c r="G73" s="59"/>
      <c r="H73" s="54"/>
      <c r="I73" s="55"/>
      <c r="K73" s="58"/>
      <c r="L73" s="59"/>
      <c r="M73" s="54"/>
      <c r="N73" s="55"/>
      <c r="P73" s="58"/>
      <c r="Q73" s="59"/>
      <c r="R73" s="54"/>
      <c r="S73" s="55"/>
    </row>
    <row r="74" spans="1:19" x14ac:dyDescent="0.25">
      <c r="A74" s="58"/>
      <c r="B74" s="59"/>
      <c r="C74" s="54"/>
      <c r="D74" s="55"/>
      <c r="F74" s="58"/>
      <c r="G74" s="59"/>
      <c r="H74" s="54"/>
      <c r="I74" s="55"/>
      <c r="K74" s="58"/>
      <c r="L74" s="59"/>
      <c r="M74" s="54"/>
      <c r="N74" s="55"/>
      <c r="P74" s="58"/>
      <c r="Q74" s="59"/>
      <c r="R74" s="54"/>
      <c r="S74" s="55"/>
    </row>
    <row r="75" spans="1:19" x14ac:dyDescent="0.25">
      <c r="A75" s="58"/>
      <c r="B75" s="59"/>
      <c r="C75" s="54"/>
      <c r="D75" s="55"/>
      <c r="F75" s="58"/>
      <c r="G75" s="59"/>
      <c r="H75" s="54"/>
      <c r="I75" s="55"/>
      <c r="K75" s="58"/>
      <c r="L75" s="59"/>
      <c r="M75" s="54"/>
      <c r="N75" s="55"/>
      <c r="P75" s="58"/>
      <c r="Q75" s="59"/>
      <c r="R75" s="54"/>
      <c r="S75" s="55"/>
    </row>
    <row r="76" spans="1:19" x14ac:dyDescent="0.25">
      <c r="A76" s="58"/>
      <c r="B76" s="59"/>
      <c r="C76" s="54"/>
      <c r="D76" s="55"/>
      <c r="F76" s="58"/>
      <c r="G76" s="59"/>
      <c r="H76" s="54"/>
      <c r="I76" s="55"/>
      <c r="K76" s="58"/>
      <c r="L76" s="59"/>
      <c r="M76" s="54"/>
      <c r="N76" s="55"/>
      <c r="P76" s="58"/>
      <c r="Q76" s="59"/>
      <c r="R76" s="54"/>
      <c r="S76" s="55"/>
    </row>
    <row r="77" spans="1:19" x14ac:dyDescent="0.25">
      <c r="A77" s="58"/>
      <c r="B77" s="59"/>
      <c r="C77" s="54"/>
      <c r="D77" s="55"/>
      <c r="F77" s="58"/>
      <c r="G77" s="59"/>
      <c r="H77" s="54"/>
      <c r="I77" s="55"/>
      <c r="K77" s="58"/>
      <c r="L77" s="59"/>
      <c r="M77" s="54"/>
      <c r="N77" s="55"/>
      <c r="P77" s="58"/>
      <c r="Q77" s="59"/>
      <c r="R77" s="54"/>
      <c r="S77" s="55"/>
    </row>
    <row r="78" spans="1:19" x14ac:dyDescent="0.25">
      <c r="A78" s="58"/>
      <c r="B78" s="59"/>
      <c r="C78" s="54"/>
      <c r="D78" s="55"/>
      <c r="F78" s="58"/>
      <c r="G78" s="59"/>
      <c r="H78" s="54"/>
      <c r="I78" s="55"/>
      <c r="K78" s="58"/>
      <c r="L78" s="59"/>
      <c r="M78" s="54"/>
      <c r="N78" s="55"/>
      <c r="P78" s="58"/>
      <c r="Q78" s="59"/>
      <c r="R78" s="54"/>
      <c r="S78" s="55"/>
    </row>
    <row r="79" spans="1:19" x14ac:dyDescent="0.25">
      <c r="A79" s="58"/>
      <c r="B79" s="59"/>
      <c r="C79" s="54"/>
      <c r="D79" s="55"/>
      <c r="F79" s="58"/>
      <c r="G79" s="59"/>
      <c r="H79" s="54"/>
      <c r="I79" s="55"/>
      <c r="K79" s="58"/>
      <c r="L79" s="59"/>
      <c r="M79" s="54"/>
      <c r="N79" s="55"/>
      <c r="P79" s="58"/>
      <c r="Q79" s="59"/>
      <c r="R79" s="54"/>
      <c r="S79" s="55"/>
    </row>
    <row r="80" spans="1:19" x14ac:dyDescent="0.25">
      <c r="A80" s="58"/>
      <c r="B80" s="59"/>
      <c r="C80" s="54"/>
      <c r="D80" s="55"/>
      <c r="F80" s="58"/>
      <c r="G80" s="59"/>
      <c r="H80" s="54"/>
      <c r="I80" s="55"/>
      <c r="K80" s="58"/>
      <c r="L80" s="59"/>
      <c r="M80" s="54"/>
      <c r="N80" s="55"/>
      <c r="P80" s="58"/>
      <c r="Q80" s="59"/>
      <c r="R80" s="54"/>
      <c r="S80" s="55"/>
    </row>
    <row r="81" spans="1:19" x14ac:dyDescent="0.25">
      <c r="A81" s="58"/>
      <c r="B81" s="59"/>
      <c r="C81" s="54"/>
      <c r="D81" s="55"/>
      <c r="F81" s="58"/>
      <c r="G81" s="59"/>
      <c r="H81" s="54"/>
      <c r="I81" s="55"/>
      <c r="K81" s="58"/>
      <c r="L81" s="59"/>
      <c r="M81" s="54"/>
      <c r="N81" s="55"/>
      <c r="P81" s="58"/>
      <c r="Q81" s="59"/>
      <c r="R81" s="54"/>
      <c r="S81" s="55"/>
    </row>
    <row r="82" spans="1:19" x14ac:dyDescent="0.25">
      <c r="A82" s="58"/>
      <c r="B82" s="59"/>
      <c r="C82" s="54"/>
      <c r="D82" s="55"/>
      <c r="F82" s="58"/>
      <c r="G82" s="59"/>
      <c r="H82" s="54"/>
      <c r="I82" s="55"/>
      <c r="K82" s="58"/>
      <c r="L82" s="59"/>
      <c r="M82" s="54"/>
      <c r="N82" s="55"/>
      <c r="P82" s="58"/>
      <c r="Q82" s="59"/>
      <c r="R82" s="54"/>
      <c r="S82" s="55"/>
    </row>
    <row r="83" spans="1:19" x14ac:dyDescent="0.25">
      <c r="A83" s="58"/>
      <c r="B83" s="59"/>
      <c r="C83" s="54"/>
      <c r="D83" s="55"/>
      <c r="F83" s="58"/>
      <c r="G83" s="59"/>
      <c r="H83" s="54"/>
      <c r="I83" s="55"/>
      <c r="K83" s="58"/>
      <c r="L83" s="59"/>
      <c r="M83" s="54"/>
      <c r="N83" s="55"/>
      <c r="P83" s="58"/>
      <c r="Q83" s="59"/>
      <c r="R83" s="54"/>
      <c r="S83" s="55"/>
    </row>
    <row r="84" spans="1:19" x14ac:dyDescent="0.25">
      <c r="A84" s="58"/>
      <c r="B84" s="59"/>
      <c r="C84" s="54"/>
      <c r="D84" s="55"/>
      <c r="F84" s="58"/>
      <c r="G84" s="59"/>
      <c r="H84" s="54"/>
      <c r="I84" s="55"/>
      <c r="K84" s="58"/>
      <c r="L84" s="59"/>
      <c r="M84" s="54"/>
      <c r="N84" s="55"/>
      <c r="P84" s="58"/>
      <c r="Q84" s="59"/>
      <c r="R84" s="54"/>
      <c r="S84" s="55"/>
    </row>
    <row r="85" spans="1:19" x14ac:dyDescent="0.25">
      <c r="A85" s="58"/>
      <c r="B85" s="59"/>
      <c r="C85" s="54"/>
      <c r="D85" s="55"/>
      <c r="F85" s="58"/>
      <c r="G85" s="59"/>
      <c r="H85" s="54"/>
      <c r="I85" s="55"/>
      <c r="K85" s="58"/>
      <c r="L85" s="59"/>
      <c r="M85" s="54"/>
      <c r="N85" s="55"/>
      <c r="P85" s="58"/>
      <c r="Q85" s="59"/>
      <c r="R85" s="54"/>
      <c r="S85" s="55"/>
    </row>
    <row r="86" spans="1:19" x14ac:dyDescent="0.25">
      <c r="A86" s="58"/>
      <c r="B86" s="59"/>
      <c r="C86" s="54"/>
      <c r="D86" s="55"/>
      <c r="F86" s="58"/>
      <c r="G86" s="59"/>
      <c r="H86" s="54"/>
      <c r="I86" s="55"/>
      <c r="K86" s="58"/>
      <c r="L86" s="59"/>
      <c r="M86" s="54"/>
      <c r="N86" s="55"/>
      <c r="P86" s="58"/>
      <c r="Q86" s="59"/>
      <c r="R86" s="54"/>
      <c r="S86" s="55"/>
    </row>
    <row r="87" spans="1:19" x14ac:dyDescent="0.25">
      <c r="A87" s="58"/>
      <c r="B87" s="59"/>
      <c r="C87" s="54"/>
      <c r="D87" s="55"/>
      <c r="F87" s="58"/>
      <c r="G87" s="59"/>
      <c r="H87" s="54"/>
      <c r="I87" s="55"/>
      <c r="K87" s="58"/>
      <c r="L87" s="59"/>
      <c r="M87" s="54"/>
      <c r="N87" s="55"/>
      <c r="P87" s="58"/>
      <c r="Q87" s="59"/>
      <c r="R87" s="54"/>
      <c r="S87" s="55"/>
    </row>
    <row r="88" spans="1:19" x14ac:dyDescent="0.25">
      <c r="A88" s="58"/>
      <c r="B88" s="59"/>
      <c r="C88" s="54"/>
      <c r="D88" s="55"/>
      <c r="F88" s="58"/>
      <c r="G88" s="59"/>
      <c r="H88" s="54"/>
      <c r="I88" s="55"/>
      <c r="K88" s="58"/>
      <c r="L88" s="59"/>
      <c r="M88" s="54"/>
      <c r="N88" s="55"/>
      <c r="P88" s="58"/>
      <c r="Q88" s="59"/>
      <c r="R88" s="54"/>
      <c r="S88" s="55"/>
    </row>
    <row r="89" spans="1:19" x14ac:dyDescent="0.25">
      <c r="A89" s="58"/>
      <c r="B89" s="59"/>
      <c r="C89" s="54"/>
      <c r="D89" s="55"/>
      <c r="F89" s="58"/>
      <c r="G89" s="59"/>
      <c r="H89" s="54"/>
      <c r="I89" s="55"/>
      <c r="K89" s="58"/>
      <c r="L89" s="59"/>
      <c r="M89" s="54"/>
      <c r="N89" s="55"/>
      <c r="P89" s="58"/>
      <c r="Q89" s="59"/>
      <c r="R89" s="54"/>
      <c r="S89" s="55"/>
    </row>
    <row r="90" spans="1:19" x14ac:dyDescent="0.25">
      <c r="A90" s="58"/>
      <c r="B90" s="59"/>
      <c r="C90" s="54"/>
      <c r="D90" s="55"/>
      <c r="F90" s="58"/>
      <c r="G90" s="59"/>
      <c r="H90" s="54"/>
      <c r="I90" s="55"/>
      <c r="K90" s="58"/>
      <c r="L90" s="59"/>
      <c r="M90" s="54"/>
      <c r="N90" s="55"/>
      <c r="P90" s="58"/>
      <c r="Q90" s="59"/>
      <c r="R90" s="54"/>
      <c r="S90" s="55"/>
    </row>
    <row r="91" spans="1:19" x14ac:dyDescent="0.25">
      <c r="A91" s="58"/>
      <c r="B91" s="59"/>
      <c r="C91" s="54"/>
      <c r="D91" s="55"/>
      <c r="F91" s="58"/>
      <c r="G91" s="59"/>
      <c r="H91" s="54"/>
      <c r="I91" s="55"/>
      <c r="K91" s="58"/>
      <c r="L91" s="59"/>
      <c r="M91" s="54"/>
      <c r="N91" s="55"/>
      <c r="P91" s="58"/>
      <c r="Q91" s="59"/>
      <c r="R91" s="54"/>
      <c r="S91" s="55"/>
    </row>
    <row r="92" spans="1:19" x14ac:dyDescent="0.25">
      <c r="A92" s="58"/>
      <c r="B92" s="59"/>
      <c r="C92" s="54"/>
      <c r="D92" s="55"/>
      <c r="F92" s="58"/>
      <c r="G92" s="59"/>
      <c r="H92" s="54"/>
      <c r="I92" s="55"/>
      <c r="K92" s="58"/>
      <c r="L92" s="59"/>
      <c r="M92" s="54"/>
      <c r="N92" s="55"/>
      <c r="P92" s="58"/>
      <c r="Q92" s="59"/>
      <c r="R92" s="54"/>
      <c r="S92" s="55"/>
    </row>
    <row r="93" spans="1:19" x14ac:dyDescent="0.25">
      <c r="A93" s="58"/>
      <c r="B93" s="59"/>
      <c r="C93" s="54"/>
      <c r="D93" s="55"/>
      <c r="F93" s="58"/>
      <c r="G93" s="59"/>
      <c r="H93" s="54"/>
      <c r="I93" s="55"/>
      <c r="K93" s="58"/>
      <c r="L93" s="59"/>
      <c r="M93" s="54"/>
      <c r="N93" s="55"/>
      <c r="P93" s="58"/>
      <c r="Q93" s="59"/>
      <c r="R93" s="54"/>
      <c r="S93" s="55"/>
    </row>
    <row r="94" spans="1:19" x14ac:dyDescent="0.25">
      <c r="A94" s="58"/>
      <c r="B94" s="59"/>
      <c r="C94" s="54"/>
      <c r="D94" s="55"/>
      <c r="F94" s="58"/>
      <c r="G94" s="59"/>
      <c r="H94" s="54"/>
      <c r="I94" s="55"/>
      <c r="K94" s="58"/>
      <c r="L94" s="59"/>
      <c r="M94" s="54"/>
      <c r="N94" s="55"/>
      <c r="P94" s="58"/>
      <c r="Q94" s="59"/>
      <c r="R94" s="54"/>
      <c r="S94" s="55"/>
    </row>
    <row r="95" spans="1:19" x14ac:dyDescent="0.25">
      <c r="A95" s="58"/>
      <c r="B95" s="59"/>
      <c r="C95" s="54"/>
      <c r="D95" s="55"/>
      <c r="F95" s="58"/>
      <c r="G95" s="59"/>
      <c r="H95" s="54"/>
      <c r="I95" s="55"/>
      <c r="K95" s="58"/>
      <c r="L95" s="59"/>
      <c r="M95" s="54"/>
      <c r="N95" s="55"/>
      <c r="P95" s="58"/>
      <c r="Q95" s="59"/>
      <c r="R95" s="54"/>
      <c r="S95" s="55"/>
    </row>
    <row r="96" spans="1:19" x14ac:dyDescent="0.25">
      <c r="A96" s="58"/>
      <c r="B96" s="59"/>
      <c r="C96" s="54"/>
      <c r="D96" s="55"/>
      <c r="F96" s="58"/>
      <c r="G96" s="59"/>
      <c r="H96" s="54"/>
      <c r="I96" s="55"/>
      <c r="K96" s="58"/>
      <c r="L96" s="59"/>
      <c r="M96" s="54"/>
      <c r="N96" s="55"/>
      <c r="P96" s="58"/>
      <c r="Q96" s="59"/>
      <c r="R96" s="54"/>
      <c r="S96" s="55"/>
    </row>
    <row r="97" spans="1:19" x14ac:dyDescent="0.25">
      <c r="A97" s="58"/>
      <c r="B97" s="59"/>
      <c r="C97" s="54"/>
      <c r="D97" s="55"/>
      <c r="F97" s="58"/>
      <c r="G97" s="59"/>
      <c r="H97" s="54"/>
      <c r="I97" s="55"/>
      <c r="K97" s="58"/>
      <c r="L97" s="59"/>
      <c r="M97" s="54"/>
      <c r="N97" s="55"/>
      <c r="P97" s="58"/>
      <c r="Q97" s="59"/>
      <c r="R97" s="54"/>
      <c r="S97" s="55"/>
    </row>
    <row r="98" spans="1:19" x14ac:dyDescent="0.25">
      <c r="A98" s="58"/>
      <c r="B98" s="59"/>
      <c r="C98" s="54"/>
      <c r="D98" s="55"/>
      <c r="F98" s="58"/>
      <c r="G98" s="59"/>
      <c r="H98" s="54"/>
      <c r="I98" s="55"/>
      <c r="K98" s="58"/>
      <c r="L98" s="59"/>
      <c r="M98" s="54"/>
      <c r="N98" s="55"/>
      <c r="P98" s="58"/>
      <c r="Q98" s="59"/>
      <c r="R98" s="54"/>
      <c r="S98" s="55"/>
    </row>
    <row r="99" spans="1:19" x14ac:dyDescent="0.25">
      <c r="A99" s="58"/>
      <c r="B99" s="59"/>
      <c r="C99" s="54"/>
      <c r="D99" s="55"/>
      <c r="F99" s="58"/>
      <c r="G99" s="59"/>
      <c r="H99" s="54"/>
      <c r="I99" s="55"/>
      <c r="K99" s="58"/>
      <c r="L99" s="59"/>
      <c r="M99" s="54"/>
      <c r="N99" s="55"/>
      <c r="P99" s="58"/>
      <c r="Q99" s="59"/>
      <c r="R99" s="54"/>
      <c r="S99" s="55"/>
    </row>
    <row r="100" spans="1:19" x14ac:dyDescent="0.25">
      <c r="A100" s="58"/>
      <c r="B100" s="59"/>
      <c r="C100" s="54"/>
      <c r="D100" s="55"/>
      <c r="F100" s="58"/>
      <c r="G100" s="59"/>
      <c r="H100" s="54"/>
      <c r="I100" s="55"/>
      <c r="K100" s="58"/>
      <c r="L100" s="59"/>
      <c r="M100" s="54"/>
      <c r="N100" s="55"/>
      <c r="P100" s="58"/>
      <c r="Q100" s="59"/>
      <c r="R100" s="54"/>
      <c r="S100" s="55"/>
    </row>
    <row r="101" spans="1:19" x14ac:dyDescent="0.25">
      <c r="A101" s="58"/>
      <c r="B101" s="59"/>
      <c r="C101" s="54"/>
      <c r="D101" s="55"/>
      <c r="F101" s="58"/>
      <c r="G101" s="59"/>
      <c r="H101" s="54"/>
      <c r="I101" s="55"/>
      <c r="K101" s="58"/>
      <c r="L101" s="59"/>
      <c r="M101" s="54"/>
      <c r="N101" s="55"/>
      <c r="P101" s="58"/>
      <c r="Q101" s="59"/>
      <c r="R101" s="54"/>
      <c r="S101" s="55"/>
    </row>
    <row r="102" spans="1:19" x14ac:dyDescent="0.25">
      <c r="A102" s="58"/>
      <c r="B102" s="59"/>
      <c r="C102" s="54"/>
      <c r="D102" s="55"/>
      <c r="F102" s="58"/>
      <c r="G102" s="59"/>
      <c r="H102" s="54"/>
      <c r="I102" s="55"/>
      <c r="K102" s="58"/>
      <c r="L102" s="59"/>
      <c r="M102" s="54"/>
      <c r="N102" s="55"/>
      <c r="P102" s="58"/>
      <c r="Q102" s="59"/>
      <c r="R102" s="54"/>
      <c r="S102" s="55"/>
    </row>
    <row r="103" spans="1:19" x14ac:dyDescent="0.25">
      <c r="A103" s="58"/>
      <c r="B103" s="59"/>
      <c r="C103" s="54"/>
      <c r="D103" s="55"/>
      <c r="F103" s="58"/>
      <c r="G103" s="59"/>
      <c r="H103" s="54"/>
      <c r="I103" s="55"/>
      <c r="K103" s="58"/>
      <c r="L103" s="59"/>
      <c r="M103" s="54"/>
      <c r="N103" s="55"/>
      <c r="P103" s="58"/>
      <c r="Q103" s="59"/>
      <c r="R103" s="54"/>
      <c r="S103" s="55"/>
    </row>
    <row r="104" spans="1:19" x14ac:dyDescent="0.25">
      <c r="A104" s="58"/>
      <c r="B104" s="59"/>
      <c r="C104" s="54"/>
      <c r="D104" s="55"/>
      <c r="F104" s="58"/>
      <c r="G104" s="59"/>
      <c r="H104" s="54"/>
      <c r="I104" s="55"/>
      <c r="K104" s="58"/>
      <c r="L104" s="59"/>
      <c r="M104" s="54"/>
      <c r="N104" s="55"/>
      <c r="P104" s="58"/>
      <c r="Q104" s="59"/>
      <c r="R104" s="54"/>
      <c r="S104" s="55"/>
    </row>
    <row r="105" spans="1:19" x14ac:dyDescent="0.25">
      <c r="A105" s="58"/>
      <c r="B105" s="59"/>
      <c r="C105" s="54"/>
      <c r="D105" s="55"/>
      <c r="F105" s="58"/>
      <c r="G105" s="59"/>
      <c r="H105" s="54"/>
      <c r="I105" s="55"/>
      <c r="K105" s="58"/>
      <c r="L105" s="59"/>
      <c r="M105" s="54"/>
      <c r="N105" s="55"/>
      <c r="P105" s="58"/>
      <c r="Q105" s="59"/>
      <c r="R105" s="54"/>
      <c r="S105" s="55"/>
    </row>
    <row r="106" spans="1:19" x14ac:dyDescent="0.25">
      <c r="A106" s="58"/>
      <c r="B106" s="59"/>
      <c r="C106" s="54"/>
      <c r="D106" s="55"/>
      <c r="F106" s="58"/>
      <c r="G106" s="59"/>
      <c r="H106" s="54"/>
      <c r="I106" s="55"/>
      <c r="K106" s="58"/>
      <c r="L106" s="59"/>
      <c r="M106" s="54"/>
      <c r="N106" s="55"/>
      <c r="P106" s="58"/>
      <c r="Q106" s="59"/>
      <c r="R106" s="54"/>
      <c r="S106" s="55"/>
    </row>
    <row r="107" spans="1:19" x14ac:dyDescent="0.25">
      <c r="A107" s="58"/>
      <c r="B107" s="59"/>
      <c r="C107" s="54"/>
      <c r="D107" s="55"/>
      <c r="F107" s="58"/>
      <c r="G107" s="59"/>
      <c r="H107" s="54"/>
      <c r="I107" s="55"/>
      <c r="K107" s="58"/>
      <c r="L107" s="59"/>
      <c r="M107" s="54"/>
      <c r="N107" s="55"/>
      <c r="P107" s="58"/>
      <c r="Q107" s="59"/>
      <c r="R107" s="54"/>
      <c r="S107" s="55"/>
    </row>
    <row r="108" spans="1:19" x14ac:dyDescent="0.25">
      <c r="A108" s="58"/>
      <c r="B108" s="59"/>
      <c r="C108" s="54"/>
      <c r="D108" s="55"/>
      <c r="F108" s="58"/>
      <c r="G108" s="59"/>
      <c r="H108" s="54"/>
      <c r="I108" s="55"/>
      <c r="K108" s="58"/>
      <c r="L108" s="59"/>
      <c r="M108" s="54"/>
      <c r="N108" s="55"/>
      <c r="P108" s="58"/>
      <c r="Q108" s="59"/>
      <c r="R108" s="54"/>
      <c r="S108" s="55"/>
    </row>
    <row r="109" spans="1:19" x14ac:dyDescent="0.25">
      <c r="A109" s="58"/>
      <c r="B109" s="59"/>
      <c r="C109" s="54"/>
      <c r="D109" s="55"/>
      <c r="F109" s="58"/>
      <c r="G109" s="59"/>
      <c r="H109" s="54"/>
      <c r="I109" s="55"/>
      <c r="K109" s="58"/>
      <c r="L109" s="59"/>
      <c r="M109" s="54"/>
      <c r="N109" s="55"/>
      <c r="P109" s="58"/>
      <c r="Q109" s="59"/>
      <c r="R109" s="54"/>
      <c r="S109" s="55"/>
    </row>
    <row r="110" spans="1:19" x14ac:dyDescent="0.25">
      <c r="A110" s="58"/>
      <c r="B110" s="59"/>
      <c r="C110" s="54"/>
      <c r="D110" s="55"/>
      <c r="F110" s="58"/>
      <c r="G110" s="59"/>
      <c r="H110" s="54"/>
      <c r="I110" s="55"/>
      <c r="K110" s="58"/>
      <c r="L110" s="59"/>
      <c r="M110" s="54"/>
      <c r="N110" s="55"/>
      <c r="P110" s="58"/>
      <c r="Q110" s="59"/>
      <c r="R110" s="54"/>
      <c r="S110" s="55"/>
    </row>
    <row r="111" spans="1:19" x14ac:dyDescent="0.25">
      <c r="A111" s="58"/>
      <c r="B111" s="59"/>
      <c r="C111" s="54"/>
      <c r="D111" s="55"/>
      <c r="F111" s="58"/>
      <c r="G111" s="59"/>
      <c r="H111" s="54"/>
      <c r="I111" s="55"/>
      <c r="K111" s="58"/>
      <c r="L111" s="59"/>
      <c r="M111" s="54"/>
      <c r="N111" s="55"/>
      <c r="P111" s="58"/>
      <c r="Q111" s="59"/>
      <c r="R111" s="54"/>
      <c r="S111" s="55"/>
    </row>
    <row r="112" spans="1:19" x14ac:dyDescent="0.25">
      <c r="A112" s="58"/>
      <c r="B112" s="59"/>
      <c r="C112" s="54"/>
      <c r="D112" s="55"/>
      <c r="F112" s="58"/>
      <c r="G112" s="59"/>
      <c r="H112" s="54"/>
      <c r="I112" s="55"/>
      <c r="K112" s="58"/>
      <c r="L112" s="59"/>
      <c r="M112" s="54"/>
      <c r="N112" s="55"/>
      <c r="P112" s="58"/>
      <c r="Q112" s="59"/>
      <c r="R112" s="54"/>
      <c r="S112" s="55"/>
    </row>
    <row r="113" spans="1:19" x14ac:dyDescent="0.25">
      <c r="A113" s="58"/>
      <c r="B113" s="59"/>
      <c r="C113" s="54"/>
      <c r="D113" s="55"/>
      <c r="F113" s="58"/>
      <c r="G113" s="59"/>
      <c r="H113" s="54"/>
      <c r="I113" s="55"/>
      <c r="K113" s="58"/>
      <c r="L113" s="59"/>
      <c r="M113" s="54"/>
      <c r="N113" s="55"/>
      <c r="P113" s="58"/>
      <c r="Q113" s="59"/>
      <c r="R113" s="54"/>
      <c r="S113" s="55"/>
    </row>
    <row r="114" spans="1:19" x14ac:dyDescent="0.25">
      <c r="A114" s="58"/>
      <c r="B114" s="59"/>
      <c r="C114" s="54"/>
      <c r="D114" s="55"/>
      <c r="F114" s="58"/>
      <c r="G114" s="59"/>
      <c r="H114" s="54"/>
      <c r="I114" s="55"/>
      <c r="K114" s="58"/>
      <c r="L114" s="59"/>
      <c r="M114" s="54"/>
      <c r="N114" s="55"/>
      <c r="P114" s="58"/>
      <c r="Q114" s="59"/>
      <c r="R114" s="54"/>
      <c r="S114" s="55"/>
    </row>
    <row r="115" spans="1:19" x14ac:dyDescent="0.25">
      <c r="A115" s="58"/>
      <c r="B115" s="59"/>
      <c r="C115" s="54"/>
      <c r="D115" s="55"/>
      <c r="F115" s="58"/>
      <c r="G115" s="59"/>
      <c r="H115" s="54"/>
      <c r="I115" s="55"/>
      <c r="K115" s="58"/>
      <c r="L115" s="59"/>
      <c r="M115" s="54"/>
      <c r="N115" s="55"/>
      <c r="P115" s="58"/>
      <c r="Q115" s="59"/>
      <c r="R115" s="54"/>
      <c r="S115" s="55"/>
    </row>
    <row r="116" spans="1:19" x14ac:dyDescent="0.25">
      <c r="A116" s="58"/>
      <c r="B116" s="59"/>
      <c r="C116" s="54"/>
      <c r="D116" s="55"/>
      <c r="F116" s="58"/>
      <c r="G116" s="59"/>
      <c r="H116" s="54"/>
      <c r="I116" s="55"/>
      <c r="K116" s="58"/>
      <c r="L116" s="59"/>
      <c r="M116" s="54"/>
      <c r="N116" s="55"/>
      <c r="P116" s="58"/>
      <c r="Q116" s="59"/>
      <c r="R116" s="54"/>
      <c r="S116" s="55"/>
    </row>
    <row r="117" spans="1:19" x14ac:dyDescent="0.25">
      <c r="A117" s="58"/>
      <c r="B117" s="59"/>
      <c r="C117" s="54"/>
      <c r="D117" s="55"/>
      <c r="F117" s="58"/>
      <c r="G117" s="59"/>
      <c r="H117" s="54"/>
      <c r="I117" s="55"/>
      <c r="K117" s="58"/>
      <c r="L117" s="59"/>
      <c r="M117" s="54"/>
      <c r="N117" s="55"/>
      <c r="P117" s="58"/>
      <c r="Q117" s="59"/>
      <c r="R117" s="54"/>
      <c r="S117" s="55"/>
    </row>
    <row r="118" spans="1:19" ht="15.75" thickBot="1" x14ac:dyDescent="0.3">
      <c r="A118" s="60"/>
      <c r="B118" s="61"/>
      <c r="C118" s="56"/>
      <c r="D118" s="57"/>
      <c r="F118" s="60"/>
      <c r="G118" s="61"/>
      <c r="H118" s="56"/>
      <c r="I118" s="57"/>
      <c r="K118" s="58"/>
      <c r="L118" s="59"/>
      <c r="M118" s="54"/>
      <c r="N118" s="55"/>
      <c r="P118" s="58"/>
      <c r="Q118" s="59"/>
      <c r="R118" s="54"/>
      <c r="S118" s="55"/>
    </row>
    <row r="119" spans="1:19" x14ac:dyDescent="0.25">
      <c r="K119" s="58"/>
      <c r="L119" s="59"/>
      <c r="M119" s="54"/>
      <c r="N119" s="55"/>
      <c r="P119" s="58"/>
      <c r="Q119" s="59"/>
      <c r="R119" s="54"/>
      <c r="S119" s="55"/>
    </row>
    <row r="120" spans="1:19" x14ac:dyDescent="0.25">
      <c r="K120" s="58"/>
      <c r="L120" s="59"/>
      <c r="M120" s="54"/>
      <c r="N120" s="55"/>
      <c r="P120" s="58"/>
      <c r="Q120" s="59"/>
      <c r="R120" s="54"/>
      <c r="S120" s="55"/>
    </row>
    <row r="121" spans="1:19" x14ac:dyDescent="0.25">
      <c r="K121" s="58"/>
      <c r="L121" s="59"/>
      <c r="M121" s="54"/>
      <c r="N121" s="55"/>
      <c r="P121" s="58"/>
      <c r="Q121" s="59"/>
      <c r="R121" s="54"/>
      <c r="S121" s="55"/>
    </row>
    <row r="122" spans="1:19" x14ac:dyDescent="0.25">
      <c r="K122" s="58"/>
      <c r="L122" s="59"/>
      <c r="M122" s="54"/>
      <c r="N122" s="55"/>
      <c r="P122" s="58"/>
      <c r="Q122" s="59"/>
      <c r="R122" s="54"/>
      <c r="S122" s="55"/>
    </row>
    <row r="123" spans="1:19" x14ac:dyDescent="0.25">
      <c r="K123" s="58"/>
      <c r="L123" s="59"/>
      <c r="M123" s="54"/>
      <c r="N123" s="55"/>
      <c r="P123" s="58"/>
      <c r="Q123" s="59"/>
      <c r="R123" s="54"/>
      <c r="S123" s="55"/>
    </row>
    <row r="124" spans="1:19" x14ac:dyDescent="0.25">
      <c r="K124" s="58"/>
      <c r="L124" s="59"/>
      <c r="M124" s="54"/>
      <c r="N124" s="55"/>
      <c r="P124" s="58"/>
      <c r="Q124" s="59"/>
      <c r="R124" s="54"/>
      <c r="S124" s="55"/>
    </row>
    <row r="125" spans="1:19" x14ac:dyDescent="0.25">
      <c r="K125" s="58"/>
      <c r="L125" s="59"/>
      <c r="M125" s="54"/>
      <c r="N125" s="55"/>
      <c r="P125" s="58"/>
      <c r="Q125" s="59"/>
      <c r="R125" s="54"/>
      <c r="S125" s="55"/>
    </row>
    <row r="126" spans="1:19" x14ac:dyDescent="0.25">
      <c r="K126" s="58"/>
      <c r="L126" s="59"/>
      <c r="M126" s="54"/>
      <c r="N126" s="55"/>
      <c r="P126" s="58"/>
      <c r="Q126" s="59"/>
      <c r="R126" s="54"/>
      <c r="S126" s="55"/>
    </row>
    <row r="127" spans="1:19" x14ac:dyDescent="0.25">
      <c r="K127" s="58"/>
      <c r="L127" s="59"/>
      <c r="M127" s="54"/>
      <c r="N127" s="55"/>
      <c r="P127" s="58"/>
      <c r="Q127" s="59"/>
      <c r="R127" s="54"/>
      <c r="S127" s="55"/>
    </row>
    <row r="128" spans="1:19" x14ac:dyDescent="0.25">
      <c r="K128" s="58"/>
      <c r="L128" s="59"/>
      <c r="M128" s="54"/>
      <c r="N128" s="55"/>
      <c r="P128" s="58"/>
      <c r="Q128" s="59"/>
      <c r="R128" s="54"/>
      <c r="S128" s="55"/>
    </row>
    <row r="129" spans="11:19" x14ac:dyDescent="0.25">
      <c r="K129" s="58"/>
      <c r="L129" s="59"/>
      <c r="M129" s="54"/>
      <c r="N129" s="55"/>
      <c r="P129" s="58"/>
      <c r="Q129" s="59"/>
      <c r="R129" s="54"/>
      <c r="S129" s="55"/>
    </row>
    <row r="130" spans="11:19" x14ac:dyDescent="0.25">
      <c r="K130" s="58"/>
      <c r="L130" s="59"/>
      <c r="M130" s="54"/>
      <c r="N130" s="55"/>
      <c r="P130" s="58"/>
      <c r="Q130" s="59"/>
      <c r="R130" s="54"/>
      <c r="S130" s="55"/>
    </row>
    <row r="131" spans="11:19" x14ac:dyDescent="0.25">
      <c r="K131" s="58"/>
      <c r="L131" s="59"/>
      <c r="M131" s="54"/>
      <c r="N131" s="55"/>
      <c r="P131" s="58"/>
      <c r="Q131" s="59"/>
      <c r="R131" s="54"/>
      <c r="S131" s="55"/>
    </row>
    <row r="132" spans="11:19" x14ac:dyDescent="0.25">
      <c r="K132" s="58"/>
      <c r="L132" s="59"/>
      <c r="M132" s="54"/>
      <c r="N132" s="55"/>
      <c r="P132" s="58"/>
      <c r="Q132" s="59"/>
      <c r="R132" s="54"/>
      <c r="S132" s="55"/>
    </row>
    <row r="133" spans="11:19" x14ac:dyDescent="0.25">
      <c r="K133" s="58"/>
      <c r="L133" s="59"/>
      <c r="M133" s="54"/>
      <c r="N133" s="55"/>
      <c r="P133" s="58"/>
      <c r="Q133" s="59"/>
      <c r="R133" s="54"/>
      <c r="S133" s="55"/>
    </row>
    <row r="134" spans="11:19" x14ac:dyDescent="0.25">
      <c r="K134" s="58"/>
      <c r="L134" s="59"/>
      <c r="M134" s="54"/>
      <c r="N134" s="55"/>
      <c r="P134" s="58"/>
      <c r="Q134" s="59"/>
      <c r="R134" s="54"/>
      <c r="S134" s="55"/>
    </row>
    <row r="135" spans="11:19" x14ac:dyDescent="0.25">
      <c r="K135" s="58"/>
      <c r="L135" s="59"/>
      <c r="M135" s="54"/>
      <c r="N135" s="55"/>
      <c r="P135" s="58"/>
      <c r="Q135" s="59"/>
      <c r="R135" s="54"/>
      <c r="S135" s="55"/>
    </row>
    <row r="136" spans="11:19" x14ac:dyDescent="0.25">
      <c r="K136" s="58"/>
      <c r="L136" s="59"/>
      <c r="M136" s="54"/>
      <c r="N136" s="55"/>
      <c r="P136" s="58"/>
      <c r="Q136" s="59"/>
      <c r="R136" s="54"/>
      <c r="S136" s="55"/>
    </row>
    <row r="137" spans="11:19" x14ac:dyDescent="0.25">
      <c r="K137" s="58"/>
      <c r="L137" s="59"/>
      <c r="M137" s="54"/>
      <c r="N137" s="55"/>
      <c r="P137" s="58"/>
      <c r="Q137" s="59"/>
      <c r="R137" s="54"/>
      <c r="S137" s="55"/>
    </row>
    <row r="138" spans="11:19" x14ac:dyDescent="0.25">
      <c r="K138" s="58"/>
      <c r="L138" s="59"/>
      <c r="M138" s="54"/>
      <c r="N138" s="55"/>
      <c r="P138" s="58"/>
      <c r="Q138" s="59"/>
      <c r="R138" s="54"/>
      <c r="S138" s="55"/>
    </row>
    <row r="139" spans="11:19" x14ac:dyDescent="0.25">
      <c r="K139" s="58"/>
      <c r="L139" s="59"/>
      <c r="M139" s="54"/>
      <c r="N139" s="55"/>
      <c r="P139" s="58"/>
      <c r="Q139" s="59"/>
      <c r="R139" s="54"/>
      <c r="S139" s="55"/>
    </row>
    <row r="140" spans="11:19" x14ac:dyDescent="0.25">
      <c r="K140" s="58"/>
      <c r="L140" s="59"/>
      <c r="M140" s="54"/>
      <c r="N140" s="55"/>
      <c r="P140" s="58"/>
      <c r="Q140" s="59"/>
      <c r="R140" s="54"/>
      <c r="S140" s="55"/>
    </row>
    <row r="141" spans="11:19" x14ac:dyDescent="0.25">
      <c r="K141" s="58"/>
      <c r="L141" s="59"/>
      <c r="M141" s="54"/>
      <c r="N141" s="55"/>
      <c r="P141" s="58"/>
      <c r="Q141" s="59"/>
      <c r="R141" s="54"/>
      <c r="S141" s="55"/>
    </row>
    <row r="142" spans="11:19" x14ac:dyDescent="0.25">
      <c r="K142" s="58"/>
      <c r="L142" s="59"/>
      <c r="M142" s="54"/>
      <c r="N142" s="55"/>
      <c r="P142" s="58"/>
      <c r="Q142" s="59"/>
      <c r="R142" s="54"/>
      <c r="S142" s="55"/>
    </row>
    <row r="143" spans="11:19" x14ac:dyDescent="0.25">
      <c r="K143" s="58"/>
      <c r="L143" s="59"/>
      <c r="M143" s="54"/>
      <c r="N143" s="55"/>
      <c r="P143" s="58"/>
      <c r="Q143" s="59"/>
      <c r="R143" s="54"/>
      <c r="S143" s="55"/>
    </row>
    <row r="144" spans="11:19" x14ac:dyDescent="0.25">
      <c r="K144" s="58"/>
      <c r="L144" s="59"/>
      <c r="M144" s="54"/>
      <c r="N144" s="55"/>
      <c r="P144" s="58"/>
      <c r="Q144" s="59"/>
      <c r="R144" s="54"/>
      <c r="S144" s="55"/>
    </row>
    <row r="145" spans="11:19" x14ac:dyDescent="0.25">
      <c r="K145" s="58"/>
      <c r="L145" s="59"/>
      <c r="M145" s="54"/>
      <c r="N145" s="55"/>
      <c r="P145" s="58"/>
      <c r="Q145" s="59"/>
      <c r="R145" s="54"/>
      <c r="S145" s="55"/>
    </row>
    <row r="146" spans="11:19" x14ac:dyDescent="0.25">
      <c r="K146" s="58"/>
      <c r="L146" s="59"/>
      <c r="M146" s="54"/>
      <c r="N146" s="55"/>
      <c r="P146" s="58"/>
      <c r="Q146" s="59"/>
      <c r="R146" s="54"/>
      <c r="S146" s="55"/>
    </row>
    <row r="147" spans="11:19" x14ac:dyDescent="0.25">
      <c r="K147" s="58"/>
      <c r="L147" s="59"/>
      <c r="M147" s="54"/>
      <c r="N147" s="55"/>
      <c r="P147" s="58"/>
      <c r="Q147" s="59"/>
      <c r="R147" s="54"/>
      <c r="S147" s="55"/>
    </row>
    <row r="148" spans="11:19" x14ac:dyDescent="0.25">
      <c r="K148" s="58"/>
      <c r="L148" s="59"/>
      <c r="M148" s="54"/>
      <c r="N148" s="55"/>
      <c r="P148" s="58"/>
      <c r="Q148" s="59"/>
      <c r="R148" s="54"/>
      <c r="S148" s="55"/>
    </row>
    <row r="149" spans="11:19" x14ac:dyDescent="0.25">
      <c r="K149" s="58"/>
      <c r="L149" s="59"/>
      <c r="M149" s="54"/>
      <c r="N149" s="55"/>
      <c r="P149" s="58"/>
      <c r="Q149" s="59"/>
      <c r="R149" s="54"/>
      <c r="S149" s="55"/>
    </row>
    <row r="150" spans="11:19" x14ac:dyDescent="0.25">
      <c r="K150" s="58"/>
      <c r="L150" s="59"/>
      <c r="M150" s="54"/>
      <c r="N150" s="55"/>
      <c r="P150" s="58"/>
      <c r="Q150" s="59"/>
      <c r="R150" s="54"/>
      <c r="S150" s="55"/>
    </row>
    <row r="151" spans="11:19" x14ac:dyDescent="0.25">
      <c r="K151" s="58"/>
      <c r="L151" s="59"/>
      <c r="M151" s="54"/>
      <c r="N151" s="55"/>
      <c r="P151" s="58"/>
      <c r="Q151" s="59"/>
      <c r="R151" s="54"/>
      <c r="S151" s="55"/>
    </row>
    <row r="152" spans="11:19" x14ac:dyDescent="0.25">
      <c r="K152" s="58"/>
      <c r="L152" s="59"/>
      <c r="M152" s="54"/>
      <c r="N152" s="55"/>
      <c r="P152" s="58"/>
      <c r="Q152" s="59"/>
      <c r="R152" s="54"/>
      <c r="S152" s="55"/>
    </row>
    <row r="153" spans="11:19" x14ac:dyDescent="0.25">
      <c r="K153" s="58"/>
      <c r="L153" s="59"/>
      <c r="M153" s="54"/>
      <c r="N153" s="55"/>
      <c r="P153" s="58"/>
      <c r="Q153" s="59"/>
      <c r="R153" s="54"/>
      <c r="S153" s="55"/>
    </row>
    <row r="154" spans="11:19" x14ac:dyDescent="0.25">
      <c r="K154" s="58"/>
      <c r="L154" s="59"/>
      <c r="M154" s="54"/>
      <c r="N154" s="55"/>
      <c r="P154" s="58"/>
      <c r="Q154" s="59"/>
      <c r="R154" s="54"/>
      <c r="S154" s="55"/>
    </row>
    <row r="155" spans="11:19" x14ac:dyDescent="0.25">
      <c r="K155" s="58"/>
      <c r="L155" s="59"/>
      <c r="M155" s="54"/>
      <c r="N155" s="55"/>
      <c r="P155" s="58"/>
      <c r="Q155" s="59"/>
      <c r="R155" s="54"/>
      <c r="S155" s="55"/>
    </row>
    <row r="156" spans="11:19" x14ac:dyDescent="0.25">
      <c r="K156" s="58"/>
      <c r="L156" s="59"/>
      <c r="M156" s="54"/>
      <c r="N156" s="55"/>
      <c r="P156" s="58"/>
      <c r="Q156" s="59"/>
      <c r="R156" s="54"/>
      <c r="S156" s="55"/>
    </row>
    <row r="157" spans="11:19" x14ac:dyDescent="0.25">
      <c r="K157" s="58"/>
      <c r="L157" s="59"/>
      <c r="M157" s="54"/>
      <c r="N157" s="55"/>
      <c r="P157" s="58"/>
      <c r="Q157" s="59"/>
      <c r="R157" s="54"/>
      <c r="S157" s="55"/>
    </row>
    <row r="158" spans="11:19" x14ac:dyDescent="0.25">
      <c r="K158" s="58"/>
      <c r="L158" s="59"/>
      <c r="M158" s="54"/>
      <c r="N158" s="55"/>
      <c r="P158" s="58"/>
      <c r="Q158" s="59"/>
      <c r="R158" s="54"/>
      <c r="S158" s="55"/>
    </row>
    <row r="159" spans="11:19" x14ac:dyDescent="0.25">
      <c r="K159" s="58"/>
      <c r="L159" s="59"/>
      <c r="M159" s="54"/>
      <c r="N159" s="55"/>
      <c r="P159" s="58"/>
      <c r="Q159" s="59"/>
      <c r="R159" s="54"/>
      <c r="S159" s="55"/>
    </row>
    <row r="160" spans="11:19" x14ac:dyDescent="0.25">
      <c r="K160" s="58"/>
      <c r="L160" s="59"/>
      <c r="M160" s="54"/>
      <c r="N160" s="55"/>
      <c r="P160" s="58"/>
      <c r="Q160" s="59"/>
      <c r="R160" s="54"/>
      <c r="S160" s="55"/>
    </row>
    <row r="161" spans="11:19" x14ac:dyDescent="0.25">
      <c r="K161" s="58"/>
      <c r="L161" s="59"/>
      <c r="M161" s="54"/>
      <c r="N161" s="55"/>
      <c r="P161" s="58"/>
      <c r="Q161" s="59"/>
      <c r="R161" s="54"/>
      <c r="S161" s="55"/>
    </row>
    <row r="162" spans="11:19" x14ac:dyDescent="0.25">
      <c r="K162" s="58"/>
      <c r="L162" s="59"/>
      <c r="M162" s="54"/>
      <c r="N162" s="55"/>
      <c r="P162" s="58"/>
      <c r="Q162" s="59"/>
      <c r="R162" s="54"/>
      <c r="S162" s="55"/>
    </row>
    <row r="163" spans="11:19" x14ac:dyDescent="0.25">
      <c r="K163" s="58"/>
      <c r="L163" s="59"/>
      <c r="M163" s="54"/>
      <c r="N163" s="55"/>
      <c r="P163" s="58"/>
      <c r="Q163" s="59"/>
      <c r="R163" s="54"/>
      <c r="S163" s="55"/>
    </row>
    <row r="164" spans="11:19" x14ac:dyDescent="0.25">
      <c r="K164" s="58"/>
      <c r="L164" s="59"/>
      <c r="M164" s="54"/>
      <c r="N164" s="55"/>
      <c r="P164" s="58"/>
      <c r="Q164" s="59"/>
      <c r="R164" s="54"/>
      <c r="S164" s="55"/>
    </row>
    <row r="165" spans="11:19" x14ac:dyDescent="0.25">
      <c r="K165" s="58"/>
      <c r="L165" s="59"/>
      <c r="M165" s="54"/>
      <c r="N165" s="55"/>
      <c r="P165" s="58"/>
      <c r="Q165" s="59"/>
      <c r="R165" s="54"/>
      <c r="S165" s="55"/>
    </row>
    <row r="166" spans="11:19" x14ac:dyDescent="0.25">
      <c r="K166" s="58"/>
      <c r="L166" s="59"/>
      <c r="M166" s="54"/>
      <c r="N166" s="55"/>
      <c r="P166" s="58"/>
      <c r="Q166" s="59"/>
      <c r="R166" s="54"/>
      <c r="S166" s="55"/>
    </row>
    <row r="167" spans="11:19" x14ac:dyDescent="0.25">
      <c r="K167" s="58"/>
      <c r="L167" s="59"/>
      <c r="M167" s="54"/>
      <c r="N167" s="55"/>
      <c r="P167" s="58"/>
      <c r="Q167" s="59"/>
      <c r="R167" s="54"/>
      <c r="S167" s="55"/>
    </row>
    <row r="168" spans="11:19" x14ac:dyDescent="0.25">
      <c r="K168" s="58"/>
      <c r="L168" s="59"/>
      <c r="M168" s="54"/>
      <c r="N168" s="55"/>
      <c r="P168" s="58"/>
      <c r="Q168" s="59"/>
      <c r="R168" s="54"/>
      <c r="S168" s="55"/>
    </row>
    <row r="169" spans="11:19" x14ac:dyDescent="0.25">
      <c r="K169" s="58"/>
      <c r="L169" s="59"/>
      <c r="M169" s="54"/>
      <c r="N169" s="55"/>
      <c r="P169" s="58"/>
      <c r="Q169" s="59"/>
      <c r="R169" s="54"/>
      <c r="S169" s="55"/>
    </row>
    <row r="170" spans="11:19" x14ac:dyDescent="0.25">
      <c r="K170" s="58"/>
      <c r="L170" s="59"/>
      <c r="M170" s="54"/>
      <c r="N170" s="55"/>
      <c r="P170" s="58"/>
      <c r="Q170" s="59"/>
      <c r="R170" s="54"/>
      <c r="S170" s="55"/>
    </row>
    <row r="171" spans="11:19" x14ac:dyDescent="0.25">
      <c r="K171" s="58"/>
      <c r="L171" s="59"/>
      <c r="M171" s="54"/>
      <c r="N171" s="55"/>
      <c r="P171" s="58"/>
      <c r="Q171" s="59"/>
      <c r="R171" s="54"/>
      <c r="S171" s="55"/>
    </row>
    <row r="172" spans="11:19" x14ac:dyDescent="0.25">
      <c r="K172" s="58"/>
      <c r="L172" s="59"/>
      <c r="M172" s="54"/>
      <c r="N172" s="55"/>
      <c r="P172" s="58"/>
      <c r="Q172" s="59"/>
      <c r="R172" s="54"/>
      <c r="S172" s="55"/>
    </row>
    <row r="173" spans="11:19" x14ac:dyDescent="0.25">
      <c r="K173" s="58"/>
      <c r="L173" s="59"/>
      <c r="M173" s="54"/>
      <c r="N173" s="55"/>
      <c r="P173" s="58"/>
      <c r="Q173" s="59"/>
      <c r="R173" s="54"/>
      <c r="S173" s="55"/>
    </row>
    <row r="174" spans="11:19" x14ac:dyDescent="0.25">
      <c r="K174" s="58"/>
      <c r="L174" s="59"/>
      <c r="M174" s="54"/>
      <c r="N174" s="55"/>
      <c r="P174" s="58"/>
      <c r="Q174" s="59"/>
      <c r="R174" s="54"/>
      <c r="S174" s="55"/>
    </row>
    <row r="175" spans="11:19" x14ac:dyDescent="0.25">
      <c r="K175" s="58"/>
      <c r="L175" s="59"/>
      <c r="M175" s="54"/>
      <c r="N175" s="55"/>
      <c r="P175" s="58"/>
      <c r="Q175" s="59"/>
      <c r="R175" s="54"/>
      <c r="S175" s="55"/>
    </row>
    <row r="176" spans="11:19" x14ac:dyDescent="0.25">
      <c r="K176" s="58"/>
      <c r="L176" s="59"/>
      <c r="M176" s="54"/>
      <c r="N176" s="55"/>
      <c r="P176" s="58"/>
      <c r="Q176" s="59"/>
      <c r="R176" s="54"/>
      <c r="S176" s="55"/>
    </row>
    <row r="177" spans="11:19" x14ac:dyDescent="0.25">
      <c r="K177" s="58"/>
      <c r="L177" s="59"/>
      <c r="M177" s="54"/>
      <c r="N177" s="55"/>
      <c r="P177" s="58"/>
      <c r="Q177" s="59"/>
      <c r="R177" s="54"/>
      <c r="S177" s="55"/>
    </row>
    <row r="178" spans="11:19" x14ac:dyDescent="0.25">
      <c r="K178" s="58"/>
      <c r="L178" s="59"/>
      <c r="M178" s="54"/>
      <c r="N178" s="55"/>
      <c r="P178" s="58"/>
      <c r="Q178" s="59"/>
      <c r="R178" s="54"/>
      <c r="S178" s="55"/>
    </row>
    <row r="179" spans="11:19" x14ac:dyDescent="0.25">
      <c r="K179" s="58"/>
      <c r="L179" s="59"/>
      <c r="M179" s="54"/>
      <c r="N179" s="55"/>
      <c r="P179" s="58"/>
      <c r="Q179" s="59"/>
      <c r="R179" s="54"/>
      <c r="S179" s="55"/>
    </row>
    <row r="180" spans="11:19" x14ac:dyDescent="0.25">
      <c r="K180" s="58"/>
      <c r="L180" s="59"/>
      <c r="M180" s="54"/>
      <c r="N180" s="55"/>
      <c r="P180" s="58"/>
      <c r="Q180" s="59"/>
      <c r="R180" s="54"/>
      <c r="S180" s="55"/>
    </row>
    <row r="181" spans="11:19" x14ac:dyDescent="0.25">
      <c r="K181" s="58"/>
      <c r="L181" s="59"/>
      <c r="M181" s="54"/>
      <c r="N181" s="55"/>
      <c r="P181" s="58"/>
      <c r="Q181" s="59"/>
      <c r="R181" s="54"/>
      <c r="S181" s="55"/>
    </row>
    <row r="182" spans="11:19" x14ac:dyDescent="0.25">
      <c r="K182" s="58"/>
      <c r="L182" s="59"/>
      <c r="M182" s="54"/>
      <c r="N182" s="55"/>
      <c r="P182" s="58"/>
      <c r="Q182" s="59"/>
      <c r="R182" s="54"/>
      <c r="S182" s="55"/>
    </row>
    <row r="183" spans="11:19" x14ac:dyDescent="0.25">
      <c r="K183" s="58"/>
      <c r="L183" s="59"/>
      <c r="M183" s="54"/>
      <c r="N183" s="55"/>
      <c r="P183" s="58"/>
      <c r="Q183" s="59"/>
      <c r="R183" s="54"/>
      <c r="S183" s="55"/>
    </row>
    <row r="184" spans="11:19" x14ac:dyDescent="0.25">
      <c r="K184" s="58"/>
      <c r="L184" s="59"/>
      <c r="M184" s="54"/>
      <c r="N184" s="55"/>
      <c r="P184" s="58"/>
      <c r="Q184" s="59"/>
      <c r="R184" s="54"/>
      <c r="S184" s="55"/>
    </row>
    <row r="185" spans="11:19" x14ac:dyDescent="0.25">
      <c r="K185" s="58"/>
      <c r="L185" s="59"/>
      <c r="M185" s="54"/>
      <c r="N185" s="55"/>
      <c r="P185" s="58"/>
      <c r="Q185" s="59"/>
      <c r="R185" s="54"/>
      <c r="S185" s="55"/>
    </row>
    <row r="186" spans="11:19" x14ac:dyDescent="0.25">
      <c r="K186" s="58"/>
      <c r="L186" s="59"/>
      <c r="M186" s="54"/>
      <c r="N186" s="55"/>
      <c r="P186" s="58"/>
      <c r="Q186" s="59"/>
      <c r="R186" s="54"/>
      <c r="S186" s="55"/>
    </row>
    <row r="187" spans="11:19" x14ac:dyDescent="0.25">
      <c r="K187" s="58"/>
      <c r="L187" s="59"/>
      <c r="M187" s="54"/>
      <c r="N187" s="55"/>
      <c r="P187" s="58"/>
      <c r="Q187" s="59"/>
      <c r="R187" s="54"/>
      <c r="S187" s="55"/>
    </row>
    <row r="188" spans="11:19" x14ac:dyDescent="0.25">
      <c r="K188" s="58"/>
      <c r="L188" s="59"/>
      <c r="M188" s="54"/>
      <c r="N188" s="55"/>
      <c r="P188" s="58"/>
      <c r="Q188" s="59"/>
      <c r="R188" s="54"/>
      <c r="S188" s="55"/>
    </row>
    <row r="189" spans="11:19" x14ac:dyDescent="0.25">
      <c r="K189" s="58"/>
      <c r="L189" s="59"/>
      <c r="M189" s="54"/>
      <c r="N189" s="55"/>
      <c r="P189" s="58"/>
      <c r="Q189" s="59"/>
      <c r="R189" s="54"/>
      <c r="S189" s="55"/>
    </row>
    <row r="190" spans="11:19" x14ac:dyDescent="0.25">
      <c r="K190" s="58"/>
      <c r="L190" s="59"/>
      <c r="M190" s="54"/>
      <c r="N190" s="55"/>
      <c r="P190" s="58"/>
      <c r="Q190" s="59"/>
      <c r="R190" s="54"/>
      <c r="S190" s="55"/>
    </row>
    <row r="191" spans="11:19" x14ac:dyDescent="0.25">
      <c r="K191" s="58"/>
      <c r="L191" s="59"/>
      <c r="M191" s="54"/>
      <c r="N191" s="55"/>
      <c r="P191" s="58"/>
      <c r="Q191" s="59"/>
      <c r="R191" s="54"/>
      <c r="S191" s="55"/>
    </row>
    <row r="192" spans="11:19" x14ac:dyDescent="0.25">
      <c r="K192" s="58"/>
      <c r="L192" s="59"/>
      <c r="M192" s="54"/>
      <c r="N192" s="55"/>
      <c r="P192" s="58"/>
      <c r="Q192" s="59"/>
      <c r="R192" s="54"/>
      <c r="S192" s="55"/>
    </row>
    <row r="193" spans="11:19" x14ac:dyDescent="0.25">
      <c r="K193" s="58"/>
      <c r="L193" s="59"/>
      <c r="M193" s="54"/>
      <c r="N193" s="55"/>
      <c r="P193" s="58"/>
      <c r="Q193" s="59"/>
      <c r="R193" s="54"/>
      <c r="S193" s="55"/>
    </row>
    <row r="194" spans="11:19" x14ac:dyDescent="0.25">
      <c r="K194" s="58"/>
      <c r="L194" s="59"/>
      <c r="M194" s="54"/>
      <c r="N194" s="55"/>
      <c r="P194" s="58"/>
      <c r="Q194" s="59"/>
      <c r="R194" s="54"/>
      <c r="S194" s="55"/>
    </row>
    <row r="195" spans="11:19" x14ac:dyDescent="0.25">
      <c r="K195" s="58"/>
      <c r="L195" s="59"/>
      <c r="M195" s="54"/>
      <c r="N195" s="55"/>
      <c r="P195" s="58"/>
      <c r="Q195" s="59"/>
      <c r="R195" s="54"/>
      <c r="S195" s="55"/>
    </row>
    <row r="196" spans="11:19" x14ac:dyDescent="0.25">
      <c r="K196" s="58"/>
      <c r="L196" s="59"/>
      <c r="M196" s="54"/>
      <c r="N196" s="55"/>
      <c r="P196" s="58"/>
      <c r="Q196" s="59"/>
      <c r="R196" s="54"/>
      <c r="S196" s="55"/>
    </row>
    <row r="197" spans="11:19" x14ac:dyDescent="0.25">
      <c r="K197" s="58"/>
      <c r="L197" s="59"/>
      <c r="M197" s="54"/>
      <c r="N197" s="55"/>
      <c r="P197" s="58"/>
      <c r="Q197" s="59"/>
      <c r="R197" s="54"/>
      <c r="S197" s="55"/>
    </row>
    <row r="198" spans="11:19" x14ac:dyDescent="0.25">
      <c r="K198" s="58"/>
      <c r="L198" s="59"/>
      <c r="M198" s="54"/>
      <c r="N198" s="55"/>
      <c r="P198" s="58"/>
      <c r="Q198" s="59"/>
      <c r="R198" s="54"/>
      <c r="S198" s="55"/>
    </row>
    <row r="199" spans="11:19" x14ac:dyDescent="0.25">
      <c r="K199" s="58"/>
      <c r="L199" s="59"/>
      <c r="M199" s="54"/>
      <c r="N199" s="55"/>
      <c r="P199" s="58"/>
      <c r="Q199" s="59"/>
      <c r="R199" s="54"/>
      <c r="S199" s="55"/>
    </row>
    <row r="200" spans="11:19" x14ac:dyDescent="0.25">
      <c r="K200" s="58"/>
      <c r="L200" s="59"/>
      <c r="M200" s="54"/>
      <c r="N200" s="55"/>
      <c r="P200" s="58"/>
      <c r="Q200" s="59"/>
      <c r="R200" s="54"/>
      <c r="S200" s="55"/>
    </row>
    <row r="201" spans="11:19" x14ac:dyDescent="0.25">
      <c r="K201" s="58"/>
      <c r="L201" s="59"/>
      <c r="M201" s="54"/>
      <c r="N201" s="55"/>
      <c r="P201" s="58"/>
      <c r="Q201" s="59"/>
      <c r="R201" s="54"/>
      <c r="S201" s="55"/>
    </row>
    <row r="202" spans="11:19" x14ac:dyDescent="0.25">
      <c r="K202" s="58"/>
      <c r="L202" s="59"/>
      <c r="M202" s="54"/>
      <c r="N202" s="55"/>
      <c r="P202" s="58"/>
      <c r="Q202" s="59"/>
      <c r="R202" s="54"/>
      <c r="S202" s="55"/>
    </row>
    <row r="203" spans="11:19" x14ac:dyDescent="0.25">
      <c r="K203" s="58"/>
      <c r="L203" s="59"/>
      <c r="M203" s="54"/>
      <c r="N203" s="55"/>
      <c r="P203" s="58"/>
      <c r="Q203" s="59"/>
      <c r="R203" s="54"/>
      <c r="S203" s="55"/>
    </row>
    <row r="204" spans="11:19" x14ac:dyDescent="0.25">
      <c r="K204" s="58"/>
      <c r="L204" s="59"/>
      <c r="M204" s="54"/>
      <c r="N204" s="55"/>
      <c r="P204" s="58"/>
      <c r="Q204" s="59"/>
      <c r="R204" s="54"/>
      <c r="S204" s="55"/>
    </row>
    <row r="205" spans="11:19" x14ac:dyDescent="0.25">
      <c r="K205" s="58"/>
      <c r="L205" s="59"/>
      <c r="M205" s="54"/>
      <c r="N205" s="55"/>
      <c r="P205" s="58"/>
      <c r="Q205" s="59"/>
      <c r="R205" s="54"/>
      <c r="S205" s="55"/>
    </row>
    <row r="206" spans="11:19" x14ac:dyDescent="0.25">
      <c r="K206" s="58"/>
      <c r="L206" s="59"/>
      <c r="M206" s="54"/>
      <c r="N206" s="55"/>
      <c r="P206" s="58"/>
      <c r="Q206" s="59"/>
      <c r="R206" s="54"/>
      <c r="S206" s="55"/>
    </row>
    <row r="207" spans="11:19" x14ac:dyDescent="0.25">
      <c r="K207" s="58"/>
      <c r="L207" s="59"/>
      <c r="M207" s="54"/>
      <c r="N207" s="55"/>
      <c r="P207" s="58"/>
      <c r="Q207" s="59"/>
      <c r="R207" s="54"/>
      <c r="S207" s="55"/>
    </row>
    <row r="208" spans="11:19" x14ac:dyDescent="0.25">
      <c r="K208" s="58"/>
      <c r="L208" s="59"/>
      <c r="M208" s="54"/>
      <c r="N208" s="55"/>
      <c r="P208" s="58"/>
      <c r="Q208" s="59"/>
      <c r="R208" s="54"/>
      <c r="S208" s="55"/>
    </row>
    <row r="209" spans="11:19" x14ac:dyDescent="0.25">
      <c r="K209" s="58"/>
      <c r="L209" s="59"/>
      <c r="M209" s="54"/>
      <c r="N209" s="55"/>
      <c r="P209" s="58"/>
      <c r="Q209" s="59"/>
      <c r="R209" s="54"/>
      <c r="S209" s="55"/>
    </row>
    <row r="210" spans="11:19" x14ac:dyDescent="0.25">
      <c r="K210" s="58"/>
      <c r="L210" s="59"/>
      <c r="M210" s="54"/>
      <c r="N210" s="55"/>
      <c r="P210" s="58"/>
      <c r="Q210" s="59"/>
      <c r="R210" s="54"/>
      <c r="S210" s="55"/>
    </row>
    <row r="211" spans="11:19" x14ac:dyDescent="0.25">
      <c r="K211" s="58"/>
      <c r="L211" s="59"/>
      <c r="M211" s="54"/>
      <c r="N211" s="55"/>
      <c r="P211" s="58"/>
      <c r="Q211" s="59"/>
      <c r="R211" s="54"/>
      <c r="S211" s="55"/>
    </row>
    <row r="212" spans="11:19" x14ac:dyDescent="0.25">
      <c r="K212" s="58"/>
      <c r="L212" s="59"/>
      <c r="M212" s="54"/>
      <c r="N212" s="55"/>
      <c r="P212" s="58"/>
      <c r="Q212" s="59"/>
      <c r="R212" s="54"/>
      <c r="S212" s="55"/>
    </row>
    <row r="213" spans="11:19" x14ac:dyDescent="0.25">
      <c r="K213" s="58"/>
      <c r="L213" s="59"/>
      <c r="M213" s="54"/>
      <c r="N213" s="55"/>
      <c r="P213" s="58"/>
      <c r="Q213" s="59"/>
      <c r="R213" s="54"/>
      <c r="S213" s="55"/>
    </row>
    <row r="214" spans="11:19" x14ac:dyDescent="0.25">
      <c r="K214" s="58"/>
      <c r="L214" s="59"/>
      <c r="M214" s="54"/>
      <c r="N214" s="55"/>
      <c r="P214" s="58"/>
      <c r="Q214" s="59"/>
      <c r="R214" s="54"/>
      <c r="S214" s="55"/>
    </row>
    <row r="215" spans="11:19" x14ac:dyDescent="0.25">
      <c r="K215" s="58"/>
      <c r="L215" s="59"/>
      <c r="M215" s="54"/>
      <c r="N215" s="55"/>
      <c r="P215" s="58"/>
      <c r="Q215" s="59"/>
      <c r="R215" s="54"/>
      <c r="S215" s="55"/>
    </row>
    <row r="216" spans="11:19" x14ac:dyDescent="0.25">
      <c r="K216" s="58"/>
      <c r="L216" s="59"/>
      <c r="M216" s="54"/>
      <c r="N216" s="55"/>
      <c r="P216" s="58"/>
      <c r="Q216" s="59"/>
      <c r="R216" s="54"/>
      <c r="S216" s="55"/>
    </row>
    <row r="217" spans="11:19" x14ac:dyDescent="0.25">
      <c r="K217" s="58"/>
      <c r="L217" s="59"/>
      <c r="M217" s="54"/>
      <c r="N217" s="55"/>
      <c r="P217" s="58"/>
      <c r="Q217" s="59"/>
      <c r="R217" s="54"/>
      <c r="S217" s="55"/>
    </row>
    <row r="218" spans="11:19" x14ac:dyDescent="0.25">
      <c r="K218" s="58"/>
      <c r="L218" s="59"/>
      <c r="M218" s="54"/>
      <c r="N218" s="55"/>
      <c r="P218" s="58"/>
      <c r="Q218" s="59"/>
      <c r="R218" s="54"/>
      <c r="S218" s="55"/>
    </row>
    <row r="219" spans="11:19" x14ac:dyDescent="0.25">
      <c r="K219" s="58"/>
      <c r="L219" s="59"/>
      <c r="M219" s="54"/>
      <c r="N219" s="55"/>
      <c r="P219" s="58"/>
      <c r="Q219" s="59"/>
      <c r="R219" s="54"/>
      <c r="S219" s="55"/>
    </row>
    <row r="220" spans="11:19" x14ac:dyDescent="0.25">
      <c r="K220" s="58"/>
      <c r="L220" s="59"/>
      <c r="M220" s="54"/>
      <c r="N220" s="55"/>
      <c r="P220" s="58"/>
      <c r="Q220" s="59"/>
      <c r="R220" s="54"/>
      <c r="S220" s="55"/>
    </row>
    <row r="221" spans="11:19" x14ac:dyDescent="0.25">
      <c r="K221" s="58"/>
      <c r="L221" s="59"/>
      <c r="M221" s="54"/>
      <c r="N221" s="55"/>
      <c r="P221" s="58"/>
      <c r="Q221" s="59"/>
      <c r="R221" s="54"/>
      <c r="S221" s="55"/>
    </row>
    <row r="222" spans="11:19" x14ac:dyDescent="0.25">
      <c r="K222" s="58"/>
      <c r="L222" s="59"/>
      <c r="M222" s="54"/>
      <c r="N222" s="55"/>
      <c r="P222" s="58"/>
      <c r="Q222" s="59"/>
      <c r="R222" s="54"/>
      <c r="S222" s="55"/>
    </row>
    <row r="223" spans="11:19" x14ac:dyDescent="0.25">
      <c r="K223" s="58"/>
      <c r="L223" s="59"/>
      <c r="M223" s="54"/>
      <c r="N223" s="55"/>
      <c r="P223" s="58"/>
      <c r="Q223" s="59"/>
      <c r="R223" s="54"/>
      <c r="S223" s="55"/>
    </row>
    <row r="224" spans="11:19" x14ac:dyDescent="0.25">
      <c r="K224" s="58"/>
      <c r="L224" s="59"/>
      <c r="M224" s="54"/>
      <c r="N224" s="55"/>
      <c r="P224" s="58"/>
      <c r="Q224" s="59"/>
      <c r="R224" s="54"/>
      <c r="S224" s="55"/>
    </row>
    <row r="225" spans="11:19" x14ac:dyDescent="0.25">
      <c r="K225" s="58"/>
      <c r="L225" s="59"/>
      <c r="M225" s="54"/>
      <c r="N225" s="55"/>
      <c r="P225" s="58"/>
      <c r="Q225" s="59"/>
      <c r="R225" s="54"/>
      <c r="S225" s="55"/>
    </row>
    <row r="226" spans="11:19" x14ac:dyDescent="0.25">
      <c r="K226" s="58"/>
      <c r="L226" s="59"/>
      <c r="M226" s="54"/>
      <c r="N226" s="55"/>
      <c r="P226" s="58"/>
      <c r="Q226" s="59"/>
      <c r="R226" s="54"/>
      <c r="S226" s="55"/>
    </row>
    <row r="227" spans="11:19" x14ac:dyDescent="0.25">
      <c r="K227" s="58"/>
      <c r="L227" s="59"/>
      <c r="M227" s="54"/>
      <c r="N227" s="55"/>
      <c r="P227" s="58"/>
      <c r="Q227" s="59"/>
      <c r="R227" s="54"/>
      <c r="S227" s="55"/>
    </row>
    <row r="228" spans="11:19" x14ac:dyDescent="0.25">
      <c r="K228" s="58"/>
      <c r="L228" s="59"/>
      <c r="M228" s="54"/>
      <c r="N228" s="55"/>
      <c r="P228" s="58"/>
      <c r="Q228" s="59"/>
      <c r="R228" s="54"/>
      <c r="S228" s="55"/>
    </row>
    <row r="229" spans="11:19" x14ac:dyDescent="0.25">
      <c r="K229" s="58"/>
      <c r="L229" s="59"/>
      <c r="M229" s="54"/>
      <c r="N229" s="55"/>
      <c r="P229" s="58"/>
      <c r="Q229" s="59"/>
      <c r="R229" s="54"/>
      <c r="S229" s="55"/>
    </row>
    <row r="230" spans="11:19" x14ac:dyDescent="0.25">
      <c r="K230" s="58"/>
      <c r="L230" s="59"/>
      <c r="M230" s="54"/>
      <c r="N230" s="55"/>
      <c r="P230" s="58"/>
      <c r="Q230" s="59"/>
      <c r="R230" s="54"/>
      <c r="S230" s="55"/>
    </row>
    <row r="231" spans="11:19" x14ac:dyDescent="0.25">
      <c r="K231" s="58"/>
      <c r="L231" s="59"/>
      <c r="M231" s="54"/>
      <c r="N231" s="55"/>
      <c r="P231" s="58"/>
      <c r="Q231" s="59"/>
      <c r="R231" s="54"/>
      <c r="S231" s="55"/>
    </row>
    <row r="232" spans="11:19" x14ac:dyDescent="0.25">
      <c r="K232" s="58"/>
      <c r="L232" s="59"/>
      <c r="M232" s="54"/>
      <c r="N232" s="55"/>
      <c r="P232" s="58"/>
      <c r="Q232" s="59"/>
      <c r="R232" s="54"/>
      <c r="S232" s="55"/>
    </row>
    <row r="233" spans="11:19" x14ac:dyDescent="0.25">
      <c r="K233" s="58"/>
      <c r="L233" s="59"/>
      <c r="M233" s="54"/>
      <c r="N233" s="55"/>
      <c r="P233" s="58"/>
      <c r="Q233" s="59"/>
      <c r="R233" s="54"/>
      <c r="S233" s="55"/>
    </row>
    <row r="234" spans="11:19" x14ac:dyDescent="0.25">
      <c r="K234" s="58"/>
      <c r="L234" s="59"/>
      <c r="M234" s="54"/>
      <c r="N234" s="55"/>
      <c r="P234" s="58"/>
      <c r="Q234" s="59"/>
      <c r="R234" s="54"/>
      <c r="S234" s="55"/>
    </row>
    <row r="235" spans="11:19" x14ac:dyDescent="0.25">
      <c r="K235" s="58"/>
      <c r="L235" s="59"/>
      <c r="M235" s="54"/>
      <c r="N235" s="55"/>
      <c r="P235" s="58"/>
      <c r="Q235" s="59"/>
      <c r="R235" s="54"/>
      <c r="S235" s="55"/>
    </row>
    <row r="236" spans="11:19" x14ac:dyDescent="0.25">
      <c r="K236" s="58"/>
      <c r="L236" s="59"/>
      <c r="M236" s="54"/>
      <c r="N236" s="55"/>
      <c r="P236" s="58"/>
      <c r="Q236" s="59"/>
      <c r="R236" s="54"/>
      <c r="S236" s="55"/>
    </row>
    <row r="237" spans="11:19" x14ac:dyDescent="0.25">
      <c r="K237" s="58"/>
      <c r="L237" s="59"/>
      <c r="M237" s="54"/>
      <c r="N237" s="55"/>
      <c r="P237" s="58"/>
      <c r="Q237" s="59"/>
      <c r="R237" s="54"/>
      <c r="S237" s="55"/>
    </row>
    <row r="238" spans="11:19" x14ac:dyDescent="0.25">
      <c r="K238" s="58"/>
      <c r="L238" s="59"/>
      <c r="M238" s="54"/>
      <c r="N238" s="55"/>
      <c r="P238" s="58"/>
      <c r="Q238" s="59"/>
      <c r="R238" s="54"/>
      <c r="S238" s="55"/>
    </row>
    <row r="239" spans="11:19" x14ac:dyDescent="0.25">
      <c r="K239" s="58"/>
      <c r="L239" s="59"/>
      <c r="M239" s="54"/>
      <c r="N239" s="55"/>
      <c r="P239" s="58"/>
      <c r="Q239" s="59"/>
      <c r="R239" s="54"/>
      <c r="S239" s="55"/>
    </row>
    <row r="240" spans="11:19" x14ac:dyDescent="0.25">
      <c r="K240" s="58"/>
      <c r="L240" s="59"/>
      <c r="M240" s="54"/>
      <c r="N240" s="55"/>
      <c r="P240" s="58"/>
      <c r="Q240" s="59"/>
      <c r="R240" s="54"/>
      <c r="S240" s="55"/>
    </row>
    <row r="241" spans="11:19" x14ac:dyDescent="0.25">
      <c r="K241" s="58"/>
      <c r="L241" s="59"/>
      <c r="M241" s="54"/>
      <c r="N241" s="55"/>
      <c r="P241" s="58"/>
      <c r="Q241" s="59"/>
      <c r="R241" s="54"/>
      <c r="S241" s="55"/>
    </row>
    <row r="242" spans="11:19" x14ac:dyDescent="0.25">
      <c r="K242" s="58"/>
      <c r="L242" s="59"/>
      <c r="M242" s="54"/>
      <c r="N242" s="55"/>
      <c r="P242" s="58"/>
      <c r="Q242" s="59"/>
      <c r="R242" s="54"/>
      <c r="S242" s="55"/>
    </row>
    <row r="243" spans="11:19" x14ac:dyDescent="0.25">
      <c r="K243" s="58"/>
      <c r="L243" s="59"/>
      <c r="M243" s="54"/>
      <c r="N243" s="55"/>
      <c r="P243" s="58"/>
      <c r="Q243" s="59"/>
      <c r="R243" s="54"/>
      <c r="S243" s="55"/>
    </row>
    <row r="244" spans="11:19" x14ac:dyDescent="0.25">
      <c r="K244" s="58"/>
      <c r="L244" s="59"/>
      <c r="M244" s="54"/>
      <c r="N244" s="55"/>
      <c r="P244" s="58"/>
      <c r="Q244" s="59"/>
      <c r="R244" s="54"/>
      <c r="S244" s="55"/>
    </row>
    <row r="245" spans="11:19" x14ac:dyDescent="0.25">
      <c r="K245" s="58"/>
      <c r="L245" s="59"/>
      <c r="M245" s="54"/>
      <c r="N245" s="55"/>
      <c r="P245" s="58"/>
      <c r="Q245" s="59"/>
      <c r="R245" s="54"/>
      <c r="S245" s="55"/>
    </row>
    <row r="246" spans="11:19" x14ac:dyDescent="0.25">
      <c r="K246" s="58"/>
      <c r="L246" s="59"/>
      <c r="M246" s="54"/>
      <c r="N246" s="55"/>
      <c r="P246" s="58"/>
      <c r="Q246" s="59"/>
      <c r="R246" s="54"/>
      <c r="S246" s="55"/>
    </row>
    <row r="247" spans="11:19" x14ac:dyDescent="0.25">
      <c r="K247" s="58"/>
      <c r="L247" s="59"/>
      <c r="M247" s="54"/>
      <c r="N247" s="55"/>
      <c r="P247" s="58"/>
      <c r="Q247" s="59"/>
      <c r="R247" s="54"/>
      <c r="S247" s="55"/>
    </row>
    <row r="248" spans="11:19" x14ac:dyDescent="0.25">
      <c r="K248" s="58"/>
      <c r="L248" s="59"/>
      <c r="M248" s="54"/>
      <c r="N248" s="55"/>
      <c r="P248" s="58"/>
      <c r="Q248" s="59"/>
      <c r="R248" s="54"/>
      <c r="S248" s="55"/>
    </row>
    <row r="249" spans="11:19" x14ac:dyDescent="0.25">
      <c r="K249" s="58"/>
      <c r="L249" s="59"/>
      <c r="M249" s="54"/>
      <c r="N249" s="55"/>
      <c r="P249" s="58"/>
      <c r="Q249" s="59"/>
      <c r="R249" s="54"/>
      <c r="S249" s="55"/>
    </row>
    <row r="250" spans="11:19" x14ac:dyDescent="0.25">
      <c r="K250" s="58"/>
      <c r="L250" s="59"/>
      <c r="M250" s="54"/>
      <c r="N250" s="55"/>
      <c r="P250" s="58"/>
      <c r="Q250" s="59"/>
      <c r="R250" s="54"/>
      <c r="S250" s="55"/>
    </row>
    <row r="251" spans="11:19" x14ac:dyDescent="0.25">
      <c r="K251" s="58"/>
      <c r="L251" s="59"/>
      <c r="M251" s="54"/>
      <c r="N251" s="55"/>
      <c r="P251" s="58"/>
      <c r="Q251" s="59"/>
      <c r="R251" s="54"/>
      <c r="S251" s="55"/>
    </row>
    <row r="252" spans="11:19" x14ac:dyDescent="0.25">
      <c r="K252" s="58"/>
      <c r="L252" s="59"/>
      <c r="M252" s="54"/>
      <c r="N252" s="55"/>
      <c r="P252" s="58"/>
      <c r="Q252" s="59"/>
      <c r="R252" s="54"/>
      <c r="S252" s="55"/>
    </row>
    <row r="253" spans="11:19" x14ac:dyDescent="0.25">
      <c r="K253" s="58"/>
      <c r="L253" s="59"/>
      <c r="M253" s="54"/>
      <c r="N253" s="55"/>
      <c r="P253" s="58"/>
      <c r="Q253" s="59"/>
      <c r="R253" s="54"/>
      <c r="S253" s="55"/>
    </row>
    <row r="254" spans="11:19" x14ac:dyDescent="0.25">
      <c r="K254" s="58"/>
      <c r="L254" s="59"/>
      <c r="M254" s="54"/>
      <c r="N254" s="55"/>
      <c r="P254" s="58"/>
      <c r="Q254" s="59"/>
      <c r="R254" s="54"/>
      <c r="S254" s="55"/>
    </row>
    <row r="255" spans="11:19" x14ac:dyDescent="0.25">
      <c r="K255" s="58"/>
      <c r="L255" s="59"/>
      <c r="M255" s="54"/>
      <c r="N255" s="55"/>
      <c r="P255" s="58"/>
      <c r="Q255" s="59"/>
      <c r="R255" s="54"/>
      <c r="S255" s="55"/>
    </row>
    <row r="256" spans="11:19" x14ac:dyDescent="0.25">
      <c r="K256" s="58"/>
      <c r="L256" s="59"/>
      <c r="M256" s="54"/>
      <c r="N256" s="55"/>
      <c r="P256" s="58"/>
      <c r="Q256" s="59"/>
      <c r="R256" s="54"/>
      <c r="S256" s="55"/>
    </row>
    <row r="257" spans="11:19" x14ac:dyDescent="0.25">
      <c r="K257" s="58"/>
      <c r="L257" s="59"/>
      <c r="M257" s="54"/>
      <c r="N257" s="55"/>
      <c r="P257" s="58"/>
      <c r="Q257" s="59"/>
      <c r="R257" s="54"/>
      <c r="S257" s="55"/>
    </row>
    <row r="258" spans="11:19" x14ac:dyDescent="0.25">
      <c r="K258" s="58"/>
      <c r="L258" s="59"/>
      <c r="M258" s="54"/>
      <c r="N258" s="55"/>
      <c r="P258" s="58"/>
      <c r="Q258" s="59"/>
      <c r="R258" s="54"/>
      <c r="S258" s="55"/>
    </row>
    <row r="259" spans="11:19" x14ac:dyDescent="0.25">
      <c r="K259" s="58"/>
      <c r="L259" s="59"/>
      <c r="M259" s="54"/>
      <c r="N259" s="55"/>
      <c r="P259" s="58"/>
      <c r="Q259" s="59"/>
      <c r="R259" s="54"/>
      <c r="S259" s="55"/>
    </row>
    <row r="260" spans="11:19" x14ac:dyDescent="0.25">
      <c r="K260" s="58"/>
      <c r="L260" s="59"/>
      <c r="M260" s="54"/>
      <c r="N260" s="55"/>
      <c r="P260" s="58"/>
      <c r="Q260" s="59"/>
      <c r="R260" s="54"/>
      <c r="S260" s="55"/>
    </row>
    <row r="261" spans="11:19" x14ac:dyDescent="0.25">
      <c r="K261" s="58"/>
      <c r="L261" s="59"/>
      <c r="M261" s="54"/>
      <c r="N261" s="55"/>
      <c r="P261" s="58"/>
      <c r="Q261" s="59"/>
      <c r="R261" s="54"/>
      <c r="S261" s="55"/>
    </row>
    <row r="262" spans="11:19" x14ac:dyDescent="0.25">
      <c r="K262" s="58"/>
      <c r="L262" s="59"/>
      <c r="M262" s="54"/>
      <c r="N262" s="55"/>
      <c r="P262" s="58"/>
      <c r="Q262" s="59"/>
      <c r="R262" s="54"/>
      <c r="S262" s="55"/>
    </row>
    <row r="263" spans="11:19" x14ac:dyDescent="0.25">
      <c r="K263" s="58"/>
      <c r="L263" s="59"/>
      <c r="M263" s="54"/>
      <c r="N263" s="55"/>
      <c r="P263" s="58"/>
      <c r="Q263" s="59"/>
      <c r="R263" s="54"/>
      <c r="S263" s="55"/>
    </row>
    <row r="264" spans="11:19" x14ac:dyDescent="0.25">
      <c r="K264" s="58"/>
      <c r="L264" s="59"/>
      <c r="M264" s="54"/>
      <c r="N264" s="55"/>
      <c r="P264" s="58"/>
      <c r="Q264" s="59"/>
      <c r="R264" s="54"/>
      <c r="S264" s="55"/>
    </row>
    <row r="265" spans="11:19" x14ac:dyDescent="0.25">
      <c r="K265" s="58"/>
      <c r="L265" s="59"/>
      <c r="M265" s="54"/>
      <c r="N265" s="55"/>
      <c r="P265" s="58"/>
      <c r="Q265" s="59"/>
      <c r="R265" s="54"/>
      <c r="S265" s="55"/>
    </row>
    <row r="266" spans="11:19" x14ac:dyDescent="0.25">
      <c r="K266" s="58"/>
      <c r="L266" s="59"/>
      <c r="M266" s="54"/>
      <c r="N266" s="55"/>
      <c r="P266" s="58"/>
      <c r="Q266" s="59"/>
      <c r="R266" s="54"/>
      <c r="S266" s="55"/>
    </row>
    <row r="267" spans="11:19" x14ac:dyDescent="0.25">
      <c r="K267" s="58"/>
      <c r="L267" s="59"/>
      <c r="M267" s="54"/>
      <c r="N267" s="55"/>
      <c r="P267" s="58"/>
      <c r="Q267" s="59"/>
      <c r="R267" s="54"/>
      <c r="S267" s="55"/>
    </row>
    <row r="268" spans="11:19" x14ac:dyDescent="0.25">
      <c r="K268" s="58"/>
      <c r="L268" s="59"/>
      <c r="M268" s="54"/>
      <c r="N268" s="55"/>
      <c r="P268" s="58"/>
      <c r="Q268" s="59"/>
      <c r="R268" s="54"/>
      <c r="S268" s="55"/>
    </row>
    <row r="269" spans="11:19" x14ac:dyDescent="0.25">
      <c r="K269" s="58"/>
      <c r="L269" s="59"/>
      <c r="M269" s="54"/>
      <c r="N269" s="55"/>
      <c r="P269" s="58"/>
      <c r="Q269" s="59"/>
      <c r="R269" s="54"/>
      <c r="S269" s="55"/>
    </row>
    <row r="270" spans="11:19" x14ac:dyDescent="0.25">
      <c r="K270" s="58"/>
      <c r="L270" s="59"/>
      <c r="M270" s="54"/>
      <c r="N270" s="55"/>
      <c r="P270" s="58"/>
      <c r="Q270" s="59"/>
      <c r="R270" s="54"/>
      <c r="S270" s="55"/>
    </row>
    <row r="271" spans="11:19" x14ac:dyDescent="0.25">
      <c r="K271" s="58"/>
      <c r="L271" s="59"/>
      <c r="M271" s="54"/>
      <c r="N271" s="55"/>
      <c r="P271" s="58"/>
      <c r="Q271" s="59"/>
      <c r="R271" s="54"/>
      <c r="S271" s="55"/>
    </row>
    <row r="272" spans="11:19" x14ac:dyDescent="0.25">
      <c r="K272" s="58"/>
      <c r="L272" s="59"/>
      <c r="M272" s="54"/>
      <c r="N272" s="55"/>
      <c r="P272" s="58"/>
      <c r="Q272" s="59"/>
      <c r="R272" s="54"/>
      <c r="S272" s="55"/>
    </row>
    <row r="273" spans="11:19" x14ac:dyDescent="0.25">
      <c r="K273" s="58"/>
      <c r="L273" s="59"/>
      <c r="M273" s="54"/>
      <c r="N273" s="55"/>
      <c r="P273" s="58"/>
      <c r="Q273" s="59"/>
      <c r="R273" s="54"/>
      <c r="S273" s="55"/>
    </row>
    <row r="274" spans="11:19" x14ac:dyDescent="0.25">
      <c r="K274" s="58"/>
      <c r="L274" s="59"/>
      <c r="M274" s="54"/>
      <c r="N274" s="55"/>
      <c r="P274" s="58"/>
      <c r="Q274" s="59"/>
      <c r="R274" s="54"/>
      <c r="S274" s="55"/>
    </row>
    <row r="275" spans="11:19" x14ac:dyDescent="0.25">
      <c r="K275" s="58"/>
      <c r="L275" s="59"/>
      <c r="M275" s="54"/>
      <c r="N275" s="55"/>
      <c r="P275" s="58"/>
      <c r="Q275" s="59"/>
      <c r="R275" s="54"/>
      <c r="S275" s="55"/>
    </row>
    <row r="276" spans="11:19" x14ac:dyDescent="0.25">
      <c r="K276" s="58"/>
      <c r="L276" s="59"/>
      <c r="M276" s="54"/>
      <c r="N276" s="55"/>
      <c r="P276" s="58"/>
      <c r="Q276" s="59"/>
      <c r="R276" s="54"/>
      <c r="S276" s="55"/>
    </row>
    <row r="277" spans="11:19" x14ac:dyDescent="0.25">
      <c r="K277" s="58"/>
      <c r="L277" s="59"/>
      <c r="M277" s="54"/>
      <c r="N277" s="55"/>
      <c r="P277" s="58"/>
      <c r="Q277" s="59"/>
      <c r="R277" s="54"/>
      <c r="S277" s="55"/>
    </row>
    <row r="278" spans="11:19" x14ac:dyDescent="0.25">
      <c r="K278" s="58"/>
      <c r="L278" s="59"/>
      <c r="M278" s="54"/>
      <c r="N278" s="55"/>
      <c r="P278" s="58"/>
      <c r="Q278" s="59"/>
      <c r="R278" s="54"/>
      <c r="S278" s="55"/>
    </row>
    <row r="279" spans="11:19" x14ac:dyDescent="0.25">
      <c r="K279" s="58"/>
      <c r="L279" s="59"/>
      <c r="M279" s="54"/>
      <c r="N279" s="55"/>
      <c r="P279" s="58"/>
      <c r="Q279" s="59"/>
      <c r="R279" s="54"/>
      <c r="S279" s="55"/>
    </row>
    <row r="280" spans="11:19" x14ac:dyDescent="0.25">
      <c r="K280" s="58"/>
      <c r="L280" s="59"/>
      <c r="M280" s="54"/>
      <c r="N280" s="55"/>
      <c r="P280" s="58"/>
      <c r="Q280" s="59"/>
      <c r="R280" s="54"/>
      <c r="S280" s="55"/>
    </row>
    <row r="281" spans="11:19" x14ac:dyDescent="0.25">
      <c r="K281" s="58"/>
      <c r="L281" s="59"/>
      <c r="M281" s="54"/>
      <c r="N281" s="55"/>
      <c r="P281" s="58"/>
      <c r="Q281" s="59"/>
      <c r="R281" s="54"/>
      <c r="S281" s="55"/>
    </row>
    <row r="282" spans="11:19" x14ac:dyDescent="0.25">
      <c r="K282" s="58"/>
      <c r="L282" s="59"/>
      <c r="M282" s="54"/>
      <c r="N282" s="55"/>
      <c r="P282" s="58"/>
      <c r="Q282" s="59"/>
      <c r="R282" s="54"/>
      <c r="S282" s="55"/>
    </row>
    <row r="283" spans="11:19" x14ac:dyDescent="0.25">
      <c r="K283" s="58"/>
      <c r="L283" s="59"/>
      <c r="M283" s="54"/>
      <c r="N283" s="55"/>
      <c r="P283" s="58"/>
      <c r="Q283" s="59"/>
      <c r="R283" s="54"/>
      <c r="S283" s="55"/>
    </row>
    <row r="284" spans="11:19" x14ac:dyDescent="0.25">
      <c r="K284" s="58"/>
      <c r="L284" s="59"/>
      <c r="M284" s="54"/>
      <c r="N284" s="55"/>
      <c r="P284" s="58"/>
      <c r="Q284" s="59"/>
      <c r="R284" s="54"/>
      <c r="S284" s="55"/>
    </row>
    <row r="285" spans="11:19" x14ac:dyDescent="0.25">
      <c r="K285" s="58"/>
      <c r="L285" s="59"/>
      <c r="M285" s="54"/>
      <c r="N285" s="55"/>
      <c r="P285" s="58"/>
      <c r="Q285" s="59"/>
      <c r="R285" s="54"/>
      <c r="S285" s="55"/>
    </row>
    <row r="286" spans="11:19" x14ac:dyDescent="0.25">
      <c r="K286" s="58"/>
      <c r="L286" s="59"/>
      <c r="M286" s="54"/>
      <c r="N286" s="55"/>
      <c r="P286" s="58"/>
      <c r="Q286" s="59"/>
      <c r="R286" s="54"/>
      <c r="S286" s="55"/>
    </row>
    <row r="287" spans="11:19" x14ac:dyDescent="0.25">
      <c r="K287" s="58"/>
      <c r="L287" s="59"/>
      <c r="M287" s="54"/>
      <c r="N287" s="55"/>
      <c r="P287" s="58"/>
      <c r="Q287" s="59"/>
      <c r="R287" s="54"/>
      <c r="S287" s="55"/>
    </row>
    <row r="288" spans="11:19" x14ac:dyDescent="0.25">
      <c r="K288" s="58"/>
      <c r="L288" s="59"/>
      <c r="M288" s="54"/>
      <c r="N288" s="55"/>
      <c r="P288" s="58"/>
      <c r="Q288" s="59"/>
      <c r="R288" s="54"/>
      <c r="S288" s="55"/>
    </row>
    <row r="289" spans="11:19" x14ac:dyDescent="0.25">
      <c r="K289" s="58"/>
      <c r="L289" s="59"/>
      <c r="M289" s="54"/>
      <c r="N289" s="55"/>
      <c r="P289" s="58"/>
      <c r="Q289" s="59"/>
      <c r="R289" s="54"/>
      <c r="S289" s="55"/>
    </row>
    <row r="290" spans="11:19" x14ac:dyDescent="0.25">
      <c r="K290" s="58"/>
      <c r="L290" s="59"/>
      <c r="M290" s="54"/>
      <c r="N290" s="55"/>
      <c r="P290" s="58"/>
      <c r="Q290" s="59"/>
      <c r="R290" s="54"/>
      <c r="S290" s="55"/>
    </row>
    <row r="291" spans="11:19" x14ac:dyDescent="0.25">
      <c r="K291" s="58"/>
      <c r="L291" s="59"/>
      <c r="M291" s="54"/>
      <c r="N291" s="55"/>
      <c r="P291" s="58"/>
      <c r="Q291" s="59"/>
      <c r="R291" s="54"/>
      <c r="S291" s="55"/>
    </row>
    <row r="292" spans="11:19" x14ac:dyDescent="0.25">
      <c r="K292" s="58"/>
      <c r="L292" s="59"/>
      <c r="M292" s="54"/>
      <c r="N292" s="55"/>
      <c r="P292" s="58"/>
      <c r="Q292" s="59"/>
      <c r="R292" s="54"/>
      <c r="S292" s="55"/>
    </row>
    <row r="293" spans="11:19" x14ac:dyDescent="0.25">
      <c r="K293" s="58"/>
      <c r="L293" s="59"/>
      <c r="M293" s="54"/>
      <c r="N293" s="55"/>
      <c r="P293" s="58"/>
      <c r="Q293" s="59"/>
      <c r="R293" s="54"/>
      <c r="S293" s="55"/>
    </row>
    <row r="294" spans="11:19" x14ac:dyDescent="0.25">
      <c r="K294" s="58"/>
      <c r="L294" s="59"/>
      <c r="M294" s="54"/>
      <c r="N294" s="55"/>
      <c r="P294" s="58"/>
      <c r="Q294" s="59"/>
      <c r="R294" s="54"/>
      <c r="S294" s="55"/>
    </row>
    <row r="295" spans="11:19" x14ac:dyDescent="0.25">
      <c r="K295" s="58"/>
      <c r="L295" s="59"/>
      <c r="M295" s="54"/>
      <c r="N295" s="55"/>
      <c r="P295" s="58"/>
      <c r="Q295" s="59"/>
      <c r="R295" s="54"/>
      <c r="S295" s="55"/>
    </row>
    <row r="296" spans="11:19" x14ac:dyDescent="0.25">
      <c r="K296" s="58"/>
      <c r="L296" s="59"/>
      <c r="M296" s="54"/>
      <c r="N296" s="55"/>
      <c r="P296" s="58"/>
      <c r="Q296" s="59"/>
      <c r="R296" s="54"/>
      <c r="S296" s="55"/>
    </row>
    <row r="297" spans="11:19" x14ac:dyDescent="0.25">
      <c r="K297" s="58"/>
      <c r="L297" s="59"/>
      <c r="M297" s="54"/>
      <c r="N297" s="55"/>
      <c r="P297" s="58"/>
      <c r="Q297" s="59"/>
      <c r="R297" s="54"/>
      <c r="S297" s="55"/>
    </row>
    <row r="298" spans="11:19" x14ac:dyDescent="0.25">
      <c r="K298" s="58"/>
      <c r="L298" s="59"/>
      <c r="M298" s="54"/>
      <c r="N298" s="55"/>
      <c r="P298" s="58"/>
      <c r="Q298" s="59"/>
      <c r="R298" s="54"/>
      <c r="S298" s="55"/>
    </row>
    <row r="299" spans="11:19" x14ac:dyDescent="0.25">
      <c r="K299" s="58"/>
      <c r="L299" s="59"/>
      <c r="M299" s="54"/>
      <c r="N299" s="55"/>
      <c r="P299" s="58"/>
      <c r="Q299" s="59"/>
      <c r="R299" s="54"/>
      <c r="S299" s="55"/>
    </row>
    <row r="300" spans="11:19" x14ac:dyDescent="0.25">
      <c r="K300" s="58"/>
      <c r="L300" s="59"/>
      <c r="M300" s="54"/>
      <c r="N300" s="55"/>
      <c r="P300" s="58"/>
      <c r="Q300" s="59"/>
      <c r="R300" s="54"/>
      <c r="S300" s="55"/>
    </row>
    <row r="301" spans="11:19" x14ac:dyDescent="0.25">
      <c r="K301" s="58"/>
      <c r="L301" s="59"/>
      <c r="M301" s="54"/>
      <c r="N301" s="55"/>
      <c r="P301" s="58"/>
      <c r="Q301" s="59"/>
      <c r="R301" s="54"/>
      <c r="S301" s="55"/>
    </row>
    <row r="302" spans="11:19" x14ac:dyDescent="0.25">
      <c r="K302" s="58"/>
      <c r="L302" s="59"/>
      <c r="M302" s="54"/>
      <c r="N302" s="55"/>
      <c r="P302" s="58"/>
      <c r="Q302" s="59"/>
      <c r="R302" s="54"/>
      <c r="S302" s="55"/>
    </row>
    <row r="303" spans="11:19" x14ac:dyDescent="0.25">
      <c r="K303" s="58"/>
      <c r="L303" s="59"/>
      <c r="M303" s="54"/>
      <c r="N303" s="55"/>
      <c r="P303" s="58"/>
      <c r="Q303" s="59"/>
      <c r="R303" s="54"/>
      <c r="S303" s="55"/>
    </row>
    <row r="304" spans="11:19" x14ac:dyDescent="0.25">
      <c r="K304" s="58"/>
      <c r="L304" s="59"/>
      <c r="M304" s="54"/>
      <c r="N304" s="55"/>
      <c r="P304" s="58"/>
      <c r="Q304" s="59"/>
      <c r="R304" s="54"/>
      <c r="S304" s="55"/>
    </row>
    <row r="305" spans="11:19" x14ac:dyDescent="0.25">
      <c r="K305" s="58"/>
      <c r="L305" s="59"/>
      <c r="M305" s="54"/>
      <c r="N305" s="55"/>
      <c r="P305" s="58"/>
      <c r="Q305" s="59"/>
      <c r="R305" s="54"/>
      <c r="S305" s="55"/>
    </row>
    <row r="306" spans="11:19" x14ac:dyDescent="0.25">
      <c r="K306" s="58"/>
      <c r="L306" s="59"/>
      <c r="M306" s="54"/>
      <c r="N306" s="55"/>
      <c r="P306" s="58"/>
      <c r="Q306" s="59"/>
      <c r="R306" s="54"/>
      <c r="S306" s="55"/>
    </row>
    <row r="307" spans="11:19" x14ac:dyDescent="0.25">
      <c r="K307" s="58"/>
      <c r="L307" s="59"/>
      <c r="M307" s="54"/>
      <c r="N307" s="55"/>
      <c r="P307" s="58"/>
      <c r="Q307" s="59"/>
      <c r="R307" s="54"/>
      <c r="S307" s="55"/>
    </row>
    <row r="308" spans="11:19" x14ac:dyDescent="0.25">
      <c r="K308" s="58"/>
      <c r="L308" s="59"/>
      <c r="M308" s="54"/>
      <c r="N308" s="55"/>
      <c r="P308" s="58"/>
      <c r="Q308" s="59"/>
      <c r="R308" s="54"/>
      <c r="S308" s="55"/>
    </row>
    <row r="309" spans="11:19" x14ac:dyDescent="0.25">
      <c r="K309" s="58"/>
      <c r="L309" s="59"/>
      <c r="M309" s="54"/>
      <c r="N309" s="55"/>
      <c r="P309" s="58"/>
      <c r="Q309" s="59"/>
      <c r="R309" s="54"/>
      <c r="S309" s="55"/>
    </row>
    <row r="310" spans="11:19" x14ac:dyDescent="0.25">
      <c r="K310" s="58"/>
      <c r="L310" s="59"/>
      <c r="M310" s="54"/>
      <c r="N310" s="55"/>
      <c r="P310" s="58"/>
      <c r="Q310" s="59"/>
      <c r="R310" s="54"/>
      <c r="S310" s="55"/>
    </row>
    <row r="311" spans="11:19" x14ac:dyDescent="0.25">
      <c r="K311" s="58"/>
      <c r="L311" s="59"/>
      <c r="M311" s="54"/>
      <c r="N311" s="55"/>
      <c r="P311" s="58"/>
      <c r="Q311" s="59"/>
      <c r="R311" s="54"/>
      <c r="S311" s="55"/>
    </row>
    <row r="312" spans="11:19" x14ac:dyDescent="0.25">
      <c r="K312" s="58"/>
      <c r="L312" s="59"/>
      <c r="M312" s="54"/>
      <c r="N312" s="55"/>
      <c r="P312" s="58"/>
      <c r="Q312" s="59"/>
      <c r="R312" s="54"/>
      <c r="S312" s="55"/>
    </row>
    <row r="313" spans="11:19" x14ac:dyDescent="0.25">
      <c r="K313" s="58"/>
      <c r="L313" s="59"/>
      <c r="M313" s="54"/>
      <c r="N313" s="55"/>
      <c r="P313" s="58"/>
      <c r="Q313" s="59"/>
      <c r="R313" s="54"/>
      <c r="S313" s="55"/>
    </row>
    <row r="314" spans="11:19" x14ac:dyDescent="0.25">
      <c r="K314" s="58"/>
      <c r="L314" s="59"/>
      <c r="M314" s="54"/>
      <c r="N314" s="55"/>
      <c r="P314" s="58"/>
      <c r="Q314" s="59"/>
      <c r="R314" s="54"/>
      <c r="S314" s="55"/>
    </row>
    <row r="315" spans="11:19" x14ac:dyDescent="0.25">
      <c r="K315" s="58"/>
      <c r="L315" s="59"/>
      <c r="M315" s="54"/>
      <c r="N315" s="55"/>
      <c r="P315" s="58"/>
      <c r="Q315" s="59"/>
      <c r="R315" s="54"/>
      <c r="S315" s="55"/>
    </row>
    <row r="316" spans="11:19" x14ac:dyDescent="0.25">
      <c r="K316" s="58"/>
      <c r="L316" s="59"/>
      <c r="M316" s="54"/>
      <c r="N316" s="55"/>
      <c r="P316" s="58"/>
      <c r="Q316" s="59"/>
      <c r="R316" s="54"/>
      <c r="S316" s="55"/>
    </row>
    <row r="317" spans="11:19" x14ac:dyDescent="0.25">
      <c r="K317" s="58"/>
      <c r="L317" s="59"/>
      <c r="M317" s="54"/>
      <c r="N317" s="55"/>
      <c r="P317" s="58"/>
      <c r="Q317" s="59"/>
      <c r="R317" s="54"/>
      <c r="S317" s="55"/>
    </row>
    <row r="318" spans="11:19" x14ac:dyDescent="0.25">
      <c r="K318" s="58"/>
      <c r="L318" s="59"/>
      <c r="M318" s="54"/>
      <c r="N318" s="55"/>
      <c r="P318" s="58"/>
      <c r="Q318" s="59"/>
      <c r="R318" s="54"/>
      <c r="S318" s="55"/>
    </row>
    <row r="319" spans="11:19" x14ac:dyDescent="0.25">
      <c r="K319" s="58"/>
      <c r="L319" s="59"/>
      <c r="M319" s="54"/>
      <c r="N319" s="55"/>
      <c r="P319" s="58"/>
      <c r="Q319" s="59"/>
      <c r="R319" s="54"/>
      <c r="S319" s="55"/>
    </row>
    <row r="320" spans="11:19" x14ac:dyDescent="0.25">
      <c r="K320" s="58"/>
      <c r="L320" s="59"/>
      <c r="M320" s="54"/>
      <c r="N320" s="55"/>
      <c r="P320" s="58"/>
      <c r="Q320" s="59"/>
      <c r="R320" s="54"/>
      <c r="S320" s="55"/>
    </row>
    <row r="321" spans="11:19" x14ac:dyDescent="0.25">
      <c r="K321" s="58"/>
      <c r="L321" s="59"/>
      <c r="M321" s="54"/>
      <c r="N321" s="55"/>
      <c r="P321" s="58"/>
      <c r="Q321" s="59"/>
      <c r="R321" s="54"/>
      <c r="S321" s="55"/>
    </row>
    <row r="322" spans="11:19" x14ac:dyDescent="0.25">
      <c r="K322" s="58"/>
      <c r="L322" s="59"/>
      <c r="M322" s="54"/>
      <c r="N322" s="55"/>
      <c r="P322" s="58"/>
      <c r="Q322" s="59"/>
      <c r="R322" s="54"/>
      <c r="S322" s="55"/>
    </row>
    <row r="323" spans="11:19" x14ac:dyDescent="0.25">
      <c r="K323" s="58"/>
      <c r="L323" s="59"/>
      <c r="M323" s="54"/>
      <c r="N323" s="55"/>
      <c r="P323" s="58"/>
      <c r="Q323" s="59"/>
      <c r="R323" s="54"/>
      <c r="S323" s="55"/>
    </row>
    <row r="324" spans="11:19" x14ac:dyDescent="0.25">
      <c r="K324" s="58"/>
      <c r="L324" s="59"/>
      <c r="M324" s="54"/>
      <c r="N324" s="55"/>
      <c r="P324" s="58"/>
      <c r="Q324" s="59"/>
      <c r="R324" s="54"/>
      <c r="S324" s="55"/>
    </row>
    <row r="325" spans="11:19" x14ac:dyDescent="0.25">
      <c r="K325" s="58"/>
      <c r="L325" s="59"/>
      <c r="M325" s="54"/>
      <c r="N325" s="55"/>
      <c r="P325" s="58"/>
      <c r="Q325" s="59"/>
      <c r="R325" s="54"/>
      <c r="S325" s="55"/>
    </row>
    <row r="326" spans="11:19" x14ac:dyDescent="0.25">
      <c r="K326" s="58"/>
      <c r="L326" s="59"/>
      <c r="M326" s="54"/>
      <c r="N326" s="55"/>
      <c r="P326" s="58"/>
      <c r="Q326" s="59"/>
      <c r="R326" s="54"/>
      <c r="S326" s="55"/>
    </row>
    <row r="327" spans="11:19" x14ac:dyDescent="0.25">
      <c r="K327" s="58"/>
      <c r="L327" s="59"/>
      <c r="M327" s="54"/>
      <c r="N327" s="55"/>
      <c r="P327" s="58"/>
      <c r="Q327" s="59"/>
      <c r="R327" s="54"/>
      <c r="S327" s="55"/>
    </row>
    <row r="328" spans="11:19" x14ac:dyDescent="0.25">
      <c r="K328" s="58"/>
      <c r="L328" s="59"/>
      <c r="M328" s="54"/>
      <c r="N328" s="55"/>
      <c r="P328" s="58"/>
      <c r="Q328" s="59"/>
      <c r="R328" s="54"/>
      <c r="S328" s="55"/>
    </row>
    <row r="329" spans="11:19" x14ac:dyDescent="0.25">
      <c r="K329" s="58"/>
      <c r="L329" s="59"/>
      <c r="M329" s="54"/>
      <c r="N329" s="55"/>
      <c r="P329" s="58"/>
      <c r="Q329" s="59"/>
      <c r="R329" s="54"/>
      <c r="S329" s="55"/>
    </row>
    <row r="330" spans="11:19" x14ac:dyDescent="0.25">
      <c r="K330" s="58"/>
      <c r="L330" s="59"/>
      <c r="M330" s="54"/>
      <c r="N330" s="55"/>
      <c r="P330" s="58"/>
      <c r="Q330" s="59"/>
      <c r="R330" s="54"/>
      <c r="S330" s="55"/>
    </row>
    <row r="331" spans="11:19" x14ac:dyDescent="0.25">
      <c r="K331" s="58"/>
      <c r="L331" s="59"/>
      <c r="M331" s="54"/>
      <c r="N331" s="55"/>
      <c r="P331" s="58"/>
      <c r="Q331" s="59"/>
      <c r="R331" s="54"/>
      <c r="S331" s="55"/>
    </row>
    <row r="332" spans="11:19" x14ac:dyDescent="0.25">
      <c r="K332" s="58"/>
      <c r="L332" s="59"/>
      <c r="M332" s="54"/>
      <c r="N332" s="55"/>
      <c r="P332" s="58"/>
      <c r="Q332" s="59"/>
      <c r="R332" s="54"/>
      <c r="S332" s="55"/>
    </row>
    <row r="333" spans="11:19" x14ac:dyDescent="0.25">
      <c r="K333" s="58"/>
      <c r="L333" s="59"/>
      <c r="M333" s="54"/>
      <c r="N333" s="55"/>
      <c r="P333" s="58"/>
      <c r="Q333" s="59"/>
      <c r="R333" s="54"/>
      <c r="S333" s="55"/>
    </row>
    <row r="334" spans="11:19" x14ac:dyDescent="0.25">
      <c r="K334" s="58"/>
      <c r="L334" s="59"/>
      <c r="M334" s="54"/>
      <c r="N334" s="55"/>
      <c r="P334" s="58"/>
      <c r="Q334" s="59"/>
      <c r="R334" s="54"/>
      <c r="S334" s="55"/>
    </row>
    <row r="335" spans="11:19" x14ac:dyDescent="0.25">
      <c r="K335" s="58"/>
      <c r="L335" s="59"/>
      <c r="M335" s="54"/>
      <c r="N335" s="55"/>
      <c r="P335" s="58"/>
      <c r="Q335" s="59"/>
      <c r="R335" s="54"/>
      <c r="S335" s="55"/>
    </row>
    <row r="336" spans="11:19" x14ac:dyDescent="0.25">
      <c r="K336" s="58"/>
      <c r="L336" s="59"/>
      <c r="M336" s="54"/>
      <c r="N336" s="55"/>
      <c r="P336" s="58"/>
      <c r="Q336" s="59"/>
      <c r="R336" s="54"/>
      <c r="S336" s="55"/>
    </row>
    <row r="337" spans="11:19" x14ac:dyDescent="0.25">
      <c r="K337" s="58"/>
      <c r="L337" s="59"/>
      <c r="M337" s="54"/>
      <c r="N337" s="55"/>
      <c r="P337" s="58"/>
      <c r="Q337" s="59"/>
      <c r="R337" s="54"/>
      <c r="S337" s="55"/>
    </row>
    <row r="338" spans="11:19" x14ac:dyDescent="0.25">
      <c r="K338" s="58"/>
      <c r="L338" s="59"/>
      <c r="M338" s="54"/>
      <c r="N338" s="55"/>
      <c r="P338" s="58"/>
      <c r="Q338" s="59"/>
      <c r="R338" s="54"/>
      <c r="S338" s="55"/>
    </row>
    <row r="339" spans="11:19" x14ac:dyDescent="0.25">
      <c r="K339" s="58"/>
      <c r="L339" s="59"/>
      <c r="M339" s="54"/>
      <c r="N339" s="55"/>
      <c r="P339" s="58"/>
      <c r="Q339" s="59"/>
      <c r="R339" s="54"/>
      <c r="S339" s="55"/>
    </row>
    <row r="340" spans="11:19" x14ac:dyDescent="0.25">
      <c r="K340" s="58"/>
      <c r="L340" s="59"/>
      <c r="M340" s="54"/>
      <c r="N340" s="55"/>
      <c r="P340" s="58"/>
      <c r="Q340" s="59"/>
      <c r="R340" s="54"/>
      <c r="S340" s="55"/>
    </row>
    <row r="341" spans="11:19" x14ac:dyDescent="0.25">
      <c r="K341" s="58"/>
      <c r="L341" s="59"/>
      <c r="M341" s="54"/>
      <c r="N341" s="55"/>
      <c r="P341" s="58"/>
      <c r="Q341" s="59"/>
      <c r="R341" s="54"/>
      <c r="S341" s="55"/>
    </row>
    <row r="342" spans="11:19" x14ac:dyDescent="0.25">
      <c r="K342" s="58"/>
      <c r="L342" s="59"/>
      <c r="M342" s="54"/>
      <c r="N342" s="55"/>
      <c r="P342" s="58"/>
      <c r="Q342" s="59"/>
      <c r="R342" s="54"/>
      <c r="S342" s="55"/>
    </row>
    <row r="343" spans="11:19" x14ac:dyDescent="0.25">
      <c r="K343" s="58"/>
      <c r="L343" s="59"/>
      <c r="M343" s="54"/>
      <c r="N343" s="55"/>
      <c r="P343" s="58"/>
      <c r="Q343" s="59"/>
      <c r="R343" s="54"/>
      <c r="S343" s="55"/>
    </row>
    <row r="344" spans="11:19" x14ac:dyDescent="0.25">
      <c r="K344" s="58"/>
      <c r="L344" s="59"/>
      <c r="M344" s="54"/>
      <c r="N344" s="55"/>
      <c r="P344" s="58"/>
      <c r="Q344" s="59"/>
      <c r="R344" s="54"/>
      <c r="S344" s="55"/>
    </row>
    <row r="345" spans="11:19" x14ac:dyDescent="0.25">
      <c r="K345" s="58"/>
      <c r="L345" s="59"/>
      <c r="M345" s="54"/>
      <c r="N345" s="55"/>
      <c r="P345" s="58"/>
      <c r="Q345" s="59"/>
      <c r="R345" s="54"/>
      <c r="S345" s="55"/>
    </row>
    <row r="346" spans="11:19" x14ac:dyDescent="0.25">
      <c r="K346" s="58"/>
      <c r="L346" s="59"/>
      <c r="M346" s="54"/>
      <c r="N346" s="55"/>
      <c r="P346" s="58"/>
      <c r="Q346" s="59"/>
      <c r="R346" s="54"/>
      <c r="S346" s="55"/>
    </row>
    <row r="347" spans="11:19" x14ac:dyDescent="0.25">
      <c r="K347" s="58"/>
      <c r="L347" s="59"/>
      <c r="M347" s="54"/>
      <c r="N347" s="55"/>
      <c r="P347" s="58"/>
      <c r="Q347" s="59"/>
      <c r="R347" s="54"/>
      <c r="S347" s="55"/>
    </row>
    <row r="348" spans="11:19" ht="15.75" thickBot="1" x14ac:dyDescent="0.3">
      <c r="K348" s="60"/>
      <c r="L348" s="61"/>
      <c r="M348" s="56"/>
      <c r="N348" s="57"/>
      <c r="P348" s="60"/>
      <c r="Q348" s="61"/>
      <c r="R348" s="56"/>
      <c r="S348" s="57"/>
    </row>
  </sheetData>
  <mergeCells count="4">
    <mergeCell ref="A8:D8"/>
    <mergeCell ref="F8:I8"/>
    <mergeCell ref="K8:N8"/>
    <mergeCell ref="P8:S8"/>
  </mergeCells>
  <conditionalFormatting sqref="G3">
    <cfRule type="cellIs" dxfId="109" priority="5" operator="greaterThan">
      <formula>$J$4</formula>
    </cfRule>
  </conditionalFormatting>
  <conditionalFormatting sqref="T5">
    <cfRule type="cellIs" dxfId="108" priority="1" operator="greaterThan">
      <formula>$T$6</formula>
    </cfRule>
    <cfRule type="cellIs" dxfId="107" priority="4" operator="lessThan">
      <formula>$T$6</formula>
    </cfRule>
  </conditionalFormatting>
  <conditionalFormatting sqref="T6">
    <cfRule type="cellIs" dxfId="106" priority="2" operator="greaterThan">
      <formula>$T$5</formula>
    </cfRule>
    <cfRule type="cellIs" dxfId="105" priority="3" operator="lessThan">
      <formula>$T$5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EE4C82-839E-4474-9882-121124F04B0C}">
  <sheetPr codeName="Sheet31"/>
  <dimension ref="A1:T348"/>
  <sheetViews>
    <sheetView zoomScale="90" zoomScaleNormal="90" workbookViewId="0">
      <pane ySplit="9" topLeftCell="A10" activePane="bottomLeft" state="frozen"/>
      <selection pane="bottomLeft" activeCell="A13" sqref="A13"/>
    </sheetView>
  </sheetViews>
  <sheetFormatPr baseColWidth="10" defaultColWidth="9.140625" defaultRowHeight="15" x14ac:dyDescent="0.25"/>
  <cols>
    <col min="2" max="2" width="11.85546875" bestFit="1" customWidth="1"/>
    <col min="3" max="3" width="17.140625" bestFit="1" customWidth="1"/>
    <col min="4" max="4" width="14.5703125" customWidth="1"/>
    <col min="5" max="7" width="14.5703125" bestFit="1" customWidth="1"/>
    <col min="8" max="8" width="18.7109375" bestFit="1" customWidth="1"/>
    <col min="9" max="9" width="16.28515625" bestFit="1" customWidth="1"/>
    <col min="10" max="10" width="14" bestFit="1" customWidth="1"/>
    <col min="12" max="12" width="11.85546875" bestFit="1" customWidth="1"/>
    <col min="13" max="13" width="17.140625" bestFit="1" customWidth="1"/>
    <col min="14" max="14" width="14.42578125" bestFit="1" customWidth="1"/>
    <col min="15" max="15" width="8.7109375" customWidth="1"/>
    <col min="17" max="17" width="14.85546875" bestFit="1" customWidth="1"/>
    <col min="18" max="18" width="17.140625" bestFit="1" customWidth="1"/>
    <col min="19" max="19" width="14.85546875" bestFit="1" customWidth="1"/>
    <col min="20" max="20" width="12.42578125" bestFit="1" customWidth="1"/>
    <col min="22" max="23" width="14.5703125" bestFit="1" customWidth="1"/>
    <col min="24" max="24" width="15.85546875" bestFit="1" customWidth="1"/>
    <col min="26" max="26" width="15.85546875" bestFit="1" customWidth="1"/>
  </cols>
  <sheetData>
    <row r="1" spans="1:20" ht="15.75" thickBot="1" x14ac:dyDescent="0.3">
      <c r="C1" s="1" t="s">
        <v>0</v>
      </c>
      <c r="D1" s="2" t="s">
        <v>1</v>
      </c>
      <c r="E1" s="1" t="s">
        <v>2</v>
      </c>
      <c r="F1" s="2" t="s">
        <v>3</v>
      </c>
      <c r="G1" s="63" t="s">
        <v>4</v>
      </c>
      <c r="H1" s="81" t="s">
        <v>24</v>
      </c>
      <c r="I1" s="66" t="s">
        <v>5</v>
      </c>
      <c r="J1" s="3">
        <v>368</v>
      </c>
      <c r="M1" s="1" t="s">
        <v>5</v>
      </c>
      <c r="N1" s="4" t="s">
        <v>6</v>
      </c>
      <c r="P1" t="s">
        <v>0</v>
      </c>
      <c r="Q1">
        <f>SUM(E10:E54)</f>
        <v>3</v>
      </c>
      <c r="R1" t="s">
        <v>2</v>
      </c>
      <c r="S1">
        <f>(M3/M2)*Q1</f>
        <v>2</v>
      </c>
      <c r="T1">
        <f>S1-1</f>
        <v>1</v>
      </c>
    </row>
    <row r="2" spans="1:20" ht="15.75" thickBot="1" x14ac:dyDescent="0.3">
      <c r="B2" s="5" t="s">
        <v>7</v>
      </c>
      <c r="C2" s="6">
        <f>SUMPRODUCT(C10:C118,E10:E118)</f>
        <v>2272886</v>
      </c>
      <c r="D2" s="7">
        <f>SUMPRODUCT(H10:H118,J10:J118)</f>
        <v>0</v>
      </c>
      <c r="E2" s="6">
        <f>SUMPRODUCT(M10:M348,O10:O348)</f>
        <v>1679629</v>
      </c>
      <c r="F2" s="7">
        <f>SUMPRODUCT(R10:R348,T10:T348)</f>
        <v>0</v>
      </c>
      <c r="G2" s="64">
        <f>C2+D2+E2+F2</f>
        <v>3952515</v>
      </c>
      <c r="H2" s="82">
        <v>24786935</v>
      </c>
      <c r="I2" s="67" t="s">
        <v>6</v>
      </c>
      <c r="J2" s="8">
        <v>334</v>
      </c>
      <c r="L2" s="5" t="s">
        <v>8</v>
      </c>
      <c r="M2" s="9">
        <v>0.6</v>
      </c>
      <c r="N2" s="10">
        <v>0.25</v>
      </c>
      <c r="P2" t="s">
        <v>3</v>
      </c>
      <c r="Q2">
        <f>SUM(T10:T64)</f>
        <v>0</v>
      </c>
      <c r="R2" t="s">
        <v>1</v>
      </c>
      <c r="S2">
        <f>(N2/N3)*Q2</f>
        <v>0</v>
      </c>
    </row>
    <row r="3" spans="1:20" ht="15.75" thickBot="1" x14ac:dyDescent="0.3">
      <c r="B3" s="11" t="s">
        <v>9</v>
      </c>
      <c r="C3" s="12">
        <f>SUMPRODUCT(B10:B118,E10:E118)</f>
        <v>90.978260869565219</v>
      </c>
      <c r="D3" s="13">
        <f>SUMPRODUCT(G10:G118,J10:J118)</f>
        <v>0</v>
      </c>
      <c r="E3" s="12">
        <f>SUMPRODUCT(L10:L348,O10:O348)</f>
        <v>60.652173913043477</v>
      </c>
      <c r="F3" s="13">
        <f>SUMPRODUCT(Q10:Q348,T10:T348)</f>
        <v>0</v>
      </c>
      <c r="G3" s="65">
        <f>SUM(C3:F3)</f>
        <v>151.63043478260869</v>
      </c>
      <c r="H3" s="80">
        <f>(H2-G2)/G2</f>
        <v>5.2711805015287734</v>
      </c>
      <c r="I3" s="67" t="s">
        <v>10</v>
      </c>
      <c r="J3" s="8">
        <f>11160</f>
        <v>11160</v>
      </c>
      <c r="L3" s="14" t="s">
        <v>11</v>
      </c>
      <c r="M3" s="15">
        <v>0.4</v>
      </c>
      <c r="N3" s="16">
        <v>0.75</v>
      </c>
      <c r="P3" t="s">
        <v>0</v>
      </c>
      <c r="Q3">
        <v>1</v>
      </c>
      <c r="R3" t="s">
        <v>2</v>
      </c>
      <c r="S3">
        <f>(M3/M2)*Q3</f>
        <v>0.66666666666666674</v>
      </c>
    </row>
    <row r="4" spans="1:20" ht="15.75" thickBot="1" x14ac:dyDescent="0.3">
      <c r="B4" s="14" t="s">
        <v>12</v>
      </c>
      <c r="C4" s="17">
        <f>SUM(E10:E118)*J3</f>
        <v>33480</v>
      </c>
      <c r="D4" s="18">
        <f>SUM(J10:J118)*J3</f>
        <v>0</v>
      </c>
      <c r="E4" s="17">
        <f>SUM(O10:O348)*J3</f>
        <v>22320</v>
      </c>
      <c r="F4" s="18">
        <f>SUM(T10:T348)*J3</f>
        <v>0</v>
      </c>
      <c r="G4" s="19">
        <f>SUM(C4:F4)</f>
        <v>55800</v>
      </c>
      <c r="H4" s="20"/>
      <c r="I4" s="21" t="s">
        <v>13</v>
      </c>
      <c r="J4" s="22">
        <v>100000</v>
      </c>
      <c r="L4" s="5" t="s">
        <v>14</v>
      </c>
      <c r="M4" s="76">
        <f>C4/(C4+E4)</f>
        <v>0.6</v>
      </c>
      <c r="N4" s="77" t="e">
        <f>D4/(D4+F4)</f>
        <v>#DIV/0!</v>
      </c>
      <c r="O4" s="23"/>
      <c r="P4" t="s">
        <v>3</v>
      </c>
      <c r="Q4">
        <v>1</v>
      </c>
      <c r="R4" t="s">
        <v>1</v>
      </c>
      <c r="S4">
        <f>(N2/N3)*Q4</f>
        <v>0.33333333333333331</v>
      </c>
    </row>
    <row r="5" spans="1:20" ht="15.75" thickBot="1" x14ac:dyDescent="0.3">
      <c r="B5" s="24" t="s">
        <v>15</v>
      </c>
      <c r="C5" s="25">
        <v>217620</v>
      </c>
      <c r="D5" s="26">
        <v>74400</v>
      </c>
      <c r="E5" s="27">
        <v>145080</v>
      </c>
      <c r="F5" s="26">
        <v>223200</v>
      </c>
      <c r="G5" s="28">
        <f>SUM(C5:F5)</f>
        <v>660300</v>
      </c>
      <c r="H5" s="20"/>
      <c r="I5" s="20"/>
      <c r="L5" s="29" t="s">
        <v>16</v>
      </c>
      <c r="M5" s="78">
        <f>E4/(C4+E4)</f>
        <v>0.4</v>
      </c>
      <c r="N5" s="79" t="e">
        <f>F4/(D4+F4)</f>
        <v>#DIV/0!</v>
      </c>
      <c r="O5" s="23"/>
      <c r="P5" t="s">
        <v>0</v>
      </c>
      <c r="Q5" s="88">
        <v>23112.873118279571</v>
      </c>
      <c r="R5" t="s">
        <v>2</v>
      </c>
      <c r="S5" s="88">
        <v>25979.843727598567</v>
      </c>
      <c r="T5">
        <f>Q5*Q3+S5*S3</f>
        <v>40432.768936678622</v>
      </c>
    </row>
    <row r="6" spans="1:20" ht="15.75" thickBot="1" x14ac:dyDescent="0.3">
      <c r="B6" s="24" t="s">
        <v>17</v>
      </c>
      <c r="C6" s="27">
        <f>C5-C4</f>
        <v>184140</v>
      </c>
      <c r="D6" s="30">
        <f>D5-D4</f>
        <v>74400</v>
      </c>
      <c r="E6" s="27">
        <f>E5-E4</f>
        <v>122760</v>
      </c>
      <c r="F6" s="30">
        <f>F5-F4</f>
        <v>223200</v>
      </c>
      <c r="H6" s="20"/>
      <c r="I6" s="20"/>
      <c r="J6" s="62"/>
      <c r="N6" s="23"/>
      <c r="O6" s="23"/>
      <c r="P6" t="s">
        <v>3</v>
      </c>
      <c r="Q6" s="88">
        <v>24785.014695340502</v>
      </c>
      <c r="R6" t="s">
        <v>1</v>
      </c>
      <c r="S6" s="88">
        <v>25114.615232974909</v>
      </c>
      <c r="T6">
        <f>Q6*Q4+S6*S4</f>
        <v>33156.55310633214</v>
      </c>
    </row>
    <row r="7" spans="1:20" ht="15.75" thickBot="1" x14ac:dyDescent="0.3"/>
    <row r="8" spans="1:20" ht="15.75" thickBot="1" x14ac:dyDescent="0.3">
      <c r="A8" s="113" t="s">
        <v>18</v>
      </c>
      <c r="B8" s="114"/>
      <c r="C8" s="114"/>
      <c r="D8" s="115"/>
      <c r="E8" s="31"/>
      <c r="F8" s="113" t="s">
        <v>19</v>
      </c>
      <c r="G8" s="114"/>
      <c r="H8" s="114"/>
      <c r="I8" s="115"/>
      <c r="J8" s="31"/>
      <c r="K8" s="113" t="s">
        <v>20</v>
      </c>
      <c r="L8" s="114"/>
      <c r="M8" s="114"/>
      <c r="N8" s="115"/>
      <c r="O8" s="31"/>
      <c r="P8" s="113" t="s">
        <v>21</v>
      </c>
      <c r="Q8" s="114"/>
      <c r="R8" s="114"/>
      <c r="S8" s="115"/>
    </row>
    <row r="9" spans="1:20" ht="15.75" thickBot="1" x14ac:dyDescent="0.3">
      <c r="A9" s="32" t="s">
        <v>22</v>
      </c>
      <c r="B9" s="33" t="s">
        <v>9</v>
      </c>
      <c r="C9" s="33" t="s">
        <v>7</v>
      </c>
      <c r="D9" s="34" t="s">
        <v>23</v>
      </c>
      <c r="E9" s="31"/>
      <c r="F9" s="32" t="s">
        <v>22</v>
      </c>
      <c r="G9" s="33" t="s">
        <v>9</v>
      </c>
      <c r="H9" s="33" t="s">
        <v>7</v>
      </c>
      <c r="I9" s="34" t="s">
        <v>23</v>
      </c>
      <c r="J9" s="31"/>
      <c r="K9" s="32" t="s">
        <v>22</v>
      </c>
      <c r="L9" s="33" t="s">
        <v>9</v>
      </c>
      <c r="M9" s="33" t="s">
        <v>7</v>
      </c>
      <c r="N9" s="34" t="s">
        <v>23</v>
      </c>
      <c r="O9" s="31"/>
      <c r="P9" s="35" t="s">
        <v>22</v>
      </c>
      <c r="Q9" s="36" t="s">
        <v>9</v>
      </c>
      <c r="R9" s="36" t="s">
        <v>7</v>
      </c>
      <c r="S9" s="37" t="s">
        <v>23</v>
      </c>
    </row>
    <row r="10" spans="1:20" x14ac:dyDescent="0.25">
      <c r="A10" s="38">
        <v>15</v>
      </c>
      <c r="B10" s="39">
        <f>$J$3/$J$1</f>
        <v>30.326086956521738</v>
      </c>
      <c r="C10" s="40">
        <v>823261</v>
      </c>
      <c r="D10" s="41">
        <f>C10/B10</f>
        <v>27146.957706093192</v>
      </c>
      <c r="E10">
        <v>1</v>
      </c>
      <c r="F10" s="86">
        <v>9</v>
      </c>
      <c r="G10" s="68">
        <f>$J$3/$J$2</f>
        <v>33.41317365269461</v>
      </c>
      <c r="H10" s="87">
        <v>839159</v>
      </c>
      <c r="I10" s="69">
        <f>H10/G10</f>
        <v>25114.615232974909</v>
      </c>
      <c r="K10" s="38">
        <v>99</v>
      </c>
      <c r="L10" s="39">
        <f>$J$3/$J$1</f>
        <v>30.326086956521738</v>
      </c>
      <c r="M10" s="40">
        <v>891762</v>
      </c>
      <c r="N10" s="41">
        <f>M10/L10</f>
        <v>29405.772043010755</v>
      </c>
      <c r="O10">
        <v>1</v>
      </c>
      <c r="P10" s="86">
        <v>31</v>
      </c>
      <c r="Q10" s="68">
        <f>$J$3/$J$2</f>
        <v>33.41317365269461</v>
      </c>
      <c r="R10" s="87">
        <v>828146</v>
      </c>
      <c r="S10" s="69">
        <f>R10/Q10</f>
        <v>24785.014695340502</v>
      </c>
    </row>
    <row r="11" spans="1:20" x14ac:dyDescent="0.25">
      <c r="A11" s="46">
        <v>4</v>
      </c>
      <c r="B11" s="39">
        <f t="shared" ref="B11:B54" si="0">$J$3/$J$1</f>
        <v>30.326086956521738</v>
      </c>
      <c r="C11" s="47">
        <v>748702</v>
      </c>
      <c r="D11" s="41">
        <f t="shared" ref="D11:D54" si="1">C11/B11</f>
        <v>24688.381362007171</v>
      </c>
      <c r="E11">
        <v>1</v>
      </c>
      <c r="F11" s="58">
        <v>1</v>
      </c>
      <c r="G11" s="68">
        <f t="shared" ref="G11:G54" si="2">$J$3/$J$2</f>
        <v>33.41317365269461</v>
      </c>
      <c r="H11" s="54">
        <v>816679</v>
      </c>
      <c r="I11" s="69">
        <f t="shared" ref="I11:I54" si="3">H11/G11</f>
        <v>24441.826702508963</v>
      </c>
      <c r="K11" s="46">
        <v>22</v>
      </c>
      <c r="L11" s="39">
        <f t="shared" ref="L11:L64" si="4">$J$3/$J$1</f>
        <v>30.326086956521738</v>
      </c>
      <c r="M11" s="47">
        <v>787867</v>
      </c>
      <c r="N11" s="41">
        <f t="shared" ref="N11:N64" si="5">M11/L11</f>
        <v>25979.843727598567</v>
      </c>
      <c r="O11">
        <v>1</v>
      </c>
      <c r="P11" s="58">
        <v>95</v>
      </c>
      <c r="Q11" s="68">
        <f t="shared" ref="Q11:Q64" si="6">$J$3/$J$2</f>
        <v>33.41317365269461</v>
      </c>
      <c r="R11" s="54">
        <v>778683</v>
      </c>
      <c r="S11" s="69">
        <f t="shared" ref="S11:S64" si="7">R11/Q11</f>
        <v>23304.670430107526</v>
      </c>
    </row>
    <row r="12" spans="1:20" x14ac:dyDescent="0.25">
      <c r="A12" s="46">
        <v>75</v>
      </c>
      <c r="B12" s="39">
        <f t="shared" si="0"/>
        <v>30.326086956521738</v>
      </c>
      <c r="C12" s="47">
        <v>700923</v>
      </c>
      <c r="D12" s="41">
        <f t="shared" si="1"/>
        <v>23112.873118279571</v>
      </c>
      <c r="E12">
        <v>1</v>
      </c>
      <c r="F12" s="58">
        <v>3</v>
      </c>
      <c r="G12" s="68">
        <f t="shared" si="2"/>
        <v>33.41317365269461</v>
      </c>
      <c r="H12" s="54">
        <v>637399</v>
      </c>
      <c r="I12" s="69">
        <f t="shared" si="3"/>
        <v>19076.278315412186</v>
      </c>
      <c r="K12" s="58">
        <v>83</v>
      </c>
      <c r="L12" s="68">
        <f t="shared" si="4"/>
        <v>30.326086956521738</v>
      </c>
      <c r="M12" s="54">
        <v>776669</v>
      </c>
      <c r="N12" s="69">
        <f t="shared" si="5"/>
        <v>25610.590681003585</v>
      </c>
      <c r="P12" s="58">
        <v>32</v>
      </c>
      <c r="Q12" s="68">
        <f t="shared" si="6"/>
        <v>33.41317365269461</v>
      </c>
      <c r="R12" s="54">
        <v>742165</v>
      </c>
      <c r="S12" s="69">
        <f t="shared" si="7"/>
        <v>22211.748207885306</v>
      </c>
    </row>
    <row r="13" spans="1:20" x14ac:dyDescent="0.25">
      <c r="A13" s="58">
        <v>61</v>
      </c>
      <c r="B13" s="68">
        <f t="shared" si="0"/>
        <v>30.326086956521738</v>
      </c>
      <c r="C13" s="54">
        <v>594344</v>
      </c>
      <c r="D13" s="69">
        <f t="shared" si="1"/>
        <v>19598.440143369175</v>
      </c>
      <c r="F13" s="58">
        <v>89</v>
      </c>
      <c r="G13" s="68">
        <f t="shared" si="2"/>
        <v>33.41317365269461</v>
      </c>
      <c r="H13" s="54">
        <v>626952</v>
      </c>
      <c r="I13" s="69">
        <f t="shared" si="3"/>
        <v>18763.617204301077</v>
      </c>
      <c r="K13" s="58">
        <v>57</v>
      </c>
      <c r="L13" s="68">
        <f t="shared" si="4"/>
        <v>30.326086956521738</v>
      </c>
      <c r="M13" s="54">
        <v>764937</v>
      </c>
      <c r="N13" s="69">
        <f t="shared" si="5"/>
        <v>25223.729032258067</v>
      </c>
      <c r="P13" s="58">
        <v>86</v>
      </c>
      <c r="Q13" s="68">
        <f t="shared" si="6"/>
        <v>33.41317365269461</v>
      </c>
      <c r="R13" s="54">
        <v>708838</v>
      </c>
      <c r="S13" s="69">
        <f t="shared" si="7"/>
        <v>21214.327240143371</v>
      </c>
    </row>
    <row r="14" spans="1:20" x14ac:dyDescent="0.25">
      <c r="A14" s="58">
        <v>2</v>
      </c>
      <c r="B14" s="68">
        <f t="shared" si="0"/>
        <v>30.326086956521738</v>
      </c>
      <c r="C14" s="54">
        <v>573963</v>
      </c>
      <c r="D14" s="69">
        <f t="shared" si="1"/>
        <v>18926.378494623656</v>
      </c>
      <c r="F14" s="58">
        <v>74</v>
      </c>
      <c r="G14" s="68">
        <f t="shared" si="2"/>
        <v>33.41317365269461</v>
      </c>
      <c r="H14" s="54">
        <v>528188</v>
      </c>
      <c r="I14" s="69">
        <f t="shared" si="3"/>
        <v>15807.7770609319</v>
      </c>
      <c r="K14" s="58">
        <v>33</v>
      </c>
      <c r="L14" s="68">
        <f t="shared" si="4"/>
        <v>30.326086956521738</v>
      </c>
      <c r="M14" s="54">
        <v>739492</v>
      </c>
      <c r="N14" s="69">
        <f t="shared" si="5"/>
        <v>24384.682437275987</v>
      </c>
      <c r="P14" s="58">
        <v>44</v>
      </c>
      <c r="Q14" s="68">
        <f t="shared" si="6"/>
        <v>33.41317365269461</v>
      </c>
      <c r="R14" s="54">
        <v>644475</v>
      </c>
      <c r="S14" s="69">
        <f t="shared" si="7"/>
        <v>19288.051075268817</v>
      </c>
    </row>
    <row r="15" spans="1:20" x14ac:dyDescent="0.25">
      <c r="A15" s="58">
        <v>66</v>
      </c>
      <c r="B15" s="68">
        <f t="shared" si="0"/>
        <v>30.326086956521738</v>
      </c>
      <c r="C15" s="54">
        <v>543888</v>
      </c>
      <c r="D15" s="69">
        <f t="shared" si="1"/>
        <v>17934.65806451613</v>
      </c>
      <c r="F15" s="58">
        <v>7</v>
      </c>
      <c r="G15" s="68">
        <f t="shared" si="2"/>
        <v>33.41317365269461</v>
      </c>
      <c r="H15" s="54">
        <v>517706</v>
      </c>
      <c r="I15" s="69">
        <f t="shared" si="3"/>
        <v>15494.068458781363</v>
      </c>
      <c r="K15" s="58">
        <v>34</v>
      </c>
      <c r="L15" s="68">
        <f t="shared" si="4"/>
        <v>30.326086956521738</v>
      </c>
      <c r="M15" s="54">
        <v>706466</v>
      </c>
      <c r="N15" s="69">
        <f t="shared" si="5"/>
        <v>23295.653046594984</v>
      </c>
      <c r="P15" s="58">
        <v>43</v>
      </c>
      <c r="Q15" s="68">
        <f t="shared" si="6"/>
        <v>33.41317365269461</v>
      </c>
      <c r="R15" s="54">
        <v>600711</v>
      </c>
      <c r="S15" s="69">
        <f t="shared" si="7"/>
        <v>17978.268279569893</v>
      </c>
    </row>
    <row r="16" spans="1:20" x14ac:dyDescent="0.25">
      <c r="A16" s="58">
        <v>9</v>
      </c>
      <c r="B16" s="68">
        <f t="shared" si="0"/>
        <v>30.326086956521738</v>
      </c>
      <c r="C16" s="54">
        <v>458407</v>
      </c>
      <c r="D16" s="69">
        <f t="shared" si="1"/>
        <v>15115.929749103943</v>
      </c>
      <c r="F16" s="58">
        <v>16</v>
      </c>
      <c r="G16" s="68">
        <f t="shared" si="2"/>
        <v>33.41317365269461</v>
      </c>
      <c r="H16" s="54">
        <v>471825</v>
      </c>
      <c r="I16" s="69">
        <f t="shared" si="3"/>
        <v>14120.927419354839</v>
      </c>
      <c r="K16" s="58">
        <v>54</v>
      </c>
      <c r="L16" s="68">
        <f t="shared" si="4"/>
        <v>30.326086956521738</v>
      </c>
      <c r="M16" s="54">
        <v>704680</v>
      </c>
      <c r="N16" s="69">
        <f t="shared" si="5"/>
        <v>23236.759856630826</v>
      </c>
      <c r="P16" s="58">
        <v>54</v>
      </c>
      <c r="Q16" s="68">
        <f t="shared" si="6"/>
        <v>33.41317365269461</v>
      </c>
      <c r="R16" s="54">
        <v>600526</v>
      </c>
      <c r="S16" s="69">
        <f t="shared" si="7"/>
        <v>17972.73154121864</v>
      </c>
    </row>
    <row r="17" spans="1:20" x14ac:dyDescent="0.25">
      <c r="A17" s="58">
        <v>6</v>
      </c>
      <c r="B17" s="68">
        <f t="shared" si="0"/>
        <v>30.326086956521738</v>
      </c>
      <c r="C17" s="54">
        <v>413342</v>
      </c>
      <c r="D17" s="69">
        <f t="shared" si="1"/>
        <v>13629.915412186379</v>
      </c>
      <c r="F17" s="58">
        <v>20</v>
      </c>
      <c r="G17" s="68">
        <f t="shared" si="2"/>
        <v>33.41317365269461</v>
      </c>
      <c r="H17" s="54">
        <v>465526</v>
      </c>
      <c r="I17" s="69">
        <f t="shared" si="3"/>
        <v>13932.408960573477</v>
      </c>
      <c r="K17" s="58">
        <v>46</v>
      </c>
      <c r="L17" s="68">
        <f t="shared" si="4"/>
        <v>30.326086956521738</v>
      </c>
      <c r="M17" s="54">
        <v>647685</v>
      </c>
      <c r="N17" s="69">
        <f t="shared" si="5"/>
        <v>21357.354838709678</v>
      </c>
      <c r="P17" s="58">
        <v>33</v>
      </c>
      <c r="Q17" s="68">
        <f t="shared" si="6"/>
        <v>33.41317365269461</v>
      </c>
      <c r="R17" s="54">
        <v>533105</v>
      </c>
      <c r="S17" s="69">
        <f t="shared" si="7"/>
        <v>15954.934587813621</v>
      </c>
    </row>
    <row r="18" spans="1:20" x14ac:dyDescent="0.25">
      <c r="A18" s="58">
        <v>90</v>
      </c>
      <c r="B18" s="68">
        <f t="shared" si="0"/>
        <v>30.326086956521738</v>
      </c>
      <c r="C18" s="54">
        <v>390167</v>
      </c>
      <c r="D18" s="69">
        <f t="shared" si="1"/>
        <v>12865.721863799283</v>
      </c>
      <c r="F18" s="58">
        <v>71</v>
      </c>
      <c r="G18" s="68">
        <f t="shared" si="2"/>
        <v>33.41317365269461</v>
      </c>
      <c r="H18" s="54">
        <v>459240</v>
      </c>
      <c r="I18" s="69">
        <f t="shared" si="3"/>
        <v>13744.279569892473</v>
      </c>
      <c r="K18" s="58">
        <v>35</v>
      </c>
      <c r="L18" s="68">
        <f t="shared" si="4"/>
        <v>30.326086956521738</v>
      </c>
      <c r="M18" s="54">
        <v>520964</v>
      </c>
      <c r="N18" s="69">
        <f t="shared" si="5"/>
        <v>17178.741218637992</v>
      </c>
      <c r="P18" s="58">
        <v>29</v>
      </c>
      <c r="Q18" s="68">
        <f t="shared" si="6"/>
        <v>33.41317365269461</v>
      </c>
      <c r="R18" s="54">
        <v>466819</v>
      </c>
      <c r="S18" s="69">
        <f t="shared" si="7"/>
        <v>13971.106272401434</v>
      </c>
    </row>
    <row r="19" spans="1:20" x14ac:dyDescent="0.25">
      <c r="A19" s="58">
        <v>10</v>
      </c>
      <c r="B19" s="68">
        <f t="shared" si="0"/>
        <v>30.326086956521738</v>
      </c>
      <c r="C19" s="54">
        <v>374487</v>
      </c>
      <c r="D19" s="69">
        <f t="shared" si="1"/>
        <v>12348.675268817206</v>
      </c>
      <c r="F19" s="58">
        <v>73</v>
      </c>
      <c r="G19" s="68">
        <f t="shared" si="2"/>
        <v>33.41317365269461</v>
      </c>
      <c r="H19" s="54">
        <v>435675</v>
      </c>
      <c r="I19" s="69">
        <f t="shared" si="3"/>
        <v>13039.018817204302</v>
      </c>
      <c r="K19" s="58">
        <v>28</v>
      </c>
      <c r="L19" s="68">
        <f t="shared" si="4"/>
        <v>30.326086956521738</v>
      </c>
      <c r="M19" s="54">
        <v>485282</v>
      </c>
      <c r="N19" s="69">
        <f t="shared" si="5"/>
        <v>16002.130465949822</v>
      </c>
      <c r="P19" s="58">
        <v>39</v>
      </c>
      <c r="Q19" s="68">
        <f t="shared" si="6"/>
        <v>33.41317365269461</v>
      </c>
      <c r="R19" s="54">
        <v>443533</v>
      </c>
      <c r="S19" s="69">
        <f t="shared" si="7"/>
        <v>13274.195519713261</v>
      </c>
    </row>
    <row r="20" spans="1:20" x14ac:dyDescent="0.25">
      <c r="A20" s="58">
        <v>72</v>
      </c>
      <c r="B20" s="68">
        <f t="shared" si="0"/>
        <v>30.326086956521738</v>
      </c>
      <c r="C20" s="54">
        <v>339217</v>
      </c>
      <c r="D20" s="69">
        <f t="shared" si="1"/>
        <v>11185.65017921147</v>
      </c>
      <c r="F20" s="95">
        <v>4</v>
      </c>
      <c r="G20" s="96">
        <f t="shared" si="2"/>
        <v>33.41317365269461</v>
      </c>
      <c r="H20" s="97">
        <v>435251</v>
      </c>
      <c r="I20" s="98">
        <f t="shared" si="3"/>
        <v>13026.329211469534</v>
      </c>
      <c r="J20">
        <v>0</v>
      </c>
      <c r="K20" s="58">
        <v>25</v>
      </c>
      <c r="L20" s="68">
        <f t="shared" si="4"/>
        <v>30.326086956521738</v>
      </c>
      <c r="M20" s="54">
        <v>428682</v>
      </c>
      <c r="N20" s="69">
        <f t="shared" si="5"/>
        <v>14135.750537634409</v>
      </c>
      <c r="P20" s="58">
        <v>85</v>
      </c>
      <c r="Q20" s="68">
        <f t="shared" si="6"/>
        <v>33.41317365269461</v>
      </c>
      <c r="R20" s="54">
        <v>400656</v>
      </c>
      <c r="S20" s="69">
        <f t="shared" si="7"/>
        <v>11990.959139784947</v>
      </c>
    </row>
    <row r="21" spans="1:20" x14ac:dyDescent="0.25">
      <c r="A21" s="58">
        <v>63</v>
      </c>
      <c r="B21" s="68">
        <f t="shared" si="0"/>
        <v>30.326086956521738</v>
      </c>
      <c r="C21" s="54">
        <v>148379</v>
      </c>
      <c r="D21" s="69">
        <f t="shared" si="1"/>
        <v>4892.7842293906815</v>
      </c>
      <c r="F21" s="58">
        <v>58</v>
      </c>
      <c r="G21" s="68">
        <f t="shared" si="2"/>
        <v>33.41317365269461</v>
      </c>
      <c r="H21" s="54">
        <v>425212</v>
      </c>
      <c r="I21" s="69">
        <f t="shared" si="3"/>
        <v>12725.878853046595</v>
      </c>
      <c r="K21" s="58">
        <v>53</v>
      </c>
      <c r="L21" s="68">
        <f t="shared" si="4"/>
        <v>30.326086956521738</v>
      </c>
      <c r="M21" s="54">
        <v>427876</v>
      </c>
      <c r="N21" s="69">
        <f t="shared" si="5"/>
        <v>14109.17275985663</v>
      </c>
      <c r="P21" s="58">
        <v>51</v>
      </c>
      <c r="Q21" s="68">
        <f t="shared" si="6"/>
        <v>33.41317365269461</v>
      </c>
      <c r="R21" s="54">
        <v>295735</v>
      </c>
      <c r="S21" s="69">
        <f t="shared" si="7"/>
        <v>8850.8503584229402</v>
      </c>
    </row>
    <row r="22" spans="1:20" x14ac:dyDescent="0.25">
      <c r="A22" s="58">
        <v>5</v>
      </c>
      <c r="B22" s="68">
        <f t="shared" si="0"/>
        <v>30.326086956521738</v>
      </c>
      <c r="C22" s="54">
        <v>135603</v>
      </c>
      <c r="D22" s="69">
        <f t="shared" si="1"/>
        <v>4471.4967741935488</v>
      </c>
      <c r="F22" s="58">
        <v>69</v>
      </c>
      <c r="G22" s="68">
        <f t="shared" si="2"/>
        <v>33.41317365269461</v>
      </c>
      <c r="H22" s="54">
        <v>301059</v>
      </c>
      <c r="I22" s="69">
        <f t="shared" si="3"/>
        <v>9010.188709677419</v>
      </c>
      <c r="K22" s="58">
        <v>30</v>
      </c>
      <c r="L22" s="68">
        <f t="shared" si="4"/>
        <v>30.326086956521738</v>
      </c>
      <c r="M22" s="54">
        <v>412457</v>
      </c>
      <c r="N22" s="69">
        <f t="shared" si="5"/>
        <v>13600.732616487456</v>
      </c>
      <c r="P22" s="58">
        <v>84</v>
      </c>
      <c r="Q22" s="68">
        <f t="shared" si="6"/>
        <v>33.41317365269461</v>
      </c>
      <c r="R22" s="54">
        <v>277116</v>
      </c>
      <c r="S22" s="69">
        <f t="shared" si="7"/>
        <v>8293.6150537634403</v>
      </c>
    </row>
    <row r="23" spans="1:20" x14ac:dyDescent="0.25">
      <c r="A23" s="58">
        <v>89</v>
      </c>
      <c r="B23" s="68">
        <f t="shared" si="0"/>
        <v>30.326086956521738</v>
      </c>
      <c r="C23" s="54">
        <v>43767</v>
      </c>
      <c r="D23" s="69">
        <f t="shared" si="1"/>
        <v>1443.2129032258065</v>
      </c>
      <c r="F23" s="58">
        <v>91</v>
      </c>
      <c r="G23" s="68">
        <f t="shared" si="2"/>
        <v>33.41317365269461</v>
      </c>
      <c r="H23" s="54">
        <v>248437</v>
      </c>
      <c r="I23" s="69">
        <f t="shared" si="3"/>
        <v>7435.3008960573479</v>
      </c>
      <c r="K23" s="58">
        <v>45</v>
      </c>
      <c r="L23" s="68">
        <f t="shared" si="4"/>
        <v>30.326086956521738</v>
      </c>
      <c r="M23" s="54">
        <v>411553</v>
      </c>
      <c r="N23" s="69">
        <f t="shared" si="5"/>
        <v>13570.923297491039</v>
      </c>
      <c r="P23" s="58">
        <v>100</v>
      </c>
      <c r="Q23" s="68">
        <f t="shared" si="6"/>
        <v>33.41317365269461</v>
      </c>
      <c r="R23" s="54">
        <v>196154</v>
      </c>
      <c r="S23" s="69">
        <f t="shared" si="7"/>
        <v>5870.5587813620077</v>
      </c>
    </row>
    <row r="24" spans="1:20" x14ac:dyDescent="0.25">
      <c r="A24" s="58">
        <v>8</v>
      </c>
      <c r="B24" s="68">
        <f t="shared" si="0"/>
        <v>30.326086956521738</v>
      </c>
      <c r="C24" s="54">
        <v>-31569</v>
      </c>
      <c r="D24" s="69">
        <f t="shared" si="1"/>
        <v>-1040.9849462365592</v>
      </c>
      <c r="F24" s="95">
        <v>75</v>
      </c>
      <c r="G24" s="96">
        <f t="shared" si="2"/>
        <v>33.41317365269461</v>
      </c>
      <c r="H24" s="97">
        <v>241104</v>
      </c>
      <c r="I24" s="98">
        <f t="shared" si="3"/>
        <v>7215.8365591397851</v>
      </c>
      <c r="J24">
        <v>0</v>
      </c>
      <c r="K24" s="58">
        <v>43</v>
      </c>
      <c r="L24" s="68">
        <f t="shared" si="4"/>
        <v>30.326086956521738</v>
      </c>
      <c r="M24" s="54">
        <v>287718</v>
      </c>
      <c r="N24" s="69">
        <f t="shared" si="5"/>
        <v>9487.4752688172048</v>
      </c>
      <c r="P24" s="58">
        <v>56</v>
      </c>
      <c r="Q24" s="68">
        <f t="shared" si="6"/>
        <v>33.41317365269461</v>
      </c>
      <c r="R24" s="54">
        <v>175558</v>
      </c>
      <c r="S24" s="69">
        <f t="shared" si="7"/>
        <v>5254.1551971326162</v>
      </c>
    </row>
    <row r="25" spans="1:20" x14ac:dyDescent="0.25">
      <c r="A25" s="58">
        <v>62</v>
      </c>
      <c r="B25" s="68">
        <f t="shared" si="0"/>
        <v>30.326086956521738</v>
      </c>
      <c r="C25" s="54">
        <v>-50310</v>
      </c>
      <c r="D25" s="69">
        <f t="shared" si="1"/>
        <v>-1658.9677419354839</v>
      </c>
      <c r="F25" s="58">
        <v>21</v>
      </c>
      <c r="G25" s="68">
        <f t="shared" si="2"/>
        <v>33.41317365269461</v>
      </c>
      <c r="H25" s="54">
        <v>182068</v>
      </c>
      <c r="I25" s="69">
        <f t="shared" si="3"/>
        <v>5448.9885304659501</v>
      </c>
      <c r="K25" s="58">
        <v>47</v>
      </c>
      <c r="L25" s="68">
        <f t="shared" si="4"/>
        <v>30.326086956521738</v>
      </c>
      <c r="M25" s="54">
        <v>244892</v>
      </c>
      <c r="N25" s="69">
        <f t="shared" si="5"/>
        <v>8075.2917562724015</v>
      </c>
      <c r="P25" s="58">
        <v>24</v>
      </c>
      <c r="Q25" s="68">
        <f t="shared" si="6"/>
        <v>33.41317365269461</v>
      </c>
      <c r="R25" s="54">
        <v>71007</v>
      </c>
      <c r="S25" s="69">
        <f t="shared" si="7"/>
        <v>2125.1198924731184</v>
      </c>
    </row>
    <row r="26" spans="1:20" x14ac:dyDescent="0.25">
      <c r="A26" s="58">
        <v>20</v>
      </c>
      <c r="B26" s="68">
        <f t="shared" si="0"/>
        <v>30.326086956521738</v>
      </c>
      <c r="C26" s="54">
        <v>-55320</v>
      </c>
      <c r="D26" s="69">
        <f t="shared" si="1"/>
        <v>-1824.1720430107528</v>
      </c>
      <c r="F26" s="58">
        <v>59</v>
      </c>
      <c r="G26" s="68">
        <f t="shared" si="2"/>
        <v>33.41317365269461</v>
      </c>
      <c r="H26" s="54">
        <v>167225</v>
      </c>
      <c r="I26" s="69">
        <f t="shared" si="3"/>
        <v>5004.7625448028675</v>
      </c>
      <c r="K26" s="58">
        <v>27</v>
      </c>
      <c r="L26" s="68">
        <f t="shared" si="4"/>
        <v>30.326086956521738</v>
      </c>
      <c r="M26" s="54">
        <v>217246</v>
      </c>
      <c r="N26" s="69">
        <f t="shared" si="5"/>
        <v>7163.6673835125448</v>
      </c>
      <c r="P26" s="58">
        <v>94</v>
      </c>
      <c r="Q26" s="68">
        <f t="shared" si="6"/>
        <v>33.41317365269461</v>
      </c>
      <c r="R26" s="54">
        <v>48569</v>
      </c>
      <c r="S26" s="69">
        <f t="shared" si="7"/>
        <v>1453.5883512544804</v>
      </c>
    </row>
    <row r="27" spans="1:20" x14ac:dyDescent="0.25">
      <c r="A27" s="58">
        <v>14</v>
      </c>
      <c r="B27" s="68">
        <f t="shared" si="0"/>
        <v>30.326086956521738</v>
      </c>
      <c r="C27" s="54">
        <v>-99929</v>
      </c>
      <c r="D27" s="69">
        <f t="shared" si="1"/>
        <v>-3295.1498207885306</v>
      </c>
      <c r="F27" s="58">
        <v>63</v>
      </c>
      <c r="G27" s="68">
        <f t="shared" si="2"/>
        <v>33.41317365269461</v>
      </c>
      <c r="H27" s="54">
        <v>-59023</v>
      </c>
      <c r="I27" s="69">
        <f t="shared" si="3"/>
        <v>-1766.4589605734768</v>
      </c>
      <c r="K27" s="58">
        <v>98</v>
      </c>
      <c r="L27" s="68">
        <f t="shared" si="4"/>
        <v>30.326086956521738</v>
      </c>
      <c r="M27" s="54">
        <v>186371</v>
      </c>
      <c r="N27" s="69">
        <f t="shared" si="5"/>
        <v>6145.5670250896055</v>
      </c>
      <c r="P27" s="58">
        <v>98</v>
      </c>
      <c r="Q27" s="68">
        <f t="shared" si="6"/>
        <v>33.41317365269461</v>
      </c>
      <c r="R27" s="54">
        <v>42432</v>
      </c>
      <c r="S27" s="69">
        <f t="shared" si="7"/>
        <v>1269.9182795698925</v>
      </c>
    </row>
    <row r="28" spans="1:20" x14ac:dyDescent="0.25">
      <c r="A28" s="58">
        <v>59</v>
      </c>
      <c r="B28" s="68">
        <f t="shared" si="0"/>
        <v>30.326086956521738</v>
      </c>
      <c r="C28" s="54">
        <v>-120499</v>
      </c>
      <c r="D28" s="69">
        <f t="shared" si="1"/>
        <v>-3973.4437275985665</v>
      </c>
      <c r="F28" s="58">
        <v>70</v>
      </c>
      <c r="G28" s="68">
        <f t="shared" si="2"/>
        <v>33.41317365269461</v>
      </c>
      <c r="H28" s="54">
        <v>-82956</v>
      </c>
      <c r="I28" s="69">
        <f t="shared" si="3"/>
        <v>-2482.7333333333336</v>
      </c>
      <c r="K28" s="58">
        <v>82</v>
      </c>
      <c r="L28" s="68">
        <f t="shared" si="4"/>
        <v>30.326086956521738</v>
      </c>
      <c r="M28" s="54">
        <v>157735</v>
      </c>
      <c r="N28" s="69">
        <f t="shared" si="5"/>
        <v>5201.2974910394269</v>
      </c>
      <c r="P28" s="58">
        <v>79</v>
      </c>
      <c r="Q28" s="68">
        <f t="shared" si="6"/>
        <v>33.41317365269461</v>
      </c>
      <c r="R28" s="54">
        <v>-17472</v>
      </c>
      <c r="S28" s="69">
        <f t="shared" si="7"/>
        <v>-522.9075268817204</v>
      </c>
    </row>
    <row r="29" spans="1:20" x14ac:dyDescent="0.25">
      <c r="A29" s="58">
        <v>11</v>
      </c>
      <c r="B29" s="68">
        <f t="shared" si="0"/>
        <v>30.326086956521738</v>
      </c>
      <c r="C29" s="54">
        <v>-150180</v>
      </c>
      <c r="D29" s="69">
        <f t="shared" si="1"/>
        <v>-4952.1720430107525</v>
      </c>
      <c r="F29" s="58">
        <v>64</v>
      </c>
      <c r="G29" s="68">
        <f t="shared" si="2"/>
        <v>33.41317365269461</v>
      </c>
      <c r="H29" s="54">
        <v>-163863</v>
      </c>
      <c r="I29" s="69">
        <f t="shared" si="3"/>
        <v>-4904.1435483870973</v>
      </c>
      <c r="K29" s="58">
        <v>39</v>
      </c>
      <c r="L29" s="68">
        <f t="shared" si="4"/>
        <v>30.326086956521738</v>
      </c>
      <c r="M29" s="54">
        <v>75371</v>
      </c>
      <c r="N29" s="69">
        <f t="shared" si="5"/>
        <v>2485.3519713261649</v>
      </c>
      <c r="P29" s="58">
        <v>30</v>
      </c>
      <c r="Q29" s="68">
        <f t="shared" si="6"/>
        <v>33.41317365269461</v>
      </c>
      <c r="R29" s="54">
        <v>-18899</v>
      </c>
      <c r="S29" s="69">
        <f t="shared" si="7"/>
        <v>-565.61523297491044</v>
      </c>
    </row>
    <row r="30" spans="1:20" x14ac:dyDescent="0.25">
      <c r="A30" s="58">
        <v>19</v>
      </c>
      <c r="B30" s="68">
        <f t="shared" si="0"/>
        <v>30.326086956521738</v>
      </c>
      <c r="C30" s="54">
        <v>-212225</v>
      </c>
      <c r="D30" s="69">
        <f t="shared" si="1"/>
        <v>-6998.1003584229393</v>
      </c>
      <c r="F30" s="58">
        <v>8</v>
      </c>
      <c r="G30" s="68">
        <f t="shared" si="2"/>
        <v>33.41317365269461</v>
      </c>
      <c r="H30" s="54">
        <v>-187009</v>
      </c>
      <c r="I30" s="69">
        <f t="shared" si="3"/>
        <v>-5596.8643369175625</v>
      </c>
      <c r="K30" s="58">
        <v>79</v>
      </c>
      <c r="L30" s="68">
        <f t="shared" si="4"/>
        <v>30.326086956521738</v>
      </c>
      <c r="M30" s="54">
        <v>42924</v>
      </c>
      <c r="N30" s="69">
        <f t="shared" si="5"/>
        <v>1415.4150537634409</v>
      </c>
      <c r="P30" s="95">
        <v>99</v>
      </c>
      <c r="Q30" s="96">
        <f t="shared" si="6"/>
        <v>33.41317365269461</v>
      </c>
      <c r="R30" s="97">
        <v>-53380</v>
      </c>
      <c r="S30" s="98">
        <f t="shared" si="7"/>
        <v>-1597.573476702509</v>
      </c>
      <c r="T30">
        <v>0</v>
      </c>
    </row>
    <row r="31" spans="1:20" x14ac:dyDescent="0.25">
      <c r="A31" s="58">
        <v>7</v>
      </c>
      <c r="B31" s="68">
        <f t="shared" si="0"/>
        <v>30.326086956521738</v>
      </c>
      <c r="C31" s="54">
        <v>-425925</v>
      </c>
      <c r="D31" s="69">
        <f t="shared" si="1"/>
        <v>-14044.83870967742</v>
      </c>
      <c r="F31" s="58">
        <v>61</v>
      </c>
      <c r="G31" s="68">
        <f t="shared" si="2"/>
        <v>33.41317365269461</v>
      </c>
      <c r="H31" s="54">
        <v>-223907</v>
      </c>
      <c r="I31" s="69">
        <f t="shared" si="3"/>
        <v>-6701.159318996416</v>
      </c>
      <c r="K31" s="58">
        <v>49</v>
      </c>
      <c r="L31" s="68">
        <f t="shared" si="4"/>
        <v>30.326086956521738</v>
      </c>
      <c r="M31" s="54">
        <v>-35135</v>
      </c>
      <c r="N31" s="69">
        <f t="shared" si="5"/>
        <v>-1158.573476702509</v>
      </c>
      <c r="P31" s="58">
        <v>76</v>
      </c>
      <c r="Q31" s="68">
        <f t="shared" si="6"/>
        <v>33.41317365269461</v>
      </c>
      <c r="R31" s="54">
        <v>-134133</v>
      </c>
      <c r="S31" s="69">
        <f t="shared" si="7"/>
        <v>-4014.3747311827956</v>
      </c>
    </row>
    <row r="32" spans="1:20" x14ac:dyDescent="0.25">
      <c r="A32" s="58">
        <v>88</v>
      </c>
      <c r="B32" s="68">
        <f t="shared" si="0"/>
        <v>30.326086956521738</v>
      </c>
      <c r="C32" s="54">
        <v>-426293</v>
      </c>
      <c r="D32" s="69">
        <f t="shared" si="1"/>
        <v>-14056.973476702509</v>
      </c>
      <c r="F32" s="58">
        <v>92</v>
      </c>
      <c r="G32" s="68">
        <f t="shared" si="2"/>
        <v>33.41317365269461</v>
      </c>
      <c r="H32" s="54">
        <v>-299484</v>
      </c>
      <c r="I32" s="69">
        <f t="shared" si="3"/>
        <v>-8963.0516129032258</v>
      </c>
      <c r="K32" s="58">
        <v>86</v>
      </c>
      <c r="L32" s="68">
        <f t="shared" si="4"/>
        <v>30.326086956521738</v>
      </c>
      <c r="M32" s="54">
        <v>-36114</v>
      </c>
      <c r="N32" s="69">
        <f t="shared" si="5"/>
        <v>-1190.8559139784948</v>
      </c>
      <c r="P32" s="58">
        <v>27</v>
      </c>
      <c r="Q32" s="68">
        <f t="shared" si="6"/>
        <v>33.41317365269461</v>
      </c>
      <c r="R32" s="54">
        <v>-237585</v>
      </c>
      <c r="S32" s="69">
        <f t="shared" si="7"/>
        <v>-7110.5188172043008</v>
      </c>
    </row>
    <row r="33" spans="1:20" x14ac:dyDescent="0.25">
      <c r="A33" s="58">
        <v>1</v>
      </c>
      <c r="B33" s="68">
        <f t="shared" si="0"/>
        <v>30.326086956521738</v>
      </c>
      <c r="C33" s="54">
        <v>-436549</v>
      </c>
      <c r="D33" s="69">
        <f t="shared" si="1"/>
        <v>-14395.164157706093</v>
      </c>
      <c r="F33" s="58">
        <v>93</v>
      </c>
      <c r="G33" s="68">
        <f t="shared" si="2"/>
        <v>33.41317365269461</v>
      </c>
      <c r="H33" s="54">
        <v>-392062</v>
      </c>
      <c r="I33" s="69">
        <f t="shared" si="3"/>
        <v>-11733.755197132617</v>
      </c>
      <c r="K33" s="58">
        <v>95</v>
      </c>
      <c r="L33" s="68">
        <f t="shared" si="4"/>
        <v>30.326086956521738</v>
      </c>
      <c r="M33" s="54">
        <v>-117870</v>
      </c>
      <c r="N33" s="69">
        <f t="shared" si="5"/>
        <v>-3886.7526881720432</v>
      </c>
      <c r="P33" s="58">
        <v>49</v>
      </c>
      <c r="Q33" s="68">
        <f t="shared" si="6"/>
        <v>33.41317365269461</v>
      </c>
      <c r="R33" s="54">
        <v>-320509</v>
      </c>
      <c r="S33" s="69">
        <f t="shared" si="7"/>
        <v>-9592.2944444444438</v>
      </c>
    </row>
    <row r="34" spans="1:20" x14ac:dyDescent="0.25">
      <c r="A34" s="58">
        <v>16</v>
      </c>
      <c r="B34" s="68">
        <f t="shared" si="0"/>
        <v>30.326086956521738</v>
      </c>
      <c r="C34" s="54">
        <v>-516654</v>
      </c>
      <c r="D34" s="69">
        <f t="shared" si="1"/>
        <v>-17036.619354838709</v>
      </c>
      <c r="F34" s="58">
        <v>17</v>
      </c>
      <c r="G34" s="68">
        <f t="shared" si="2"/>
        <v>33.41317365269461</v>
      </c>
      <c r="H34" s="54">
        <v>-421127</v>
      </c>
      <c r="I34" s="69">
        <f t="shared" si="3"/>
        <v>-12603.621684587813</v>
      </c>
      <c r="K34" s="58">
        <v>42</v>
      </c>
      <c r="L34" s="68">
        <f t="shared" si="4"/>
        <v>30.326086956521738</v>
      </c>
      <c r="M34" s="54">
        <v>-137859</v>
      </c>
      <c r="N34" s="69">
        <f t="shared" si="5"/>
        <v>-4545.8881720430109</v>
      </c>
      <c r="P34" s="58">
        <v>47</v>
      </c>
      <c r="Q34" s="68">
        <f t="shared" si="6"/>
        <v>33.41317365269461</v>
      </c>
      <c r="R34" s="54">
        <v>-338573</v>
      </c>
      <c r="S34" s="69">
        <f t="shared" si="7"/>
        <v>-10132.919534050179</v>
      </c>
    </row>
    <row r="35" spans="1:20" x14ac:dyDescent="0.25">
      <c r="A35" s="58">
        <v>73</v>
      </c>
      <c r="B35" s="68">
        <f t="shared" si="0"/>
        <v>30.326086956521738</v>
      </c>
      <c r="C35" s="54">
        <v>-526062</v>
      </c>
      <c r="D35" s="69">
        <f t="shared" si="1"/>
        <v>-17346.847311827958</v>
      </c>
      <c r="F35" s="58">
        <v>5</v>
      </c>
      <c r="G35" s="68">
        <f t="shared" si="2"/>
        <v>33.41317365269461</v>
      </c>
      <c r="H35" s="54">
        <v>-473972</v>
      </c>
      <c r="I35" s="69">
        <f t="shared" si="3"/>
        <v>-14185.183512544803</v>
      </c>
      <c r="K35" s="58">
        <v>50</v>
      </c>
      <c r="L35" s="68">
        <f t="shared" si="4"/>
        <v>30.326086956521738</v>
      </c>
      <c r="M35" s="54">
        <v>-141217</v>
      </c>
      <c r="N35" s="69">
        <f t="shared" si="5"/>
        <v>-4656.6179211469534</v>
      </c>
      <c r="P35" s="58">
        <v>34</v>
      </c>
      <c r="Q35" s="68">
        <f t="shared" si="6"/>
        <v>33.41317365269461</v>
      </c>
      <c r="R35" s="54">
        <v>-343537</v>
      </c>
      <c r="S35" s="69">
        <f t="shared" si="7"/>
        <v>-10281.483691756273</v>
      </c>
    </row>
    <row r="36" spans="1:20" x14ac:dyDescent="0.25">
      <c r="A36" s="58">
        <v>69</v>
      </c>
      <c r="B36" s="68">
        <f t="shared" si="0"/>
        <v>30.326086956521738</v>
      </c>
      <c r="C36" s="54">
        <v>-582190</v>
      </c>
      <c r="D36" s="69">
        <f t="shared" si="1"/>
        <v>-19197.663082437277</v>
      </c>
      <c r="F36" s="58">
        <v>67</v>
      </c>
      <c r="G36" s="68">
        <f t="shared" si="2"/>
        <v>33.41317365269461</v>
      </c>
      <c r="H36" s="54">
        <v>-479440</v>
      </c>
      <c r="I36" s="69">
        <f t="shared" si="3"/>
        <v>-14348.831541218638</v>
      </c>
      <c r="K36" s="58">
        <v>24</v>
      </c>
      <c r="L36" s="68">
        <f t="shared" si="4"/>
        <v>30.326086956521738</v>
      </c>
      <c r="M36" s="54">
        <v>-265494</v>
      </c>
      <c r="N36" s="69">
        <f t="shared" si="5"/>
        <v>-8754.6408602150532</v>
      </c>
      <c r="P36" s="58">
        <v>26</v>
      </c>
      <c r="Q36" s="68">
        <f t="shared" si="6"/>
        <v>33.41317365269461</v>
      </c>
      <c r="R36" s="54">
        <v>-410208</v>
      </c>
      <c r="S36" s="69">
        <f t="shared" si="7"/>
        <v>-12276.834408602152</v>
      </c>
    </row>
    <row r="37" spans="1:20" x14ac:dyDescent="0.25">
      <c r="A37" s="58">
        <v>17</v>
      </c>
      <c r="B37" s="68">
        <f t="shared" si="0"/>
        <v>30.326086956521738</v>
      </c>
      <c r="C37" s="54">
        <v>-710390</v>
      </c>
      <c r="D37" s="69">
        <f t="shared" si="1"/>
        <v>-23425.046594982079</v>
      </c>
      <c r="F37" s="58">
        <v>65</v>
      </c>
      <c r="G37" s="68">
        <f t="shared" si="2"/>
        <v>33.41317365269461</v>
      </c>
      <c r="H37" s="54">
        <v>-681880</v>
      </c>
      <c r="I37" s="69">
        <f t="shared" si="3"/>
        <v>-20407.519713261649</v>
      </c>
      <c r="K37" s="58">
        <v>44</v>
      </c>
      <c r="L37" s="68">
        <f t="shared" si="4"/>
        <v>30.326086956521738</v>
      </c>
      <c r="M37" s="54">
        <v>-279807</v>
      </c>
      <c r="N37" s="69">
        <f t="shared" si="5"/>
        <v>-9226.6107526881715</v>
      </c>
      <c r="P37" s="58">
        <v>55</v>
      </c>
      <c r="Q37" s="68">
        <f t="shared" si="6"/>
        <v>33.41317365269461</v>
      </c>
      <c r="R37" s="54">
        <v>-412943</v>
      </c>
      <c r="S37" s="69">
        <f t="shared" si="7"/>
        <v>-12358.688351254481</v>
      </c>
    </row>
    <row r="38" spans="1:20" x14ac:dyDescent="0.25">
      <c r="A38" s="58">
        <v>12</v>
      </c>
      <c r="B38" s="68">
        <f t="shared" si="0"/>
        <v>30.326086956521738</v>
      </c>
      <c r="C38" s="54">
        <v>-753136</v>
      </c>
      <c r="D38" s="69">
        <f t="shared" si="1"/>
        <v>-24834.592114695341</v>
      </c>
      <c r="F38" s="95">
        <v>15</v>
      </c>
      <c r="G38" s="96">
        <f t="shared" si="2"/>
        <v>33.41317365269461</v>
      </c>
      <c r="H38" s="97">
        <v>-737370</v>
      </c>
      <c r="I38" s="98">
        <f t="shared" si="3"/>
        <v>-22068.241935483871</v>
      </c>
      <c r="J38">
        <v>0</v>
      </c>
      <c r="K38" s="58">
        <v>78</v>
      </c>
      <c r="L38" s="68">
        <f t="shared" si="4"/>
        <v>30.326086956521738</v>
      </c>
      <c r="M38" s="54">
        <v>-450754</v>
      </c>
      <c r="N38" s="69">
        <f t="shared" si="5"/>
        <v>-14863.572759856632</v>
      </c>
      <c r="P38" s="95">
        <v>22</v>
      </c>
      <c r="Q38" s="96">
        <f t="shared" si="6"/>
        <v>33.41317365269461</v>
      </c>
      <c r="R38" s="97">
        <v>-443480</v>
      </c>
      <c r="S38" s="98">
        <f t="shared" si="7"/>
        <v>-13272.609318996416</v>
      </c>
      <c r="T38">
        <v>0</v>
      </c>
    </row>
    <row r="39" spans="1:20" x14ac:dyDescent="0.25">
      <c r="A39" s="58">
        <v>58</v>
      </c>
      <c r="B39" s="68">
        <f t="shared" si="0"/>
        <v>30.326086956521738</v>
      </c>
      <c r="C39" s="54">
        <v>-793953</v>
      </c>
      <c r="D39" s="69">
        <f t="shared" si="1"/>
        <v>-26180.529032258066</v>
      </c>
      <c r="F39" s="58">
        <v>6</v>
      </c>
      <c r="G39" s="68">
        <f t="shared" si="2"/>
        <v>33.41317365269461</v>
      </c>
      <c r="H39" s="54">
        <v>-760719</v>
      </c>
      <c r="I39" s="69">
        <f t="shared" si="3"/>
        <v>-22767.038172043012</v>
      </c>
      <c r="K39" s="58">
        <v>81</v>
      </c>
      <c r="L39" s="68">
        <f t="shared" si="4"/>
        <v>30.326086956521738</v>
      </c>
      <c r="M39" s="54">
        <v>-460974</v>
      </c>
      <c r="N39" s="69">
        <f t="shared" si="5"/>
        <v>-15200.576344086023</v>
      </c>
      <c r="P39" s="58">
        <v>97</v>
      </c>
      <c r="Q39" s="68">
        <f t="shared" si="6"/>
        <v>33.41317365269461</v>
      </c>
      <c r="R39" s="54">
        <v>-474669</v>
      </c>
      <c r="S39" s="69">
        <f t="shared" si="7"/>
        <v>-14206.043548387097</v>
      </c>
    </row>
    <row r="40" spans="1:20" x14ac:dyDescent="0.25">
      <c r="A40" s="58">
        <v>68</v>
      </c>
      <c r="B40" s="68">
        <f t="shared" si="0"/>
        <v>30.326086956521738</v>
      </c>
      <c r="C40" s="54">
        <v>-803861</v>
      </c>
      <c r="D40" s="69">
        <f t="shared" si="1"/>
        <v>-26507.244444444445</v>
      </c>
      <c r="F40" s="58">
        <v>18</v>
      </c>
      <c r="G40" s="68">
        <f t="shared" si="2"/>
        <v>33.41317365269461</v>
      </c>
      <c r="H40" s="54">
        <v>-824942</v>
      </c>
      <c r="I40" s="69">
        <f t="shared" si="3"/>
        <v>-24689.124372759856</v>
      </c>
      <c r="K40" s="58">
        <v>48</v>
      </c>
      <c r="L40" s="68">
        <f t="shared" si="4"/>
        <v>30.326086956521738</v>
      </c>
      <c r="M40" s="54">
        <v>-522318</v>
      </c>
      <c r="N40" s="69">
        <f t="shared" si="5"/>
        <v>-17223.389247311829</v>
      </c>
      <c r="P40" s="58">
        <v>57</v>
      </c>
      <c r="Q40" s="68">
        <f t="shared" si="6"/>
        <v>33.41317365269461</v>
      </c>
      <c r="R40" s="54">
        <v>-519769</v>
      </c>
      <c r="S40" s="69">
        <f t="shared" si="7"/>
        <v>-15555.810573476703</v>
      </c>
    </row>
    <row r="41" spans="1:20" x14ac:dyDescent="0.25">
      <c r="A41" s="58">
        <v>60</v>
      </c>
      <c r="B41" s="68">
        <f t="shared" si="0"/>
        <v>30.326086956521738</v>
      </c>
      <c r="C41" s="54">
        <v>-850901</v>
      </c>
      <c r="D41" s="69">
        <f t="shared" si="1"/>
        <v>-28058.384229390682</v>
      </c>
      <c r="F41" s="58">
        <v>11</v>
      </c>
      <c r="G41" s="68">
        <f t="shared" si="2"/>
        <v>33.41317365269461</v>
      </c>
      <c r="H41" s="54">
        <v>-906527</v>
      </c>
      <c r="I41" s="69">
        <f t="shared" si="3"/>
        <v>-27130.825985663083</v>
      </c>
      <c r="K41" s="58">
        <v>87</v>
      </c>
      <c r="L41" s="68">
        <f t="shared" si="4"/>
        <v>30.326086956521738</v>
      </c>
      <c r="M41" s="54">
        <v>-542332</v>
      </c>
      <c r="N41" s="69">
        <f t="shared" si="5"/>
        <v>-17883.349103942652</v>
      </c>
      <c r="P41" s="58">
        <v>35</v>
      </c>
      <c r="Q41" s="68">
        <f t="shared" si="6"/>
        <v>33.41317365269461</v>
      </c>
      <c r="R41" s="54">
        <v>-552149</v>
      </c>
      <c r="S41" s="69">
        <f t="shared" si="7"/>
        <v>-16524.889426523299</v>
      </c>
    </row>
    <row r="42" spans="1:20" x14ac:dyDescent="0.25">
      <c r="A42" s="58">
        <v>74</v>
      </c>
      <c r="B42" s="68">
        <f t="shared" si="0"/>
        <v>30.326086956521738</v>
      </c>
      <c r="C42" s="54">
        <v>-871942</v>
      </c>
      <c r="D42" s="69">
        <f t="shared" si="1"/>
        <v>-28752.209318996418</v>
      </c>
      <c r="F42" s="58">
        <v>14</v>
      </c>
      <c r="G42" s="68">
        <f t="shared" si="2"/>
        <v>33.41317365269461</v>
      </c>
      <c r="H42" s="54">
        <v>-923878</v>
      </c>
      <c r="I42" s="69">
        <f t="shared" si="3"/>
        <v>-27650.112186379931</v>
      </c>
      <c r="K42" s="58">
        <v>41</v>
      </c>
      <c r="L42" s="68">
        <f t="shared" si="4"/>
        <v>30.326086956521738</v>
      </c>
      <c r="M42" s="54">
        <v>-545075</v>
      </c>
      <c r="N42" s="69">
        <f t="shared" si="5"/>
        <v>-17973.799283154123</v>
      </c>
      <c r="P42" s="58">
        <v>81</v>
      </c>
      <c r="Q42" s="68">
        <f t="shared" si="6"/>
        <v>33.41317365269461</v>
      </c>
      <c r="R42" s="54">
        <v>-553719</v>
      </c>
      <c r="S42" s="69">
        <f t="shared" si="7"/>
        <v>-16571.876881720429</v>
      </c>
    </row>
    <row r="43" spans="1:20" x14ac:dyDescent="0.25">
      <c r="A43" s="58">
        <v>71</v>
      </c>
      <c r="B43" s="68">
        <f t="shared" si="0"/>
        <v>30.326086956521738</v>
      </c>
      <c r="C43" s="54">
        <v>-879757</v>
      </c>
      <c r="D43" s="69">
        <f t="shared" si="1"/>
        <v>-29009.908243727601</v>
      </c>
      <c r="F43" s="58">
        <v>90</v>
      </c>
      <c r="G43" s="68">
        <f t="shared" si="2"/>
        <v>33.41317365269461</v>
      </c>
      <c r="H43" s="54">
        <v>-944796</v>
      </c>
      <c r="I43" s="69">
        <f t="shared" si="3"/>
        <v>-28276.152688172042</v>
      </c>
      <c r="K43" s="58">
        <v>23</v>
      </c>
      <c r="L43" s="68">
        <f t="shared" si="4"/>
        <v>30.326086956521738</v>
      </c>
      <c r="M43" s="54">
        <v>-550483</v>
      </c>
      <c r="N43" s="69">
        <f t="shared" si="5"/>
        <v>-18152.127598566309</v>
      </c>
      <c r="P43" s="58">
        <v>25</v>
      </c>
      <c r="Q43" s="68">
        <f t="shared" si="6"/>
        <v>33.41317365269461</v>
      </c>
      <c r="R43" s="54">
        <v>-602771</v>
      </c>
      <c r="S43" s="69">
        <f t="shared" si="7"/>
        <v>-18039.920609318997</v>
      </c>
    </row>
    <row r="44" spans="1:20" x14ac:dyDescent="0.25">
      <c r="A44" s="58">
        <v>13</v>
      </c>
      <c r="B44" s="68">
        <f t="shared" si="0"/>
        <v>30.326086956521738</v>
      </c>
      <c r="C44" s="54">
        <v>-1072053</v>
      </c>
      <c r="D44" s="69">
        <f t="shared" si="1"/>
        <v>-35350.851612903229</v>
      </c>
      <c r="F44" s="58">
        <v>88</v>
      </c>
      <c r="G44" s="68">
        <f t="shared" si="2"/>
        <v>33.41317365269461</v>
      </c>
      <c r="H44" s="54">
        <v>-964689</v>
      </c>
      <c r="I44" s="69">
        <f t="shared" si="3"/>
        <v>-28871.516666666666</v>
      </c>
      <c r="K44" s="58">
        <v>55</v>
      </c>
      <c r="L44" s="68">
        <f t="shared" si="4"/>
        <v>30.326086956521738</v>
      </c>
      <c r="M44" s="54">
        <v>-592287</v>
      </c>
      <c r="N44" s="69">
        <f t="shared" si="5"/>
        <v>-19530.610752688171</v>
      </c>
      <c r="P44" s="58">
        <v>23</v>
      </c>
      <c r="Q44" s="68">
        <f t="shared" si="6"/>
        <v>33.41317365269461</v>
      </c>
      <c r="R44" s="54">
        <v>-625997</v>
      </c>
      <c r="S44" s="69">
        <f t="shared" si="7"/>
        <v>-18735.035663082439</v>
      </c>
    </row>
    <row r="45" spans="1:20" x14ac:dyDescent="0.25">
      <c r="A45" s="58">
        <v>92</v>
      </c>
      <c r="B45" s="68">
        <f t="shared" si="0"/>
        <v>30.326086956521738</v>
      </c>
      <c r="C45" s="54">
        <v>-1105120</v>
      </c>
      <c r="D45" s="69">
        <f t="shared" si="1"/>
        <v>-36441.232974910396</v>
      </c>
      <c r="F45" s="58">
        <v>10</v>
      </c>
      <c r="G45" s="68">
        <f t="shared" si="2"/>
        <v>33.41317365269461</v>
      </c>
      <c r="H45" s="54">
        <v>-1019506</v>
      </c>
      <c r="I45" s="69">
        <f t="shared" si="3"/>
        <v>-30512.097132616487</v>
      </c>
      <c r="K45" s="58">
        <v>31</v>
      </c>
      <c r="L45" s="68">
        <f t="shared" si="4"/>
        <v>30.326086956521738</v>
      </c>
      <c r="M45" s="54">
        <v>-620072</v>
      </c>
      <c r="N45" s="69">
        <f t="shared" si="5"/>
        <v>-20446.818637992834</v>
      </c>
      <c r="P45" s="58">
        <v>78</v>
      </c>
      <c r="Q45" s="68">
        <f t="shared" si="6"/>
        <v>33.41317365269461</v>
      </c>
      <c r="R45" s="54">
        <v>-732192</v>
      </c>
      <c r="S45" s="69">
        <f t="shared" si="7"/>
        <v>-21913.273118279569</v>
      </c>
    </row>
    <row r="46" spans="1:20" x14ac:dyDescent="0.25">
      <c r="A46" s="58">
        <v>21</v>
      </c>
      <c r="B46" s="68">
        <f t="shared" si="0"/>
        <v>30.326086956521738</v>
      </c>
      <c r="C46" s="54">
        <v>-1124143</v>
      </c>
      <c r="D46" s="69">
        <f t="shared" si="1"/>
        <v>-37068.514695340506</v>
      </c>
      <c r="F46" s="58">
        <v>2</v>
      </c>
      <c r="G46" s="68">
        <f t="shared" si="2"/>
        <v>33.41317365269461</v>
      </c>
      <c r="H46" s="54">
        <v>-1048073</v>
      </c>
      <c r="I46" s="69">
        <f t="shared" si="3"/>
        <v>-31367.059318996417</v>
      </c>
      <c r="K46" s="58">
        <v>40</v>
      </c>
      <c r="L46" s="68">
        <f t="shared" si="4"/>
        <v>30.326086956521738</v>
      </c>
      <c r="M46" s="54">
        <v>-658386</v>
      </c>
      <c r="N46" s="69">
        <f t="shared" si="5"/>
        <v>-21710.219354838711</v>
      </c>
      <c r="P46" s="58">
        <v>41</v>
      </c>
      <c r="Q46" s="68">
        <f t="shared" si="6"/>
        <v>33.41317365269461</v>
      </c>
      <c r="R46" s="54">
        <v>-890843</v>
      </c>
      <c r="S46" s="69">
        <f t="shared" si="7"/>
        <v>-26661.430286738352</v>
      </c>
    </row>
    <row r="47" spans="1:20" x14ac:dyDescent="0.25">
      <c r="A47" s="58">
        <v>64</v>
      </c>
      <c r="B47" s="68">
        <f t="shared" si="0"/>
        <v>30.326086956521738</v>
      </c>
      <c r="C47" s="54">
        <v>-1198677</v>
      </c>
      <c r="D47" s="69">
        <f t="shared" si="1"/>
        <v>-39526.26666666667</v>
      </c>
      <c r="F47" s="58">
        <v>12</v>
      </c>
      <c r="G47" s="68">
        <f t="shared" si="2"/>
        <v>33.41317365269461</v>
      </c>
      <c r="H47" s="54">
        <v>-1098022</v>
      </c>
      <c r="I47" s="69">
        <f t="shared" si="3"/>
        <v>-32861.948745519716</v>
      </c>
      <c r="K47" s="58">
        <v>97</v>
      </c>
      <c r="L47" s="68">
        <f t="shared" si="4"/>
        <v>30.326086956521738</v>
      </c>
      <c r="M47" s="54">
        <v>-661431</v>
      </c>
      <c r="N47" s="69">
        <f t="shared" si="5"/>
        <v>-21810.627956989247</v>
      </c>
      <c r="P47" s="58">
        <v>48</v>
      </c>
      <c r="Q47" s="68">
        <f t="shared" si="6"/>
        <v>33.41317365269461</v>
      </c>
      <c r="R47" s="54">
        <v>-914243</v>
      </c>
      <c r="S47" s="69">
        <f t="shared" si="7"/>
        <v>-27361.752867383515</v>
      </c>
    </row>
    <row r="48" spans="1:20" x14ac:dyDescent="0.25">
      <c r="A48" s="58">
        <v>3</v>
      </c>
      <c r="B48" s="68">
        <f t="shared" si="0"/>
        <v>30.326086956521738</v>
      </c>
      <c r="C48" s="54">
        <v>-1231829</v>
      </c>
      <c r="D48" s="69">
        <f t="shared" si="1"/>
        <v>-40619.450896057351</v>
      </c>
      <c r="F48" s="58">
        <v>72</v>
      </c>
      <c r="G48" s="68">
        <f t="shared" si="2"/>
        <v>33.41317365269461</v>
      </c>
      <c r="H48" s="54">
        <v>-1168137</v>
      </c>
      <c r="I48" s="69">
        <f t="shared" si="3"/>
        <v>-34960.372580645162</v>
      </c>
      <c r="K48" s="58">
        <v>56</v>
      </c>
      <c r="L48" s="68">
        <f t="shared" si="4"/>
        <v>30.326086956521738</v>
      </c>
      <c r="M48" s="54">
        <v>-736742</v>
      </c>
      <c r="N48" s="69">
        <f t="shared" si="5"/>
        <v>-24294.001433691756</v>
      </c>
      <c r="P48" s="58">
        <v>96</v>
      </c>
      <c r="Q48" s="68">
        <f t="shared" si="6"/>
        <v>33.41317365269461</v>
      </c>
      <c r="R48" s="54">
        <v>-944950</v>
      </c>
      <c r="S48" s="69">
        <f t="shared" si="7"/>
        <v>-28280.76164874552</v>
      </c>
    </row>
    <row r="49" spans="1:19" x14ac:dyDescent="0.25">
      <c r="A49" s="58">
        <v>70</v>
      </c>
      <c r="B49" s="68">
        <f t="shared" si="0"/>
        <v>30.326086956521738</v>
      </c>
      <c r="C49" s="54">
        <v>-1290356</v>
      </c>
      <c r="D49" s="69">
        <f t="shared" si="1"/>
        <v>-42549.373476702509</v>
      </c>
      <c r="F49" s="58">
        <v>62</v>
      </c>
      <c r="G49" s="68">
        <f t="shared" si="2"/>
        <v>33.41317365269461</v>
      </c>
      <c r="H49" s="54">
        <v>-1177761</v>
      </c>
      <c r="I49" s="69">
        <f t="shared" si="3"/>
        <v>-35248.402688172042</v>
      </c>
      <c r="K49" s="58">
        <v>85</v>
      </c>
      <c r="L49" s="68">
        <f t="shared" si="4"/>
        <v>30.326086956521738</v>
      </c>
      <c r="M49" s="54">
        <v>-789944</v>
      </c>
      <c r="N49" s="69">
        <f t="shared" si="5"/>
        <v>-26048.332616487456</v>
      </c>
      <c r="P49" s="58">
        <v>82</v>
      </c>
      <c r="Q49" s="68">
        <f t="shared" si="6"/>
        <v>33.41317365269461</v>
      </c>
      <c r="R49" s="54">
        <v>-954865</v>
      </c>
      <c r="S49" s="69">
        <f t="shared" si="7"/>
        <v>-28577.500896057347</v>
      </c>
    </row>
    <row r="50" spans="1:19" x14ac:dyDescent="0.25">
      <c r="A50" s="58">
        <v>65</v>
      </c>
      <c r="B50" s="68">
        <f t="shared" si="0"/>
        <v>30.326086956521738</v>
      </c>
      <c r="C50" s="54">
        <v>-1335361</v>
      </c>
      <c r="D50" s="69">
        <f t="shared" si="1"/>
        <v>-44033.409318996419</v>
      </c>
      <c r="F50" s="58">
        <v>19</v>
      </c>
      <c r="G50" s="68">
        <f t="shared" si="2"/>
        <v>33.41317365269461</v>
      </c>
      <c r="H50" s="54">
        <v>-1251057</v>
      </c>
      <c r="I50" s="69">
        <f t="shared" si="3"/>
        <v>-37442.028494623657</v>
      </c>
      <c r="K50" s="58">
        <v>26</v>
      </c>
      <c r="L50" s="68">
        <f t="shared" si="4"/>
        <v>30.326086956521738</v>
      </c>
      <c r="M50" s="54">
        <v>-946136</v>
      </c>
      <c r="N50" s="69">
        <f t="shared" si="5"/>
        <v>-31198.749820788533</v>
      </c>
      <c r="P50" s="58">
        <v>50</v>
      </c>
      <c r="Q50" s="68">
        <f t="shared" si="6"/>
        <v>33.41317365269461</v>
      </c>
      <c r="R50" s="54">
        <v>-1011749</v>
      </c>
      <c r="S50" s="69">
        <f t="shared" si="7"/>
        <v>-30279.943189964157</v>
      </c>
    </row>
    <row r="51" spans="1:19" x14ac:dyDescent="0.25">
      <c r="A51" s="58">
        <v>18</v>
      </c>
      <c r="B51" s="68">
        <f t="shared" si="0"/>
        <v>30.326086956521738</v>
      </c>
      <c r="C51" s="54">
        <v>-1388548</v>
      </c>
      <c r="D51" s="69">
        <f t="shared" si="1"/>
        <v>-45787.2458781362</v>
      </c>
      <c r="F51" s="58">
        <v>68</v>
      </c>
      <c r="G51" s="68">
        <f t="shared" si="2"/>
        <v>33.41317365269461</v>
      </c>
      <c r="H51" s="54">
        <v>-1292553</v>
      </c>
      <c r="I51" s="69">
        <f t="shared" si="3"/>
        <v>-38683.933870967739</v>
      </c>
      <c r="K51" s="58">
        <v>84</v>
      </c>
      <c r="L51" s="68">
        <f t="shared" si="4"/>
        <v>30.326086956521738</v>
      </c>
      <c r="M51" s="54">
        <v>-948146</v>
      </c>
      <c r="N51" s="69">
        <f t="shared" si="5"/>
        <v>-31265.029390681004</v>
      </c>
      <c r="P51" s="58">
        <v>40</v>
      </c>
      <c r="Q51" s="68">
        <f t="shared" si="6"/>
        <v>33.41317365269461</v>
      </c>
      <c r="R51" s="54">
        <v>-1028317</v>
      </c>
      <c r="S51" s="69">
        <f t="shared" si="7"/>
        <v>-30775.795519713261</v>
      </c>
    </row>
    <row r="52" spans="1:19" x14ac:dyDescent="0.25">
      <c r="A52" s="58">
        <v>91</v>
      </c>
      <c r="B52" s="68">
        <f t="shared" si="0"/>
        <v>30.326086956521738</v>
      </c>
      <c r="C52" s="54">
        <v>-1477388</v>
      </c>
      <c r="D52" s="69">
        <f t="shared" si="1"/>
        <v>-48716.736917562725</v>
      </c>
      <c r="F52" s="58">
        <v>60</v>
      </c>
      <c r="G52" s="68">
        <f t="shared" si="2"/>
        <v>33.41317365269461</v>
      </c>
      <c r="H52" s="54">
        <v>-1363928</v>
      </c>
      <c r="I52" s="69">
        <f t="shared" si="3"/>
        <v>-40820.067383512549</v>
      </c>
      <c r="K52" s="58">
        <v>37</v>
      </c>
      <c r="L52" s="68">
        <f t="shared" si="4"/>
        <v>30.326086956521738</v>
      </c>
      <c r="M52" s="54">
        <v>-1123636</v>
      </c>
      <c r="N52" s="69">
        <f t="shared" si="5"/>
        <v>-37051.796415770608</v>
      </c>
      <c r="P52" s="58">
        <v>45</v>
      </c>
      <c r="Q52" s="68">
        <f t="shared" si="6"/>
        <v>33.41317365269461</v>
      </c>
      <c r="R52" s="54">
        <v>-1108132</v>
      </c>
      <c r="S52" s="69">
        <f t="shared" si="7"/>
        <v>-33164.524014336916</v>
      </c>
    </row>
    <row r="53" spans="1:19" x14ac:dyDescent="0.25">
      <c r="A53" s="58">
        <v>67</v>
      </c>
      <c r="B53" s="68">
        <f t="shared" si="0"/>
        <v>30.326086956521738</v>
      </c>
      <c r="C53" s="54">
        <v>-1558535</v>
      </c>
      <c r="D53" s="69">
        <f t="shared" si="1"/>
        <v>-51392.551971326167</v>
      </c>
      <c r="F53" s="58">
        <v>66</v>
      </c>
      <c r="G53" s="68">
        <f t="shared" si="2"/>
        <v>33.41317365269461</v>
      </c>
      <c r="H53" s="54">
        <v>-1541082</v>
      </c>
      <c r="I53" s="69">
        <f t="shared" si="3"/>
        <v>-46121.988172043013</v>
      </c>
      <c r="K53" s="58">
        <v>77</v>
      </c>
      <c r="L53" s="68">
        <f t="shared" si="4"/>
        <v>30.326086956521738</v>
      </c>
      <c r="M53" s="54">
        <v>-1136517</v>
      </c>
      <c r="N53" s="69">
        <f t="shared" si="5"/>
        <v>-37476.546236559137</v>
      </c>
      <c r="P53" s="58">
        <v>37</v>
      </c>
      <c r="Q53" s="68">
        <f t="shared" si="6"/>
        <v>33.41317365269461</v>
      </c>
      <c r="R53" s="54">
        <v>-1231599</v>
      </c>
      <c r="S53" s="69">
        <f t="shared" si="7"/>
        <v>-36859.683333333334</v>
      </c>
    </row>
    <row r="54" spans="1:19" x14ac:dyDescent="0.25">
      <c r="A54" s="58">
        <v>93</v>
      </c>
      <c r="B54" s="68">
        <f t="shared" si="0"/>
        <v>30.326086956521738</v>
      </c>
      <c r="C54" s="54">
        <v>-1560391</v>
      </c>
      <c r="D54" s="69">
        <f t="shared" si="1"/>
        <v>-51453.753405017924</v>
      </c>
      <c r="F54" s="58">
        <v>13</v>
      </c>
      <c r="G54" s="68">
        <f t="shared" si="2"/>
        <v>33.41317365269461</v>
      </c>
      <c r="H54" s="54">
        <v>-1570807</v>
      </c>
      <c r="I54" s="69">
        <f t="shared" si="3"/>
        <v>-47011.607347670251</v>
      </c>
      <c r="K54" s="58">
        <v>94</v>
      </c>
      <c r="L54" s="68">
        <f t="shared" si="4"/>
        <v>30.326086956521738</v>
      </c>
      <c r="M54" s="54">
        <v>-1189690</v>
      </c>
      <c r="N54" s="69">
        <f t="shared" si="5"/>
        <v>-39229.921146953406</v>
      </c>
      <c r="P54" s="58">
        <v>80</v>
      </c>
      <c r="Q54" s="68">
        <f t="shared" si="6"/>
        <v>33.41317365269461</v>
      </c>
      <c r="R54" s="54">
        <v>-1261366</v>
      </c>
      <c r="S54" s="69">
        <f t="shared" si="7"/>
        <v>-37750.559498207884</v>
      </c>
    </row>
    <row r="55" spans="1:19" x14ac:dyDescent="0.25">
      <c r="A55" s="58"/>
      <c r="B55" s="59"/>
      <c r="C55" s="54"/>
      <c r="D55" s="55"/>
      <c r="F55" s="58"/>
      <c r="G55" s="59"/>
      <c r="H55" s="54"/>
      <c r="I55" s="55"/>
      <c r="K55" s="58">
        <v>32</v>
      </c>
      <c r="L55" s="68">
        <f t="shared" si="4"/>
        <v>30.326086956521738</v>
      </c>
      <c r="M55" s="54">
        <v>-1238968</v>
      </c>
      <c r="N55" s="69">
        <f t="shared" si="5"/>
        <v>-40854.858781362011</v>
      </c>
      <c r="P55" s="58">
        <v>52</v>
      </c>
      <c r="Q55" s="68">
        <f t="shared" si="6"/>
        <v>33.41317365269461</v>
      </c>
      <c r="R55" s="54">
        <v>-1306284</v>
      </c>
      <c r="S55" s="69">
        <f t="shared" si="7"/>
        <v>-39094.879569892473</v>
      </c>
    </row>
    <row r="56" spans="1:19" x14ac:dyDescent="0.25">
      <c r="A56" s="58"/>
      <c r="B56" s="59"/>
      <c r="C56" s="54"/>
      <c r="D56" s="55"/>
      <c r="F56" s="58"/>
      <c r="G56" s="59"/>
      <c r="H56" s="54"/>
      <c r="I56" s="55"/>
      <c r="K56" s="58">
        <v>36</v>
      </c>
      <c r="L56" s="68">
        <f t="shared" si="4"/>
        <v>30.326086956521738</v>
      </c>
      <c r="M56" s="54">
        <v>-1281241</v>
      </c>
      <c r="N56" s="69">
        <f t="shared" si="5"/>
        <v>-42248.807168458785</v>
      </c>
      <c r="P56" s="58">
        <v>38</v>
      </c>
      <c r="Q56" s="68">
        <f t="shared" si="6"/>
        <v>33.41317365269461</v>
      </c>
      <c r="R56" s="54">
        <v>-1308829</v>
      </c>
      <c r="S56" s="69">
        <f t="shared" si="7"/>
        <v>-39171.047132616492</v>
      </c>
    </row>
    <row r="57" spans="1:19" x14ac:dyDescent="0.25">
      <c r="A57" s="58"/>
      <c r="B57" s="59"/>
      <c r="C57" s="54"/>
      <c r="D57" s="55"/>
      <c r="F57" s="58"/>
      <c r="G57" s="59"/>
      <c r="H57" s="54"/>
      <c r="I57" s="55"/>
      <c r="K57" s="58">
        <v>29</v>
      </c>
      <c r="L57" s="68">
        <f t="shared" si="4"/>
        <v>30.326086956521738</v>
      </c>
      <c r="M57" s="54">
        <v>-1329121</v>
      </c>
      <c r="N57" s="69">
        <f t="shared" si="5"/>
        <v>-43827.645878136202</v>
      </c>
      <c r="P57" s="58">
        <v>46</v>
      </c>
      <c r="Q57" s="68">
        <f t="shared" si="6"/>
        <v>33.41317365269461</v>
      </c>
      <c r="R57" s="54">
        <v>-1311822</v>
      </c>
      <c r="S57" s="69">
        <f t="shared" si="7"/>
        <v>-39260.622580645162</v>
      </c>
    </row>
    <row r="58" spans="1:19" x14ac:dyDescent="0.25">
      <c r="A58" s="58"/>
      <c r="B58" s="59"/>
      <c r="C58" s="54"/>
      <c r="D58" s="55"/>
      <c r="F58" s="58"/>
      <c r="G58" s="59"/>
      <c r="H58" s="54"/>
      <c r="I58" s="55"/>
      <c r="K58" s="58">
        <v>80</v>
      </c>
      <c r="L58" s="68">
        <f t="shared" si="4"/>
        <v>30.326086956521738</v>
      </c>
      <c r="M58" s="54">
        <v>-1382584</v>
      </c>
      <c r="N58" s="69">
        <f t="shared" si="5"/>
        <v>-45590.583512544807</v>
      </c>
      <c r="P58" s="58">
        <v>53</v>
      </c>
      <c r="Q58" s="68">
        <f t="shared" si="6"/>
        <v>33.41317365269461</v>
      </c>
      <c r="R58" s="54">
        <v>-1316172</v>
      </c>
      <c r="S58" s="69">
        <f t="shared" si="7"/>
        <v>-39390.810752688172</v>
      </c>
    </row>
    <row r="59" spans="1:19" x14ac:dyDescent="0.25">
      <c r="A59" s="58"/>
      <c r="B59" s="59"/>
      <c r="C59" s="54"/>
      <c r="D59" s="55"/>
      <c r="F59" s="58"/>
      <c r="G59" s="59"/>
      <c r="H59" s="54"/>
      <c r="I59" s="55"/>
      <c r="K59" s="58">
        <v>38</v>
      </c>
      <c r="L59" s="68">
        <f t="shared" si="4"/>
        <v>30.326086956521738</v>
      </c>
      <c r="M59" s="54">
        <v>-1454904</v>
      </c>
      <c r="N59" s="69">
        <f t="shared" si="5"/>
        <v>-47975.329032258065</v>
      </c>
      <c r="P59" s="58">
        <v>87</v>
      </c>
      <c r="Q59" s="68">
        <f t="shared" si="6"/>
        <v>33.41317365269461</v>
      </c>
      <c r="R59" s="54">
        <v>-1394051</v>
      </c>
      <c r="S59" s="69">
        <f t="shared" si="7"/>
        <v>-41721.598028673834</v>
      </c>
    </row>
    <row r="60" spans="1:19" x14ac:dyDescent="0.25">
      <c r="A60" s="58"/>
      <c r="B60" s="59"/>
      <c r="C60" s="54"/>
      <c r="D60" s="55"/>
      <c r="F60" s="58"/>
      <c r="G60" s="59"/>
      <c r="H60" s="54"/>
      <c r="I60" s="55"/>
      <c r="K60" s="58">
        <v>96</v>
      </c>
      <c r="L60" s="68">
        <f t="shared" si="4"/>
        <v>30.326086956521738</v>
      </c>
      <c r="M60" s="54">
        <v>-1495940</v>
      </c>
      <c r="N60" s="69">
        <f t="shared" si="5"/>
        <v>-49328.487455197137</v>
      </c>
      <c r="P60" s="58">
        <v>36</v>
      </c>
      <c r="Q60" s="68">
        <f t="shared" si="6"/>
        <v>33.41317365269461</v>
      </c>
      <c r="R60" s="54">
        <v>-1395762</v>
      </c>
      <c r="S60" s="69">
        <f t="shared" si="7"/>
        <v>-41772.805376344084</v>
      </c>
    </row>
    <row r="61" spans="1:19" x14ac:dyDescent="0.25">
      <c r="A61" s="58"/>
      <c r="B61" s="59"/>
      <c r="C61" s="54"/>
      <c r="D61" s="55"/>
      <c r="F61" s="58"/>
      <c r="G61" s="59"/>
      <c r="H61" s="54"/>
      <c r="I61" s="55"/>
      <c r="K61" s="58">
        <v>76</v>
      </c>
      <c r="L61" s="68">
        <f t="shared" si="4"/>
        <v>30.326086956521738</v>
      </c>
      <c r="M61" s="54">
        <v>-1505954</v>
      </c>
      <c r="N61" s="69">
        <f t="shared" si="5"/>
        <v>-49658.698207885303</v>
      </c>
      <c r="P61" s="58">
        <v>42</v>
      </c>
      <c r="Q61" s="68">
        <f t="shared" si="6"/>
        <v>33.41317365269461</v>
      </c>
      <c r="R61" s="54">
        <v>-1449513</v>
      </c>
      <c r="S61" s="69">
        <f t="shared" si="7"/>
        <v>-43381.48225806452</v>
      </c>
    </row>
    <row r="62" spans="1:19" x14ac:dyDescent="0.25">
      <c r="A62" s="58"/>
      <c r="B62" s="59"/>
      <c r="C62" s="54"/>
      <c r="D62" s="55"/>
      <c r="F62" s="58"/>
      <c r="G62" s="59"/>
      <c r="H62" s="54"/>
      <c r="I62" s="55"/>
      <c r="K62" s="58">
        <v>52</v>
      </c>
      <c r="L62" s="68">
        <f t="shared" si="4"/>
        <v>30.326086956521738</v>
      </c>
      <c r="M62" s="54">
        <v>-1572435</v>
      </c>
      <c r="N62" s="69">
        <f t="shared" si="5"/>
        <v>-51850.903225806454</v>
      </c>
      <c r="P62" s="58">
        <v>28</v>
      </c>
      <c r="Q62" s="68">
        <f t="shared" si="6"/>
        <v>33.41317365269461</v>
      </c>
      <c r="R62" s="54">
        <v>-1475625</v>
      </c>
      <c r="S62" s="69">
        <f t="shared" si="7"/>
        <v>-44162.970430107525</v>
      </c>
    </row>
    <row r="63" spans="1:19" x14ac:dyDescent="0.25">
      <c r="A63" s="58"/>
      <c r="B63" s="59"/>
      <c r="C63" s="54"/>
      <c r="D63" s="55"/>
      <c r="F63" s="58"/>
      <c r="G63" s="59"/>
      <c r="H63" s="54"/>
      <c r="I63" s="55"/>
      <c r="K63" s="58">
        <v>100</v>
      </c>
      <c r="L63" s="68">
        <f t="shared" si="4"/>
        <v>30.326086956521738</v>
      </c>
      <c r="M63" s="54">
        <v>-1597710</v>
      </c>
      <c r="N63" s="69">
        <f t="shared" si="5"/>
        <v>-52684.344086021505</v>
      </c>
      <c r="P63" s="58">
        <v>83</v>
      </c>
      <c r="Q63" s="68">
        <f t="shared" si="6"/>
        <v>33.41317365269461</v>
      </c>
      <c r="R63" s="54">
        <v>-1533913</v>
      </c>
      <c r="S63" s="69">
        <f t="shared" si="7"/>
        <v>-45907.432078853046</v>
      </c>
    </row>
    <row r="64" spans="1:19" x14ac:dyDescent="0.25">
      <c r="A64" s="58"/>
      <c r="B64" s="59"/>
      <c r="C64" s="54"/>
      <c r="D64" s="55"/>
      <c r="F64" s="58"/>
      <c r="G64" s="59"/>
      <c r="H64" s="54"/>
      <c r="I64" s="55"/>
      <c r="K64" s="58">
        <v>51</v>
      </c>
      <c r="L64" s="68">
        <f t="shared" si="4"/>
        <v>30.326086956521738</v>
      </c>
      <c r="M64" s="54">
        <v>-1602000</v>
      </c>
      <c r="N64" s="69">
        <f t="shared" si="5"/>
        <v>-52825.806451612902</v>
      </c>
      <c r="P64" s="58">
        <v>77</v>
      </c>
      <c r="Q64" s="68">
        <f t="shared" si="6"/>
        <v>33.41317365269461</v>
      </c>
      <c r="R64" s="54">
        <v>-1545855</v>
      </c>
      <c r="S64" s="69">
        <f t="shared" si="7"/>
        <v>-46264.836021505376</v>
      </c>
    </row>
    <row r="65" spans="1:19" x14ac:dyDescent="0.25">
      <c r="A65" s="58"/>
      <c r="B65" s="59"/>
      <c r="C65" s="54"/>
      <c r="D65" s="55"/>
      <c r="F65" s="58"/>
      <c r="G65" s="59"/>
      <c r="H65" s="54"/>
      <c r="I65" s="55"/>
      <c r="K65" s="58"/>
      <c r="L65" s="59"/>
      <c r="M65" s="54"/>
      <c r="N65" s="55"/>
      <c r="P65" s="58"/>
      <c r="Q65" s="59"/>
      <c r="R65" s="54"/>
      <c r="S65" s="55"/>
    </row>
    <row r="66" spans="1:19" x14ac:dyDescent="0.25">
      <c r="A66" s="58"/>
      <c r="B66" s="59"/>
      <c r="C66" s="54"/>
      <c r="D66" s="55"/>
      <c r="F66" s="58"/>
      <c r="G66" s="59"/>
      <c r="H66" s="54"/>
      <c r="I66" s="55"/>
      <c r="K66" s="58"/>
      <c r="L66" s="59"/>
      <c r="M66" s="54"/>
      <c r="N66" s="55"/>
      <c r="P66" s="58"/>
      <c r="Q66" s="59"/>
      <c r="R66" s="54"/>
      <c r="S66" s="55"/>
    </row>
    <row r="67" spans="1:19" x14ac:dyDescent="0.25">
      <c r="A67" s="58"/>
      <c r="B67" s="59"/>
      <c r="C67" s="54"/>
      <c r="D67" s="55"/>
      <c r="F67" s="58"/>
      <c r="G67" s="59"/>
      <c r="H67" s="54"/>
      <c r="I67" s="55"/>
      <c r="K67" s="58"/>
      <c r="L67" s="59"/>
      <c r="M67" s="54"/>
      <c r="N67" s="55"/>
      <c r="P67" s="58"/>
      <c r="Q67" s="59"/>
      <c r="R67" s="54"/>
      <c r="S67" s="55"/>
    </row>
    <row r="68" spans="1:19" x14ac:dyDescent="0.25">
      <c r="A68" s="58"/>
      <c r="B68" s="59"/>
      <c r="C68" s="54"/>
      <c r="D68" s="55"/>
      <c r="F68" s="58"/>
      <c r="G68" s="59"/>
      <c r="H68" s="54"/>
      <c r="I68" s="55"/>
      <c r="K68" s="58"/>
      <c r="L68" s="59"/>
      <c r="M68" s="54"/>
      <c r="N68" s="55"/>
      <c r="P68" s="58"/>
      <c r="Q68" s="59"/>
      <c r="R68" s="54"/>
      <c r="S68" s="55"/>
    </row>
    <row r="69" spans="1:19" x14ac:dyDescent="0.25">
      <c r="A69" s="58"/>
      <c r="B69" s="59"/>
      <c r="C69" s="54"/>
      <c r="D69" s="55"/>
      <c r="F69" s="58"/>
      <c r="G69" s="59"/>
      <c r="H69" s="54"/>
      <c r="I69" s="55"/>
      <c r="K69" s="58"/>
      <c r="L69" s="59"/>
      <c r="M69" s="54"/>
      <c r="N69" s="55"/>
      <c r="P69" s="58"/>
      <c r="Q69" s="59"/>
      <c r="R69" s="54"/>
      <c r="S69" s="55"/>
    </row>
    <row r="70" spans="1:19" x14ac:dyDescent="0.25">
      <c r="A70" s="58"/>
      <c r="B70" s="59"/>
      <c r="C70" s="54"/>
      <c r="D70" s="55"/>
      <c r="F70" s="58"/>
      <c r="G70" s="59"/>
      <c r="H70" s="54"/>
      <c r="I70" s="55"/>
      <c r="K70" s="58"/>
      <c r="L70" s="59"/>
      <c r="M70" s="54"/>
      <c r="N70" s="55"/>
      <c r="P70" s="58"/>
      <c r="Q70" s="59"/>
      <c r="R70" s="54"/>
      <c r="S70" s="55"/>
    </row>
    <row r="71" spans="1:19" x14ac:dyDescent="0.25">
      <c r="A71" s="58"/>
      <c r="B71" s="59"/>
      <c r="C71" s="54"/>
      <c r="D71" s="55"/>
      <c r="F71" s="58"/>
      <c r="G71" s="59"/>
      <c r="H71" s="54"/>
      <c r="I71" s="55"/>
      <c r="K71" s="58"/>
      <c r="L71" s="59"/>
      <c r="M71" s="54"/>
      <c r="N71" s="55"/>
      <c r="P71" s="58"/>
      <c r="Q71" s="59"/>
      <c r="R71" s="54"/>
      <c r="S71" s="55"/>
    </row>
    <row r="72" spans="1:19" x14ac:dyDescent="0.25">
      <c r="A72" s="58"/>
      <c r="B72" s="59"/>
      <c r="C72" s="54"/>
      <c r="D72" s="55"/>
      <c r="F72" s="58"/>
      <c r="G72" s="59"/>
      <c r="H72" s="54"/>
      <c r="I72" s="55"/>
      <c r="K72" s="58"/>
      <c r="L72" s="59"/>
      <c r="M72" s="54"/>
      <c r="N72" s="55"/>
      <c r="P72" s="58"/>
      <c r="Q72" s="59"/>
      <c r="R72" s="54"/>
      <c r="S72" s="55"/>
    </row>
    <row r="73" spans="1:19" x14ac:dyDescent="0.25">
      <c r="A73" s="58"/>
      <c r="B73" s="59"/>
      <c r="C73" s="54"/>
      <c r="D73" s="55"/>
      <c r="F73" s="58"/>
      <c r="G73" s="59"/>
      <c r="H73" s="54"/>
      <c r="I73" s="55"/>
      <c r="K73" s="58"/>
      <c r="L73" s="59"/>
      <c r="M73" s="54"/>
      <c r="N73" s="55"/>
      <c r="P73" s="58"/>
      <c r="Q73" s="59"/>
      <c r="R73" s="54"/>
      <c r="S73" s="55"/>
    </row>
    <row r="74" spans="1:19" x14ac:dyDescent="0.25">
      <c r="A74" s="58"/>
      <c r="B74" s="59"/>
      <c r="C74" s="54"/>
      <c r="D74" s="55"/>
      <c r="F74" s="58"/>
      <c r="G74" s="59"/>
      <c r="H74" s="54"/>
      <c r="I74" s="55"/>
      <c r="K74" s="58"/>
      <c r="L74" s="59"/>
      <c r="M74" s="54"/>
      <c r="N74" s="55"/>
      <c r="P74" s="58"/>
      <c r="Q74" s="59"/>
      <c r="R74" s="54"/>
      <c r="S74" s="55"/>
    </row>
    <row r="75" spans="1:19" x14ac:dyDescent="0.25">
      <c r="A75" s="58"/>
      <c r="B75" s="59"/>
      <c r="C75" s="54"/>
      <c r="D75" s="55"/>
      <c r="F75" s="58"/>
      <c r="G75" s="59"/>
      <c r="H75" s="54"/>
      <c r="I75" s="55"/>
      <c r="K75" s="58"/>
      <c r="L75" s="59"/>
      <c r="M75" s="54"/>
      <c r="N75" s="55"/>
      <c r="P75" s="58"/>
      <c r="Q75" s="59"/>
      <c r="R75" s="54"/>
      <c r="S75" s="55"/>
    </row>
    <row r="76" spans="1:19" x14ac:dyDescent="0.25">
      <c r="A76" s="58"/>
      <c r="B76" s="59"/>
      <c r="C76" s="54"/>
      <c r="D76" s="55"/>
      <c r="F76" s="58"/>
      <c r="G76" s="59"/>
      <c r="H76" s="54"/>
      <c r="I76" s="55"/>
      <c r="K76" s="58"/>
      <c r="L76" s="59"/>
      <c r="M76" s="54"/>
      <c r="N76" s="55"/>
      <c r="P76" s="58"/>
      <c r="Q76" s="59"/>
      <c r="R76" s="54"/>
      <c r="S76" s="55"/>
    </row>
    <row r="77" spans="1:19" x14ac:dyDescent="0.25">
      <c r="A77" s="58"/>
      <c r="B77" s="59"/>
      <c r="C77" s="54"/>
      <c r="D77" s="55"/>
      <c r="F77" s="58"/>
      <c r="G77" s="59"/>
      <c r="H77" s="54"/>
      <c r="I77" s="55"/>
      <c r="K77" s="58"/>
      <c r="L77" s="59"/>
      <c r="M77" s="54"/>
      <c r="N77" s="55"/>
      <c r="P77" s="58"/>
      <c r="Q77" s="59"/>
      <c r="R77" s="54"/>
      <c r="S77" s="55"/>
    </row>
    <row r="78" spans="1:19" x14ac:dyDescent="0.25">
      <c r="A78" s="58"/>
      <c r="B78" s="59"/>
      <c r="C78" s="54"/>
      <c r="D78" s="55"/>
      <c r="F78" s="58"/>
      <c r="G78" s="59"/>
      <c r="H78" s="54"/>
      <c r="I78" s="55"/>
      <c r="K78" s="58"/>
      <c r="L78" s="59"/>
      <c r="M78" s="54"/>
      <c r="N78" s="55"/>
      <c r="P78" s="58"/>
      <c r="Q78" s="59"/>
      <c r="R78" s="54"/>
      <c r="S78" s="55"/>
    </row>
    <row r="79" spans="1:19" x14ac:dyDescent="0.25">
      <c r="A79" s="58"/>
      <c r="B79" s="59"/>
      <c r="C79" s="54"/>
      <c r="D79" s="55"/>
      <c r="F79" s="58"/>
      <c r="G79" s="59"/>
      <c r="H79" s="54"/>
      <c r="I79" s="55"/>
      <c r="K79" s="58"/>
      <c r="L79" s="59"/>
      <c r="M79" s="54"/>
      <c r="N79" s="55"/>
      <c r="P79" s="58"/>
      <c r="Q79" s="59"/>
      <c r="R79" s="54"/>
      <c r="S79" s="55"/>
    </row>
    <row r="80" spans="1:19" x14ac:dyDescent="0.25">
      <c r="A80" s="58"/>
      <c r="B80" s="59"/>
      <c r="C80" s="54"/>
      <c r="D80" s="55"/>
      <c r="F80" s="58"/>
      <c r="G80" s="59"/>
      <c r="H80" s="54"/>
      <c r="I80" s="55"/>
      <c r="K80" s="58"/>
      <c r="L80" s="59"/>
      <c r="M80" s="54"/>
      <c r="N80" s="55"/>
      <c r="P80" s="58"/>
      <c r="Q80" s="59"/>
      <c r="R80" s="54"/>
      <c r="S80" s="55"/>
    </row>
    <row r="81" spans="1:19" x14ac:dyDescent="0.25">
      <c r="A81" s="58"/>
      <c r="B81" s="59"/>
      <c r="C81" s="54"/>
      <c r="D81" s="55"/>
      <c r="F81" s="58"/>
      <c r="G81" s="59"/>
      <c r="H81" s="54"/>
      <c r="I81" s="55"/>
      <c r="K81" s="58"/>
      <c r="L81" s="59"/>
      <c r="M81" s="54"/>
      <c r="N81" s="55"/>
      <c r="P81" s="58"/>
      <c r="Q81" s="59"/>
      <c r="R81" s="54"/>
      <c r="S81" s="55"/>
    </row>
    <row r="82" spans="1:19" x14ac:dyDescent="0.25">
      <c r="A82" s="58"/>
      <c r="B82" s="59"/>
      <c r="C82" s="54"/>
      <c r="D82" s="55"/>
      <c r="F82" s="58"/>
      <c r="G82" s="59"/>
      <c r="H82" s="54"/>
      <c r="I82" s="55"/>
      <c r="K82" s="58"/>
      <c r="L82" s="59"/>
      <c r="M82" s="54"/>
      <c r="N82" s="55"/>
      <c r="P82" s="58"/>
      <c r="Q82" s="59"/>
      <c r="R82" s="54"/>
      <c r="S82" s="55"/>
    </row>
    <row r="83" spans="1:19" x14ac:dyDescent="0.25">
      <c r="A83" s="58"/>
      <c r="B83" s="59"/>
      <c r="C83" s="54"/>
      <c r="D83" s="55"/>
      <c r="F83" s="58"/>
      <c r="G83" s="59"/>
      <c r="H83" s="54"/>
      <c r="I83" s="55"/>
      <c r="K83" s="58"/>
      <c r="L83" s="59"/>
      <c r="M83" s="54"/>
      <c r="N83" s="55"/>
      <c r="P83" s="58"/>
      <c r="Q83" s="59"/>
      <c r="R83" s="54"/>
      <c r="S83" s="55"/>
    </row>
    <row r="84" spans="1:19" x14ac:dyDescent="0.25">
      <c r="A84" s="58"/>
      <c r="B84" s="59"/>
      <c r="C84" s="54"/>
      <c r="D84" s="55"/>
      <c r="F84" s="58"/>
      <c r="G84" s="59"/>
      <c r="H84" s="54"/>
      <c r="I84" s="55"/>
      <c r="K84" s="58"/>
      <c r="L84" s="59"/>
      <c r="M84" s="54"/>
      <c r="N84" s="55"/>
      <c r="P84" s="58"/>
      <c r="Q84" s="59"/>
      <c r="R84" s="54"/>
      <c r="S84" s="55"/>
    </row>
    <row r="85" spans="1:19" x14ac:dyDescent="0.25">
      <c r="A85" s="58"/>
      <c r="B85" s="59"/>
      <c r="C85" s="54"/>
      <c r="D85" s="55"/>
      <c r="F85" s="58"/>
      <c r="G85" s="59"/>
      <c r="H85" s="54"/>
      <c r="I85" s="55"/>
      <c r="K85" s="58"/>
      <c r="L85" s="59"/>
      <c r="M85" s="54"/>
      <c r="N85" s="55"/>
      <c r="P85" s="58"/>
      <c r="Q85" s="59"/>
      <c r="R85" s="54"/>
      <c r="S85" s="55"/>
    </row>
    <row r="86" spans="1:19" x14ac:dyDescent="0.25">
      <c r="A86" s="58"/>
      <c r="B86" s="59"/>
      <c r="C86" s="54"/>
      <c r="D86" s="55"/>
      <c r="F86" s="58"/>
      <c r="G86" s="59"/>
      <c r="H86" s="54"/>
      <c r="I86" s="55"/>
      <c r="K86" s="58"/>
      <c r="L86" s="59"/>
      <c r="M86" s="54"/>
      <c r="N86" s="55"/>
      <c r="P86" s="58"/>
      <c r="Q86" s="59"/>
      <c r="R86" s="54"/>
      <c r="S86" s="55"/>
    </row>
    <row r="87" spans="1:19" x14ac:dyDescent="0.25">
      <c r="A87" s="58"/>
      <c r="B87" s="59"/>
      <c r="C87" s="54"/>
      <c r="D87" s="55"/>
      <c r="F87" s="58"/>
      <c r="G87" s="59"/>
      <c r="H87" s="54"/>
      <c r="I87" s="55"/>
      <c r="K87" s="58"/>
      <c r="L87" s="59"/>
      <c r="M87" s="54"/>
      <c r="N87" s="55"/>
      <c r="P87" s="58"/>
      <c r="Q87" s="59"/>
      <c r="R87" s="54"/>
      <c r="S87" s="55"/>
    </row>
    <row r="88" spans="1:19" x14ac:dyDescent="0.25">
      <c r="A88" s="58"/>
      <c r="B88" s="59"/>
      <c r="C88" s="54"/>
      <c r="D88" s="55"/>
      <c r="F88" s="58"/>
      <c r="G88" s="59"/>
      <c r="H88" s="54"/>
      <c r="I88" s="55"/>
      <c r="K88" s="58"/>
      <c r="L88" s="59"/>
      <c r="M88" s="54"/>
      <c r="N88" s="55"/>
      <c r="P88" s="58"/>
      <c r="Q88" s="59"/>
      <c r="R88" s="54"/>
      <c r="S88" s="55"/>
    </row>
    <row r="89" spans="1:19" x14ac:dyDescent="0.25">
      <c r="A89" s="58"/>
      <c r="B89" s="59"/>
      <c r="C89" s="54"/>
      <c r="D89" s="55"/>
      <c r="F89" s="58"/>
      <c r="G89" s="59"/>
      <c r="H89" s="54"/>
      <c r="I89" s="55"/>
      <c r="K89" s="58"/>
      <c r="L89" s="59"/>
      <c r="M89" s="54"/>
      <c r="N89" s="55"/>
      <c r="P89" s="58"/>
      <c r="Q89" s="59"/>
      <c r="R89" s="54"/>
      <c r="S89" s="55"/>
    </row>
    <row r="90" spans="1:19" x14ac:dyDescent="0.25">
      <c r="A90" s="58"/>
      <c r="B90" s="59"/>
      <c r="C90" s="54"/>
      <c r="D90" s="55"/>
      <c r="F90" s="58"/>
      <c r="G90" s="59"/>
      <c r="H90" s="54"/>
      <c r="I90" s="55"/>
      <c r="K90" s="58"/>
      <c r="L90" s="59"/>
      <c r="M90" s="54"/>
      <c r="N90" s="55"/>
      <c r="P90" s="58"/>
      <c r="Q90" s="59"/>
      <c r="R90" s="54"/>
      <c r="S90" s="55"/>
    </row>
    <row r="91" spans="1:19" x14ac:dyDescent="0.25">
      <c r="A91" s="58"/>
      <c r="B91" s="59"/>
      <c r="C91" s="54"/>
      <c r="D91" s="55"/>
      <c r="F91" s="58"/>
      <c r="G91" s="59"/>
      <c r="H91" s="54"/>
      <c r="I91" s="55"/>
      <c r="K91" s="58"/>
      <c r="L91" s="59"/>
      <c r="M91" s="54"/>
      <c r="N91" s="55"/>
      <c r="P91" s="58"/>
      <c r="Q91" s="59"/>
      <c r="R91" s="54"/>
      <c r="S91" s="55"/>
    </row>
    <row r="92" spans="1:19" x14ac:dyDescent="0.25">
      <c r="A92" s="58"/>
      <c r="B92" s="59"/>
      <c r="C92" s="54"/>
      <c r="D92" s="55"/>
      <c r="F92" s="58"/>
      <c r="G92" s="59"/>
      <c r="H92" s="54"/>
      <c r="I92" s="55"/>
      <c r="K92" s="58"/>
      <c r="L92" s="59"/>
      <c r="M92" s="54"/>
      <c r="N92" s="55"/>
      <c r="P92" s="58"/>
      <c r="Q92" s="59"/>
      <c r="R92" s="54"/>
      <c r="S92" s="55"/>
    </row>
    <row r="93" spans="1:19" x14ac:dyDescent="0.25">
      <c r="A93" s="58"/>
      <c r="B93" s="59"/>
      <c r="C93" s="54"/>
      <c r="D93" s="55"/>
      <c r="F93" s="58"/>
      <c r="G93" s="59"/>
      <c r="H93" s="54"/>
      <c r="I93" s="55"/>
      <c r="K93" s="58"/>
      <c r="L93" s="59"/>
      <c r="M93" s="54"/>
      <c r="N93" s="55"/>
      <c r="P93" s="58"/>
      <c r="Q93" s="59"/>
      <c r="R93" s="54"/>
      <c r="S93" s="55"/>
    </row>
    <row r="94" spans="1:19" x14ac:dyDescent="0.25">
      <c r="A94" s="58"/>
      <c r="B94" s="59"/>
      <c r="C94" s="54"/>
      <c r="D94" s="55"/>
      <c r="F94" s="58"/>
      <c r="G94" s="59"/>
      <c r="H94" s="54"/>
      <c r="I94" s="55"/>
      <c r="K94" s="58"/>
      <c r="L94" s="59"/>
      <c r="M94" s="54"/>
      <c r="N94" s="55"/>
      <c r="P94" s="58"/>
      <c r="Q94" s="59"/>
      <c r="R94" s="54"/>
      <c r="S94" s="55"/>
    </row>
    <row r="95" spans="1:19" x14ac:dyDescent="0.25">
      <c r="A95" s="58"/>
      <c r="B95" s="59"/>
      <c r="C95" s="54"/>
      <c r="D95" s="55"/>
      <c r="F95" s="58"/>
      <c r="G95" s="59"/>
      <c r="H95" s="54"/>
      <c r="I95" s="55"/>
      <c r="K95" s="58"/>
      <c r="L95" s="59"/>
      <c r="M95" s="54"/>
      <c r="N95" s="55"/>
      <c r="P95" s="58"/>
      <c r="Q95" s="59"/>
      <c r="R95" s="54"/>
      <c r="S95" s="55"/>
    </row>
    <row r="96" spans="1:19" x14ac:dyDescent="0.25">
      <c r="A96" s="58"/>
      <c r="B96" s="59"/>
      <c r="C96" s="54"/>
      <c r="D96" s="55"/>
      <c r="F96" s="58"/>
      <c r="G96" s="59"/>
      <c r="H96" s="54"/>
      <c r="I96" s="55"/>
      <c r="K96" s="58"/>
      <c r="L96" s="59"/>
      <c r="M96" s="54"/>
      <c r="N96" s="55"/>
      <c r="P96" s="58"/>
      <c r="Q96" s="59"/>
      <c r="R96" s="54"/>
      <c r="S96" s="55"/>
    </row>
    <row r="97" spans="1:19" x14ac:dyDescent="0.25">
      <c r="A97" s="58"/>
      <c r="B97" s="59"/>
      <c r="C97" s="54"/>
      <c r="D97" s="55"/>
      <c r="F97" s="58"/>
      <c r="G97" s="59"/>
      <c r="H97" s="54"/>
      <c r="I97" s="55"/>
      <c r="K97" s="58"/>
      <c r="L97" s="59"/>
      <c r="M97" s="54"/>
      <c r="N97" s="55"/>
      <c r="P97" s="58"/>
      <c r="Q97" s="59"/>
      <c r="R97" s="54"/>
      <c r="S97" s="55"/>
    </row>
    <row r="98" spans="1:19" x14ac:dyDescent="0.25">
      <c r="A98" s="58"/>
      <c r="B98" s="59"/>
      <c r="C98" s="54"/>
      <c r="D98" s="55"/>
      <c r="F98" s="58"/>
      <c r="G98" s="59"/>
      <c r="H98" s="54"/>
      <c r="I98" s="55"/>
      <c r="K98" s="58"/>
      <c r="L98" s="59"/>
      <c r="M98" s="54"/>
      <c r="N98" s="55"/>
      <c r="P98" s="58"/>
      <c r="Q98" s="59"/>
      <c r="R98" s="54"/>
      <c r="S98" s="55"/>
    </row>
    <row r="99" spans="1:19" x14ac:dyDescent="0.25">
      <c r="A99" s="58"/>
      <c r="B99" s="59"/>
      <c r="C99" s="54"/>
      <c r="D99" s="55"/>
      <c r="F99" s="58"/>
      <c r="G99" s="59"/>
      <c r="H99" s="54"/>
      <c r="I99" s="55"/>
      <c r="K99" s="58"/>
      <c r="L99" s="59"/>
      <c r="M99" s="54"/>
      <c r="N99" s="55"/>
      <c r="P99" s="58"/>
      <c r="Q99" s="59"/>
      <c r="R99" s="54"/>
      <c r="S99" s="55"/>
    </row>
    <row r="100" spans="1:19" x14ac:dyDescent="0.25">
      <c r="A100" s="58"/>
      <c r="B100" s="59"/>
      <c r="C100" s="54"/>
      <c r="D100" s="55"/>
      <c r="F100" s="58"/>
      <c r="G100" s="59"/>
      <c r="H100" s="54"/>
      <c r="I100" s="55"/>
      <c r="K100" s="58"/>
      <c r="L100" s="59"/>
      <c r="M100" s="54"/>
      <c r="N100" s="55"/>
      <c r="P100" s="58"/>
      <c r="Q100" s="59"/>
      <c r="R100" s="54"/>
      <c r="S100" s="55"/>
    </row>
    <row r="101" spans="1:19" x14ac:dyDescent="0.25">
      <c r="A101" s="58"/>
      <c r="B101" s="59"/>
      <c r="C101" s="54"/>
      <c r="D101" s="55"/>
      <c r="F101" s="58"/>
      <c r="G101" s="59"/>
      <c r="H101" s="54"/>
      <c r="I101" s="55"/>
      <c r="K101" s="58"/>
      <c r="L101" s="59"/>
      <c r="M101" s="54"/>
      <c r="N101" s="55"/>
      <c r="P101" s="58"/>
      <c r="Q101" s="59"/>
      <c r="R101" s="54"/>
      <c r="S101" s="55"/>
    </row>
    <row r="102" spans="1:19" x14ac:dyDescent="0.25">
      <c r="A102" s="58"/>
      <c r="B102" s="59"/>
      <c r="C102" s="54"/>
      <c r="D102" s="55"/>
      <c r="F102" s="58"/>
      <c r="G102" s="59"/>
      <c r="H102" s="54"/>
      <c r="I102" s="55"/>
      <c r="K102" s="58"/>
      <c r="L102" s="59"/>
      <c r="M102" s="54"/>
      <c r="N102" s="55"/>
      <c r="P102" s="58"/>
      <c r="Q102" s="59"/>
      <c r="R102" s="54"/>
      <c r="S102" s="55"/>
    </row>
    <row r="103" spans="1:19" x14ac:dyDescent="0.25">
      <c r="A103" s="58"/>
      <c r="B103" s="59"/>
      <c r="C103" s="54"/>
      <c r="D103" s="55"/>
      <c r="F103" s="58"/>
      <c r="G103" s="59"/>
      <c r="H103" s="54"/>
      <c r="I103" s="55"/>
      <c r="K103" s="58"/>
      <c r="L103" s="59"/>
      <c r="M103" s="54"/>
      <c r="N103" s="55"/>
      <c r="P103" s="58"/>
      <c r="Q103" s="59"/>
      <c r="R103" s="54"/>
      <c r="S103" s="55"/>
    </row>
    <row r="104" spans="1:19" x14ac:dyDescent="0.25">
      <c r="A104" s="58"/>
      <c r="B104" s="59"/>
      <c r="C104" s="54"/>
      <c r="D104" s="55"/>
      <c r="F104" s="58"/>
      <c r="G104" s="59"/>
      <c r="H104" s="54"/>
      <c r="I104" s="55"/>
      <c r="K104" s="58"/>
      <c r="L104" s="59"/>
      <c r="M104" s="54"/>
      <c r="N104" s="55"/>
      <c r="P104" s="58"/>
      <c r="Q104" s="59"/>
      <c r="R104" s="54"/>
      <c r="S104" s="55"/>
    </row>
    <row r="105" spans="1:19" x14ac:dyDescent="0.25">
      <c r="A105" s="58"/>
      <c r="B105" s="59"/>
      <c r="C105" s="54"/>
      <c r="D105" s="55"/>
      <c r="F105" s="58"/>
      <c r="G105" s="59"/>
      <c r="H105" s="54"/>
      <c r="I105" s="55"/>
      <c r="K105" s="58"/>
      <c r="L105" s="59"/>
      <c r="M105" s="54"/>
      <c r="N105" s="55"/>
      <c r="P105" s="58"/>
      <c r="Q105" s="59"/>
      <c r="R105" s="54"/>
      <c r="S105" s="55"/>
    </row>
    <row r="106" spans="1:19" x14ac:dyDescent="0.25">
      <c r="A106" s="58"/>
      <c r="B106" s="59"/>
      <c r="C106" s="54"/>
      <c r="D106" s="55"/>
      <c r="F106" s="58"/>
      <c r="G106" s="59"/>
      <c r="H106" s="54"/>
      <c r="I106" s="55"/>
      <c r="K106" s="58"/>
      <c r="L106" s="59"/>
      <c r="M106" s="54"/>
      <c r="N106" s="55"/>
      <c r="P106" s="58"/>
      <c r="Q106" s="59"/>
      <c r="R106" s="54"/>
      <c r="S106" s="55"/>
    </row>
    <row r="107" spans="1:19" x14ac:dyDescent="0.25">
      <c r="A107" s="58"/>
      <c r="B107" s="59"/>
      <c r="C107" s="54"/>
      <c r="D107" s="55"/>
      <c r="F107" s="58"/>
      <c r="G107" s="59"/>
      <c r="H107" s="54"/>
      <c r="I107" s="55"/>
      <c r="K107" s="58"/>
      <c r="L107" s="59"/>
      <c r="M107" s="54"/>
      <c r="N107" s="55"/>
      <c r="P107" s="58"/>
      <c r="Q107" s="59"/>
      <c r="R107" s="54"/>
      <c r="S107" s="55"/>
    </row>
    <row r="108" spans="1:19" x14ac:dyDescent="0.25">
      <c r="A108" s="58"/>
      <c r="B108" s="59"/>
      <c r="C108" s="54"/>
      <c r="D108" s="55"/>
      <c r="F108" s="58"/>
      <c r="G108" s="59"/>
      <c r="H108" s="54"/>
      <c r="I108" s="55"/>
      <c r="K108" s="58"/>
      <c r="L108" s="59"/>
      <c r="M108" s="54"/>
      <c r="N108" s="55"/>
      <c r="P108" s="58"/>
      <c r="Q108" s="59"/>
      <c r="R108" s="54"/>
      <c r="S108" s="55"/>
    </row>
    <row r="109" spans="1:19" x14ac:dyDescent="0.25">
      <c r="A109" s="58"/>
      <c r="B109" s="59"/>
      <c r="C109" s="54"/>
      <c r="D109" s="55"/>
      <c r="F109" s="58"/>
      <c r="G109" s="59"/>
      <c r="H109" s="54"/>
      <c r="I109" s="55"/>
      <c r="K109" s="58"/>
      <c r="L109" s="59"/>
      <c r="M109" s="54"/>
      <c r="N109" s="55"/>
      <c r="P109" s="58"/>
      <c r="Q109" s="59"/>
      <c r="R109" s="54"/>
      <c r="S109" s="55"/>
    </row>
    <row r="110" spans="1:19" x14ac:dyDescent="0.25">
      <c r="A110" s="58"/>
      <c r="B110" s="59"/>
      <c r="C110" s="54"/>
      <c r="D110" s="55"/>
      <c r="F110" s="58"/>
      <c r="G110" s="59"/>
      <c r="H110" s="54"/>
      <c r="I110" s="55"/>
      <c r="K110" s="58"/>
      <c r="L110" s="59"/>
      <c r="M110" s="54"/>
      <c r="N110" s="55"/>
      <c r="P110" s="58"/>
      <c r="Q110" s="59"/>
      <c r="R110" s="54"/>
      <c r="S110" s="55"/>
    </row>
    <row r="111" spans="1:19" x14ac:dyDescent="0.25">
      <c r="A111" s="58"/>
      <c r="B111" s="59"/>
      <c r="C111" s="54"/>
      <c r="D111" s="55"/>
      <c r="F111" s="58"/>
      <c r="G111" s="59"/>
      <c r="H111" s="54"/>
      <c r="I111" s="55"/>
      <c r="K111" s="58"/>
      <c r="L111" s="59"/>
      <c r="M111" s="54"/>
      <c r="N111" s="55"/>
      <c r="P111" s="58"/>
      <c r="Q111" s="59"/>
      <c r="R111" s="54"/>
      <c r="S111" s="55"/>
    </row>
    <row r="112" spans="1:19" x14ac:dyDescent="0.25">
      <c r="A112" s="58"/>
      <c r="B112" s="59"/>
      <c r="C112" s="54"/>
      <c r="D112" s="55"/>
      <c r="F112" s="58"/>
      <c r="G112" s="59"/>
      <c r="H112" s="54"/>
      <c r="I112" s="55"/>
      <c r="K112" s="58"/>
      <c r="L112" s="59"/>
      <c r="M112" s="54"/>
      <c r="N112" s="55"/>
      <c r="P112" s="58"/>
      <c r="Q112" s="59"/>
      <c r="R112" s="54"/>
      <c r="S112" s="55"/>
    </row>
    <row r="113" spans="1:19" x14ac:dyDescent="0.25">
      <c r="A113" s="58"/>
      <c r="B113" s="59"/>
      <c r="C113" s="54"/>
      <c r="D113" s="55"/>
      <c r="F113" s="58"/>
      <c r="G113" s="59"/>
      <c r="H113" s="54"/>
      <c r="I113" s="55"/>
      <c r="K113" s="58"/>
      <c r="L113" s="59"/>
      <c r="M113" s="54"/>
      <c r="N113" s="55"/>
      <c r="P113" s="58"/>
      <c r="Q113" s="59"/>
      <c r="R113" s="54"/>
      <c r="S113" s="55"/>
    </row>
    <row r="114" spans="1:19" x14ac:dyDescent="0.25">
      <c r="A114" s="58"/>
      <c r="B114" s="59"/>
      <c r="C114" s="54"/>
      <c r="D114" s="55"/>
      <c r="F114" s="58"/>
      <c r="G114" s="59"/>
      <c r="H114" s="54"/>
      <c r="I114" s="55"/>
      <c r="K114" s="58"/>
      <c r="L114" s="59"/>
      <c r="M114" s="54"/>
      <c r="N114" s="55"/>
      <c r="P114" s="58"/>
      <c r="Q114" s="59"/>
      <c r="R114" s="54"/>
      <c r="S114" s="55"/>
    </row>
    <row r="115" spans="1:19" x14ac:dyDescent="0.25">
      <c r="A115" s="58"/>
      <c r="B115" s="59"/>
      <c r="C115" s="54"/>
      <c r="D115" s="55"/>
      <c r="F115" s="58"/>
      <c r="G115" s="59"/>
      <c r="H115" s="54"/>
      <c r="I115" s="55"/>
      <c r="K115" s="58"/>
      <c r="L115" s="59"/>
      <c r="M115" s="54"/>
      <c r="N115" s="55"/>
      <c r="P115" s="58"/>
      <c r="Q115" s="59"/>
      <c r="R115" s="54"/>
      <c r="S115" s="55"/>
    </row>
    <row r="116" spans="1:19" x14ac:dyDescent="0.25">
      <c r="A116" s="58"/>
      <c r="B116" s="59"/>
      <c r="C116" s="54"/>
      <c r="D116" s="55"/>
      <c r="F116" s="58"/>
      <c r="G116" s="59"/>
      <c r="H116" s="54"/>
      <c r="I116" s="55"/>
      <c r="K116" s="58"/>
      <c r="L116" s="59"/>
      <c r="M116" s="54"/>
      <c r="N116" s="55"/>
      <c r="P116" s="58"/>
      <c r="Q116" s="59"/>
      <c r="R116" s="54"/>
      <c r="S116" s="55"/>
    </row>
    <row r="117" spans="1:19" x14ac:dyDescent="0.25">
      <c r="A117" s="58"/>
      <c r="B117" s="59"/>
      <c r="C117" s="54"/>
      <c r="D117" s="55"/>
      <c r="F117" s="58"/>
      <c r="G117" s="59"/>
      <c r="H117" s="54"/>
      <c r="I117" s="55"/>
      <c r="K117" s="58"/>
      <c r="L117" s="59"/>
      <c r="M117" s="54"/>
      <c r="N117" s="55"/>
      <c r="P117" s="58"/>
      <c r="Q117" s="59"/>
      <c r="R117" s="54"/>
      <c r="S117" s="55"/>
    </row>
    <row r="118" spans="1:19" ht="15.75" thickBot="1" x14ac:dyDescent="0.3">
      <c r="A118" s="60"/>
      <c r="B118" s="61"/>
      <c r="C118" s="56"/>
      <c r="D118" s="57"/>
      <c r="F118" s="60"/>
      <c r="G118" s="61"/>
      <c r="H118" s="56"/>
      <c r="I118" s="57"/>
      <c r="K118" s="58"/>
      <c r="L118" s="59"/>
      <c r="M118" s="54"/>
      <c r="N118" s="55"/>
      <c r="P118" s="58"/>
      <c r="Q118" s="59"/>
      <c r="R118" s="54"/>
      <c r="S118" s="55"/>
    </row>
    <row r="119" spans="1:19" x14ac:dyDescent="0.25">
      <c r="K119" s="58"/>
      <c r="L119" s="59"/>
      <c r="M119" s="54"/>
      <c r="N119" s="55"/>
      <c r="P119" s="58"/>
      <c r="Q119" s="59"/>
      <c r="R119" s="54"/>
      <c r="S119" s="55"/>
    </row>
    <row r="120" spans="1:19" x14ac:dyDescent="0.25">
      <c r="K120" s="58"/>
      <c r="L120" s="59"/>
      <c r="M120" s="54"/>
      <c r="N120" s="55"/>
      <c r="P120" s="58"/>
      <c r="Q120" s="59"/>
      <c r="R120" s="54"/>
      <c r="S120" s="55"/>
    </row>
    <row r="121" spans="1:19" x14ac:dyDescent="0.25">
      <c r="K121" s="58"/>
      <c r="L121" s="59"/>
      <c r="M121" s="54"/>
      <c r="N121" s="55"/>
      <c r="P121" s="58"/>
      <c r="Q121" s="59"/>
      <c r="R121" s="54"/>
      <c r="S121" s="55"/>
    </row>
    <row r="122" spans="1:19" x14ac:dyDescent="0.25">
      <c r="K122" s="58"/>
      <c r="L122" s="59"/>
      <c r="M122" s="54"/>
      <c r="N122" s="55"/>
      <c r="P122" s="58"/>
      <c r="Q122" s="59"/>
      <c r="R122" s="54"/>
      <c r="S122" s="55"/>
    </row>
    <row r="123" spans="1:19" x14ac:dyDescent="0.25">
      <c r="K123" s="58"/>
      <c r="L123" s="59"/>
      <c r="M123" s="54"/>
      <c r="N123" s="55"/>
      <c r="P123" s="58"/>
      <c r="Q123" s="59"/>
      <c r="R123" s="54"/>
      <c r="S123" s="55"/>
    </row>
    <row r="124" spans="1:19" x14ac:dyDescent="0.25">
      <c r="K124" s="58"/>
      <c r="L124" s="59"/>
      <c r="M124" s="54"/>
      <c r="N124" s="55"/>
      <c r="P124" s="58"/>
      <c r="Q124" s="59"/>
      <c r="R124" s="54"/>
      <c r="S124" s="55"/>
    </row>
    <row r="125" spans="1:19" x14ac:dyDescent="0.25">
      <c r="K125" s="58"/>
      <c r="L125" s="59"/>
      <c r="M125" s="54"/>
      <c r="N125" s="55"/>
      <c r="P125" s="58"/>
      <c r="Q125" s="59"/>
      <c r="R125" s="54"/>
      <c r="S125" s="55"/>
    </row>
    <row r="126" spans="1:19" x14ac:dyDescent="0.25">
      <c r="K126" s="58"/>
      <c r="L126" s="59"/>
      <c r="M126" s="54"/>
      <c r="N126" s="55"/>
      <c r="P126" s="58"/>
      <c r="Q126" s="59"/>
      <c r="R126" s="54"/>
      <c r="S126" s="55"/>
    </row>
    <row r="127" spans="1:19" x14ac:dyDescent="0.25">
      <c r="K127" s="58"/>
      <c r="L127" s="59"/>
      <c r="M127" s="54"/>
      <c r="N127" s="55"/>
      <c r="P127" s="58"/>
      <c r="Q127" s="59"/>
      <c r="R127" s="54"/>
      <c r="S127" s="55"/>
    </row>
    <row r="128" spans="1:19" x14ac:dyDescent="0.25">
      <c r="K128" s="58"/>
      <c r="L128" s="59"/>
      <c r="M128" s="54"/>
      <c r="N128" s="55"/>
      <c r="P128" s="58"/>
      <c r="Q128" s="59"/>
      <c r="R128" s="54"/>
      <c r="S128" s="55"/>
    </row>
    <row r="129" spans="11:19" x14ac:dyDescent="0.25">
      <c r="K129" s="58"/>
      <c r="L129" s="59"/>
      <c r="M129" s="54"/>
      <c r="N129" s="55"/>
      <c r="P129" s="58"/>
      <c r="Q129" s="59"/>
      <c r="R129" s="54"/>
      <c r="S129" s="55"/>
    </row>
    <row r="130" spans="11:19" x14ac:dyDescent="0.25">
      <c r="K130" s="58"/>
      <c r="L130" s="59"/>
      <c r="M130" s="54"/>
      <c r="N130" s="55"/>
      <c r="P130" s="58"/>
      <c r="Q130" s="59"/>
      <c r="R130" s="54"/>
      <c r="S130" s="55"/>
    </row>
    <row r="131" spans="11:19" x14ac:dyDescent="0.25">
      <c r="K131" s="58"/>
      <c r="L131" s="59"/>
      <c r="M131" s="54"/>
      <c r="N131" s="55"/>
      <c r="P131" s="58"/>
      <c r="Q131" s="59"/>
      <c r="R131" s="54"/>
      <c r="S131" s="55"/>
    </row>
    <row r="132" spans="11:19" x14ac:dyDescent="0.25">
      <c r="K132" s="58"/>
      <c r="L132" s="59"/>
      <c r="M132" s="54"/>
      <c r="N132" s="55"/>
      <c r="P132" s="58"/>
      <c r="Q132" s="59"/>
      <c r="R132" s="54"/>
      <c r="S132" s="55"/>
    </row>
    <row r="133" spans="11:19" x14ac:dyDescent="0.25">
      <c r="K133" s="58"/>
      <c r="L133" s="59"/>
      <c r="M133" s="54"/>
      <c r="N133" s="55"/>
      <c r="P133" s="58"/>
      <c r="Q133" s="59"/>
      <c r="R133" s="54"/>
      <c r="S133" s="55"/>
    </row>
    <row r="134" spans="11:19" x14ac:dyDescent="0.25">
      <c r="K134" s="58"/>
      <c r="L134" s="59"/>
      <c r="M134" s="54"/>
      <c r="N134" s="55"/>
      <c r="P134" s="58"/>
      <c r="Q134" s="59"/>
      <c r="R134" s="54"/>
      <c r="S134" s="55"/>
    </row>
    <row r="135" spans="11:19" x14ac:dyDescent="0.25">
      <c r="K135" s="58"/>
      <c r="L135" s="59"/>
      <c r="M135" s="54"/>
      <c r="N135" s="55"/>
      <c r="P135" s="58"/>
      <c r="Q135" s="59"/>
      <c r="R135" s="54"/>
      <c r="S135" s="55"/>
    </row>
    <row r="136" spans="11:19" x14ac:dyDescent="0.25">
      <c r="K136" s="58"/>
      <c r="L136" s="59"/>
      <c r="M136" s="54"/>
      <c r="N136" s="55"/>
      <c r="P136" s="58"/>
      <c r="Q136" s="59"/>
      <c r="R136" s="54"/>
      <c r="S136" s="55"/>
    </row>
    <row r="137" spans="11:19" x14ac:dyDescent="0.25">
      <c r="K137" s="58"/>
      <c r="L137" s="59"/>
      <c r="M137" s="54"/>
      <c r="N137" s="55"/>
      <c r="P137" s="58"/>
      <c r="Q137" s="59"/>
      <c r="R137" s="54"/>
      <c r="S137" s="55"/>
    </row>
    <row r="138" spans="11:19" x14ac:dyDescent="0.25">
      <c r="K138" s="58"/>
      <c r="L138" s="59"/>
      <c r="M138" s="54"/>
      <c r="N138" s="55"/>
      <c r="P138" s="58"/>
      <c r="Q138" s="59"/>
      <c r="R138" s="54"/>
      <c r="S138" s="55"/>
    </row>
    <row r="139" spans="11:19" x14ac:dyDescent="0.25">
      <c r="K139" s="58"/>
      <c r="L139" s="59"/>
      <c r="M139" s="54"/>
      <c r="N139" s="55"/>
      <c r="P139" s="58"/>
      <c r="Q139" s="59"/>
      <c r="R139" s="54"/>
      <c r="S139" s="55"/>
    </row>
    <row r="140" spans="11:19" x14ac:dyDescent="0.25">
      <c r="K140" s="58"/>
      <c r="L140" s="59"/>
      <c r="M140" s="54"/>
      <c r="N140" s="55"/>
      <c r="P140" s="58"/>
      <c r="Q140" s="59"/>
      <c r="R140" s="54"/>
      <c r="S140" s="55"/>
    </row>
    <row r="141" spans="11:19" x14ac:dyDescent="0.25">
      <c r="K141" s="58"/>
      <c r="L141" s="59"/>
      <c r="M141" s="54"/>
      <c r="N141" s="55"/>
      <c r="P141" s="58"/>
      <c r="Q141" s="59"/>
      <c r="R141" s="54"/>
      <c r="S141" s="55"/>
    </row>
    <row r="142" spans="11:19" x14ac:dyDescent="0.25">
      <c r="K142" s="58"/>
      <c r="L142" s="59"/>
      <c r="M142" s="54"/>
      <c r="N142" s="55"/>
      <c r="P142" s="58"/>
      <c r="Q142" s="59"/>
      <c r="R142" s="54"/>
      <c r="S142" s="55"/>
    </row>
    <row r="143" spans="11:19" x14ac:dyDescent="0.25">
      <c r="K143" s="58"/>
      <c r="L143" s="59"/>
      <c r="M143" s="54"/>
      <c r="N143" s="55"/>
      <c r="P143" s="58"/>
      <c r="Q143" s="59"/>
      <c r="R143" s="54"/>
      <c r="S143" s="55"/>
    </row>
    <row r="144" spans="11:19" x14ac:dyDescent="0.25">
      <c r="K144" s="58"/>
      <c r="L144" s="59"/>
      <c r="M144" s="54"/>
      <c r="N144" s="55"/>
      <c r="P144" s="58"/>
      <c r="Q144" s="59"/>
      <c r="R144" s="54"/>
      <c r="S144" s="55"/>
    </row>
    <row r="145" spans="11:19" x14ac:dyDescent="0.25">
      <c r="K145" s="58"/>
      <c r="L145" s="59"/>
      <c r="M145" s="54"/>
      <c r="N145" s="55"/>
      <c r="P145" s="58"/>
      <c r="Q145" s="59"/>
      <c r="R145" s="54"/>
      <c r="S145" s="55"/>
    </row>
    <row r="146" spans="11:19" x14ac:dyDescent="0.25">
      <c r="K146" s="58"/>
      <c r="L146" s="59"/>
      <c r="M146" s="54"/>
      <c r="N146" s="55"/>
      <c r="P146" s="58"/>
      <c r="Q146" s="59"/>
      <c r="R146" s="54"/>
      <c r="S146" s="55"/>
    </row>
    <row r="147" spans="11:19" x14ac:dyDescent="0.25">
      <c r="K147" s="58"/>
      <c r="L147" s="59"/>
      <c r="M147" s="54"/>
      <c r="N147" s="55"/>
      <c r="P147" s="58"/>
      <c r="Q147" s="59"/>
      <c r="R147" s="54"/>
      <c r="S147" s="55"/>
    </row>
    <row r="148" spans="11:19" x14ac:dyDescent="0.25">
      <c r="K148" s="58"/>
      <c r="L148" s="59"/>
      <c r="M148" s="54"/>
      <c r="N148" s="55"/>
      <c r="P148" s="58"/>
      <c r="Q148" s="59"/>
      <c r="R148" s="54"/>
      <c r="S148" s="55"/>
    </row>
    <row r="149" spans="11:19" x14ac:dyDescent="0.25">
      <c r="K149" s="58"/>
      <c r="L149" s="59"/>
      <c r="M149" s="54"/>
      <c r="N149" s="55"/>
      <c r="P149" s="58"/>
      <c r="Q149" s="59"/>
      <c r="R149" s="54"/>
      <c r="S149" s="55"/>
    </row>
    <row r="150" spans="11:19" x14ac:dyDescent="0.25">
      <c r="K150" s="58"/>
      <c r="L150" s="59"/>
      <c r="M150" s="54"/>
      <c r="N150" s="55"/>
      <c r="P150" s="58"/>
      <c r="Q150" s="59"/>
      <c r="R150" s="54"/>
      <c r="S150" s="55"/>
    </row>
    <row r="151" spans="11:19" x14ac:dyDescent="0.25">
      <c r="K151" s="58"/>
      <c r="L151" s="59"/>
      <c r="M151" s="54"/>
      <c r="N151" s="55"/>
      <c r="P151" s="58"/>
      <c r="Q151" s="59"/>
      <c r="R151" s="54"/>
      <c r="S151" s="55"/>
    </row>
    <row r="152" spans="11:19" x14ac:dyDescent="0.25">
      <c r="K152" s="58"/>
      <c r="L152" s="59"/>
      <c r="M152" s="54"/>
      <c r="N152" s="55"/>
      <c r="P152" s="58"/>
      <c r="Q152" s="59"/>
      <c r="R152" s="54"/>
      <c r="S152" s="55"/>
    </row>
    <row r="153" spans="11:19" x14ac:dyDescent="0.25">
      <c r="K153" s="58"/>
      <c r="L153" s="59"/>
      <c r="M153" s="54"/>
      <c r="N153" s="55"/>
      <c r="P153" s="58"/>
      <c r="Q153" s="59"/>
      <c r="R153" s="54"/>
      <c r="S153" s="55"/>
    </row>
    <row r="154" spans="11:19" x14ac:dyDescent="0.25">
      <c r="K154" s="58"/>
      <c r="L154" s="59"/>
      <c r="M154" s="54"/>
      <c r="N154" s="55"/>
      <c r="P154" s="58"/>
      <c r="Q154" s="59"/>
      <c r="R154" s="54"/>
      <c r="S154" s="55"/>
    </row>
    <row r="155" spans="11:19" x14ac:dyDescent="0.25">
      <c r="K155" s="58"/>
      <c r="L155" s="59"/>
      <c r="M155" s="54"/>
      <c r="N155" s="55"/>
      <c r="P155" s="58"/>
      <c r="Q155" s="59"/>
      <c r="R155" s="54"/>
      <c r="S155" s="55"/>
    </row>
    <row r="156" spans="11:19" x14ac:dyDescent="0.25">
      <c r="K156" s="58"/>
      <c r="L156" s="59"/>
      <c r="M156" s="54"/>
      <c r="N156" s="55"/>
      <c r="P156" s="58"/>
      <c r="Q156" s="59"/>
      <c r="R156" s="54"/>
      <c r="S156" s="55"/>
    </row>
    <row r="157" spans="11:19" x14ac:dyDescent="0.25">
      <c r="K157" s="58"/>
      <c r="L157" s="59"/>
      <c r="M157" s="54"/>
      <c r="N157" s="55"/>
      <c r="P157" s="58"/>
      <c r="Q157" s="59"/>
      <c r="R157" s="54"/>
      <c r="S157" s="55"/>
    </row>
    <row r="158" spans="11:19" x14ac:dyDescent="0.25">
      <c r="K158" s="58"/>
      <c r="L158" s="59"/>
      <c r="M158" s="54"/>
      <c r="N158" s="55"/>
      <c r="P158" s="58"/>
      <c r="Q158" s="59"/>
      <c r="R158" s="54"/>
      <c r="S158" s="55"/>
    </row>
    <row r="159" spans="11:19" x14ac:dyDescent="0.25">
      <c r="K159" s="58"/>
      <c r="L159" s="59"/>
      <c r="M159" s="54"/>
      <c r="N159" s="55"/>
      <c r="P159" s="58"/>
      <c r="Q159" s="59"/>
      <c r="R159" s="54"/>
      <c r="S159" s="55"/>
    </row>
    <row r="160" spans="11:19" x14ac:dyDescent="0.25">
      <c r="K160" s="58"/>
      <c r="L160" s="59"/>
      <c r="M160" s="54"/>
      <c r="N160" s="55"/>
      <c r="P160" s="58"/>
      <c r="Q160" s="59"/>
      <c r="R160" s="54"/>
      <c r="S160" s="55"/>
    </row>
    <row r="161" spans="11:19" x14ac:dyDescent="0.25">
      <c r="K161" s="58"/>
      <c r="L161" s="59"/>
      <c r="M161" s="54"/>
      <c r="N161" s="55"/>
      <c r="P161" s="58"/>
      <c r="Q161" s="59"/>
      <c r="R161" s="54"/>
      <c r="S161" s="55"/>
    </row>
    <row r="162" spans="11:19" x14ac:dyDescent="0.25">
      <c r="K162" s="58"/>
      <c r="L162" s="59"/>
      <c r="M162" s="54"/>
      <c r="N162" s="55"/>
      <c r="P162" s="58"/>
      <c r="Q162" s="59"/>
      <c r="R162" s="54"/>
      <c r="S162" s="55"/>
    </row>
    <row r="163" spans="11:19" x14ac:dyDescent="0.25">
      <c r="K163" s="58"/>
      <c r="L163" s="59"/>
      <c r="M163" s="54"/>
      <c r="N163" s="55"/>
      <c r="P163" s="58"/>
      <c r="Q163" s="59"/>
      <c r="R163" s="54"/>
      <c r="S163" s="55"/>
    </row>
    <row r="164" spans="11:19" x14ac:dyDescent="0.25">
      <c r="K164" s="58"/>
      <c r="L164" s="59"/>
      <c r="M164" s="54"/>
      <c r="N164" s="55"/>
      <c r="P164" s="58"/>
      <c r="Q164" s="59"/>
      <c r="R164" s="54"/>
      <c r="S164" s="55"/>
    </row>
    <row r="165" spans="11:19" x14ac:dyDescent="0.25">
      <c r="K165" s="58"/>
      <c r="L165" s="59"/>
      <c r="M165" s="54"/>
      <c r="N165" s="55"/>
      <c r="P165" s="58"/>
      <c r="Q165" s="59"/>
      <c r="R165" s="54"/>
      <c r="S165" s="55"/>
    </row>
    <row r="166" spans="11:19" x14ac:dyDescent="0.25">
      <c r="K166" s="58"/>
      <c r="L166" s="59"/>
      <c r="M166" s="54"/>
      <c r="N166" s="55"/>
      <c r="P166" s="58"/>
      <c r="Q166" s="59"/>
      <c r="R166" s="54"/>
      <c r="S166" s="55"/>
    </row>
    <row r="167" spans="11:19" x14ac:dyDescent="0.25">
      <c r="K167" s="58"/>
      <c r="L167" s="59"/>
      <c r="M167" s="54"/>
      <c r="N167" s="55"/>
      <c r="P167" s="58"/>
      <c r="Q167" s="59"/>
      <c r="R167" s="54"/>
      <c r="S167" s="55"/>
    </row>
    <row r="168" spans="11:19" x14ac:dyDescent="0.25">
      <c r="K168" s="58"/>
      <c r="L168" s="59"/>
      <c r="M168" s="54"/>
      <c r="N168" s="55"/>
      <c r="P168" s="58"/>
      <c r="Q168" s="59"/>
      <c r="R168" s="54"/>
      <c r="S168" s="55"/>
    </row>
    <row r="169" spans="11:19" x14ac:dyDescent="0.25">
      <c r="K169" s="58"/>
      <c r="L169" s="59"/>
      <c r="M169" s="54"/>
      <c r="N169" s="55"/>
      <c r="P169" s="58"/>
      <c r="Q169" s="59"/>
      <c r="R169" s="54"/>
      <c r="S169" s="55"/>
    </row>
    <row r="170" spans="11:19" x14ac:dyDescent="0.25">
      <c r="K170" s="58"/>
      <c r="L170" s="59"/>
      <c r="M170" s="54"/>
      <c r="N170" s="55"/>
      <c r="P170" s="58"/>
      <c r="Q170" s="59"/>
      <c r="R170" s="54"/>
      <c r="S170" s="55"/>
    </row>
    <row r="171" spans="11:19" x14ac:dyDescent="0.25">
      <c r="K171" s="58"/>
      <c r="L171" s="59"/>
      <c r="M171" s="54"/>
      <c r="N171" s="55"/>
      <c r="P171" s="58"/>
      <c r="Q171" s="59"/>
      <c r="R171" s="54"/>
      <c r="S171" s="55"/>
    </row>
    <row r="172" spans="11:19" x14ac:dyDescent="0.25">
      <c r="K172" s="58"/>
      <c r="L172" s="59"/>
      <c r="M172" s="54"/>
      <c r="N172" s="55"/>
      <c r="P172" s="58"/>
      <c r="Q172" s="59"/>
      <c r="R172" s="54"/>
      <c r="S172" s="55"/>
    </row>
    <row r="173" spans="11:19" x14ac:dyDescent="0.25">
      <c r="K173" s="58"/>
      <c r="L173" s="59"/>
      <c r="M173" s="54"/>
      <c r="N173" s="55"/>
      <c r="P173" s="58"/>
      <c r="Q173" s="59"/>
      <c r="R173" s="54"/>
      <c r="S173" s="55"/>
    </row>
    <row r="174" spans="11:19" x14ac:dyDescent="0.25">
      <c r="K174" s="58"/>
      <c r="L174" s="59"/>
      <c r="M174" s="54"/>
      <c r="N174" s="55"/>
      <c r="P174" s="58"/>
      <c r="Q174" s="59"/>
      <c r="R174" s="54"/>
      <c r="S174" s="55"/>
    </row>
    <row r="175" spans="11:19" x14ac:dyDescent="0.25">
      <c r="K175" s="58"/>
      <c r="L175" s="59"/>
      <c r="M175" s="54"/>
      <c r="N175" s="55"/>
      <c r="P175" s="58"/>
      <c r="Q175" s="59"/>
      <c r="R175" s="54"/>
      <c r="S175" s="55"/>
    </row>
    <row r="176" spans="11:19" x14ac:dyDescent="0.25">
      <c r="K176" s="58"/>
      <c r="L176" s="59"/>
      <c r="M176" s="54"/>
      <c r="N176" s="55"/>
      <c r="P176" s="58"/>
      <c r="Q176" s="59"/>
      <c r="R176" s="54"/>
      <c r="S176" s="55"/>
    </row>
    <row r="177" spans="11:19" x14ac:dyDescent="0.25">
      <c r="K177" s="58"/>
      <c r="L177" s="59"/>
      <c r="M177" s="54"/>
      <c r="N177" s="55"/>
      <c r="P177" s="58"/>
      <c r="Q177" s="59"/>
      <c r="R177" s="54"/>
      <c r="S177" s="55"/>
    </row>
    <row r="178" spans="11:19" x14ac:dyDescent="0.25">
      <c r="K178" s="58"/>
      <c r="L178" s="59"/>
      <c r="M178" s="54"/>
      <c r="N178" s="55"/>
      <c r="P178" s="58"/>
      <c r="Q178" s="59"/>
      <c r="R178" s="54"/>
      <c r="S178" s="55"/>
    </row>
    <row r="179" spans="11:19" x14ac:dyDescent="0.25">
      <c r="K179" s="58"/>
      <c r="L179" s="59"/>
      <c r="M179" s="54"/>
      <c r="N179" s="55"/>
      <c r="P179" s="58"/>
      <c r="Q179" s="59"/>
      <c r="R179" s="54"/>
      <c r="S179" s="55"/>
    </row>
    <row r="180" spans="11:19" x14ac:dyDescent="0.25">
      <c r="K180" s="58"/>
      <c r="L180" s="59"/>
      <c r="M180" s="54"/>
      <c r="N180" s="55"/>
      <c r="P180" s="58"/>
      <c r="Q180" s="59"/>
      <c r="R180" s="54"/>
      <c r="S180" s="55"/>
    </row>
    <row r="181" spans="11:19" x14ac:dyDescent="0.25">
      <c r="K181" s="58"/>
      <c r="L181" s="59"/>
      <c r="M181" s="54"/>
      <c r="N181" s="55"/>
      <c r="P181" s="58"/>
      <c r="Q181" s="59"/>
      <c r="R181" s="54"/>
      <c r="S181" s="55"/>
    </row>
    <row r="182" spans="11:19" x14ac:dyDescent="0.25">
      <c r="K182" s="58"/>
      <c r="L182" s="59"/>
      <c r="M182" s="54"/>
      <c r="N182" s="55"/>
      <c r="P182" s="58"/>
      <c r="Q182" s="59"/>
      <c r="R182" s="54"/>
      <c r="S182" s="55"/>
    </row>
    <row r="183" spans="11:19" x14ac:dyDescent="0.25">
      <c r="K183" s="58"/>
      <c r="L183" s="59"/>
      <c r="M183" s="54"/>
      <c r="N183" s="55"/>
      <c r="P183" s="58"/>
      <c r="Q183" s="59"/>
      <c r="R183" s="54"/>
      <c r="S183" s="55"/>
    </row>
    <row r="184" spans="11:19" x14ac:dyDescent="0.25">
      <c r="K184" s="58"/>
      <c r="L184" s="59"/>
      <c r="M184" s="54"/>
      <c r="N184" s="55"/>
      <c r="P184" s="58"/>
      <c r="Q184" s="59"/>
      <c r="R184" s="54"/>
      <c r="S184" s="55"/>
    </row>
    <row r="185" spans="11:19" x14ac:dyDescent="0.25">
      <c r="K185" s="58"/>
      <c r="L185" s="59"/>
      <c r="M185" s="54"/>
      <c r="N185" s="55"/>
      <c r="P185" s="58"/>
      <c r="Q185" s="59"/>
      <c r="R185" s="54"/>
      <c r="S185" s="55"/>
    </row>
    <row r="186" spans="11:19" x14ac:dyDescent="0.25">
      <c r="K186" s="58"/>
      <c r="L186" s="59"/>
      <c r="M186" s="54"/>
      <c r="N186" s="55"/>
      <c r="P186" s="58"/>
      <c r="Q186" s="59"/>
      <c r="R186" s="54"/>
      <c r="S186" s="55"/>
    </row>
    <row r="187" spans="11:19" x14ac:dyDescent="0.25">
      <c r="K187" s="58"/>
      <c r="L187" s="59"/>
      <c r="M187" s="54"/>
      <c r="N187" s="55"/>
      <c r="P187" s="58"/>
      <c r="Q187" s="59"/>
      <c r="R187" s="54"/>
      <c r="S187" s="55"/>
    </row>
    <row r="188" spans="11:19" x14ac:dyDescent="0.25">
      <c r="K188" s="58"/>
      <c r="L188" s="59"/>
      <c r="M188" s="54"/>
      <c r="N188" s="55"/>
      <c r="P188" s="58"/>
      <c r="Q188" s="59"/>
      <c r="R188" s="54"/>
      <c r="S188" s="55"/>
    </row>
    <row r="189" spans="11:19" x14ac:dyDescent="0.25">
      <c r="K189" s="58"/>
      <c r="L189" s="59"/>
      <c r="M189" s="54"/>
      <c r="N189" s="55"/>
      <c r="P189" s="58"/>
      <c r="Q189" s="59"/>
      <c r="R189" s="54"/>
      <c r="S189" s="55"/>
    </row>
    <row r="190" spans="11:19" x14ac:dyDescent="0.25">
      <c r="K190" s="58"/>
      <c r="L190" s="59"/>
      <c r="M190" s="54"/>
      <c r="N190" s="55"/>
      <c r="P190" s="58"/>
      <c r="Q190" s="59"/>
      <c r="R190" s="54"/>
      <c r="S190" s="55"/>
    </row>
    <row r="191" spans="11:19" x14ac:dyDescent="0.25">
      <c r="K191" s="58"/>
      <c r="L191" s="59"/>
      <c r="M191" s="54"/>
      <c r="N191" s="55"/>
      <c r="P191" s="58"/>
      <c r="Q191" s="59"/>
      <c r="R191" s="54"/>
      <c r="S191" s="55"/>
    </row>
    <row r="192" spans="11:19" x14ac:dyDescent="0.25">
      <c r="K192" s="58"/>
      <c r="L192" s="59"/>
      <c r="M192" s="54"/>
      <c r="N192" s="55"/>
      <c r="P192" s="58"/>
      <c r="Q192" s="59"/>
      <c r="R192" s="54"/>
      <c r="S192" s="55"/>
    </row>
    <row r="193" spans="11:19" x14ac:dyDescent="0.25">
      <c r="K193" s="58"/>
      <c r="L193" s="59"/>
      <c r="M193" s="54"/>
      <c r="N193" s="55"/>
      <c r="P193" s="58"/>
      <c r="Q193" s="59"/>
      <c r="R193" s="54"/>
      <c r="S193" s="55"/>
    </row>
    <row r="194" spans="11:19" x14ac:dyDescent="0.25">
      <c r="K194" s="58"/>
      <c r="L194" s="59"/>
      <c r="M194" s="54"/>
      <c r="N194" s="55"/>
      <c r="P194" s="58"/>
      <c r="Q194" s="59"/>
      <c r="R194" s="54"/>
      <c r="S194" s="55"/>
    </row>
    <row r="195" spans="11:19" x14ac:dyDescent="0.25">
      <c r="K195" s="58"/>
      <c r="L195" s="59"/>
      <c r="M195" s="54"/>
      <c r="N195" s="55"/>
      <c r="P195" s="58"/>
      <c r="Q195" s="59"/>
      <c r="R195" s="54"/>
      <c r="S195" s="55"/>
    </row>
    <row r="196" spans="11:19" x14ac:dyDescent="0.25">
      <c r="K196" s="58"/>
      <c r="L196" s="59"/>
      <c r="M196" s="54"/>
      <c r="N196" s="55"/>
      <c r="P196" s="58"/>
      <c r="Q196" s="59"/>
      <c r="R196" s="54"/>
      <c r="S196" s="55"/>
    </row>
    <row r="197" spans="11:19" x14ac:dyDescent="0.25">
      <c r="K197" s="58"/>
      <c r="L197" s="59"/>
      <c r="M197" s="54"/>
      <c r="N197" s="55"/>
      <c r="P197" s="58"/>
      <c r="Q197" s="59"/>
      <c r="R197" s="54"/>
      <c r="S197" s="55"/>
    </row>
    <row r="198" spans="11:19" x14ac:dyDescent="0.25">
      <c r="K198" s="58"/>
      <c r="L198" s="59"/>
      <c r="M198" s="54"/>
      <c r="N198" s="55"/>
      <c r="P198" s="58"/>
      <c r="Q198" s="59"/>
      <c r="R198" s="54"/>
      <c r="S198" s="55"/>
    </row>
    <row r="199" spans="11:19" x14ac:dyDescent="0.25">
      <c r="K199" s="58"/>
      <c r="L199" s="59"/>
      <c r="M199" s="54"/>
      <c r="N199" s="55"/>
      <c r="P199" s="58"/>
      <c r="Q199" s="59"/>
      <c r="R199" s="54"/>
      <c r="S199" s="55"/>
    </row>
    <row r="200" spans="11:19" x14ac:dyDescent="0.25">
      <c r="K200" s="58"/>
      <c r="L200" s="59"/>
      <c r="M200" s="54"/>
      <c r="N200" s="55"/>
      <c r="P200" s="58"/>
      <c r="Q200" s="59"/>
      <c r="R200" s="54"/>
      <c r="S200" s="55"/>
    </row>
    <row r="201" spans="11:19" x14ac:dyDescent="0.25">
      <c r="K201" s="58"/>
      <c r="L201" s="59"/>
      <c r="M201" s="54"/>
      <c r="N201" s="55"/>
      <c r="P201" s="58"/>
      <c r="Q201" s="59"/>
      <c r="R201" s="54"/>
      <c r="S201" s="55"/>
    </row>
    <row r="202" spans="11:19" x14ac:dyDescent="0.25">
      <c r="K202" s="58"/>
      <c r="L202" s="59"/>
      <c r="M202" s="54"/>
      <c r="N202" s="55"/>
      <c r="P202" s="58"/>
      <c r="Q202" s="59"/>
      <c r="R202" s="54"/>
      <c r="S202" s="55"/>
    </row>
    <row r="203" spans="11:19" x14ac:dyDescent="0.25">
      <c r="K203" s="58"/>
      <c r="L203" s="59"/>
      <c r="M203" s="54"/>
      <c r="N203" s="55"/>
      <c r="P203" s="58"/>
      <c r="Q203" s="59"/>
      <c r="R203" s="54"/>
      <c r="S203" s="55"/>
    </row>
    <row r="204" spans="11:19" x14ac:dyDescent="0.25">
      <c r="K204" s="58"/>
      <c r="L204" s="59"/>
      <c r="M204" s="54"/>
      <c r="N204" s="55"/>
      <c r="P204" s="58"/>
      <c r="Q204" s="59"/>
      <c r="R204" s="54"/>
      <c r="S204" s="55"/>
    </row>
    <row r="205" spans="11:19" x14ac:dyDescent="0.25">
      <c r="K205" s="58"/>
      <c r="L205" s="59"/>
      <c r="M205" s="54"/>
      <c r="N205" s="55"/>
      <c r="P205" s="58"/>
      <c r="Q205" s="59"/>
      <c r="R205" s="54"/>
      <c r="S205" s="55"/>
    </row>
    <row r="206" spans="11:19" x14ac:dyDescent="0.25">
      <c r="K206" s="58"/>
      <c r="L206" s="59"/>
      <c r="M206" s="54"/>
      <c r="N206" s="55"/>
      <c r="P206" s="58"/>
      <c r="Q206" s="59"/>
      <c r="R206" s="54"/>
      <c r="S206" s="55"/>
    </row>
    <row r="207" spans="11:19" x14ac:dyDescent="0.25">
      <c r="K207" s="58"/>
      <c r="L207" s="59"/>
      <c r="M207" s="54"/>
      <c r="N207" s="55"/>
      <c r="P207" s="58"/>
      <c r="Q207" s="59"/>
      <c r="R207" s="54"/>
      <c r="S207" s="55"/>
    </row>
    <row r="208" spans="11:19" x14ac:dyDescent="0.25">
      <c r="K208" s="58"/>
      <c r="L208" s="59"/>
      <c r="M208" s="54"/>
      <c r="N208" s="55"/>
      <c r="P208" s="58"/>
      <c r="Q208" s="59"/>
      <c r="R208" s="54"/>
      <c r="S208" s="55"/>
    </row>
    <row r="209" spans="11:19" x14ac:dyDescent="0.25">
      <c r="K209" s="58"/>
      <c r="L209" s="59"/>
      <c r="M209" s="54"/>
      <c r="N209" s="55"/>
      <c r="P209" s="58"/>
      <c r="Q209" s="59"/>
      <c r="R209" s="54"/>
      <c r="S209" s="55"/>
    </row>
    <row r="210" spans="11:19" x14ac:dyDescent="0.25">
      <c r="K210" s="58"/>
      <c r="L210" s="59"/>
      <c r="M210" s="54"/>
      <c r="N210" s="55"/>
      <c r="P210" s="58"/>
      <c r="Q210" s="59"/>
      <c r="R210" s="54"/>
      <c r="S210" s="55"/>
    </row>
    <row r="211" spans="11:19" x14ac:dyDescent="0.25">
      <c r="K211" s="58"/>
      <c r="L211" s="59"/>
      <c r="M211" s="54"/>
      <c r="N211" s="55"/>
      <c r="P211" s="58"/>
      <c r="Q211" s="59"/>
      <c r="R211" s="54"/>
      <c r="S211" s="55"/>
    </row>
    <row r="212" spans="11:19" x14ac:dyDescent="0.25">
      <c r="K212" s="58"/>
      <c r="L212" s="59"/>
      <c r="M212" s="54"/>
      <c r="N212" s="55"/>
      <c r="P212" s="58"/>
      <c r="Q212" s="59"/>
      <c r="R212" s="54"/>
      <c r="S212" s="55"/>
    </row>
    <row r="213" spans="11:19" x14ac:dyDescent="0.25">
      <c r="K213" s="58"/>
      <c r="L213" s="59"/>
      <c r="M213" s="54"/>
      <c r="N213" s="55"/>
      <c r="P213" s="58"/>
      <c r="Q213" s="59"/>
      <c r="R213" s="54"/>
      <c r="S213" s="55"/>
    </row>
    <row r="214" spans="11:19" x14ac:dyDescent="0.25">
      <c r="K214" s="58"/>
      <c r="L214" s="59"/>
      <c r="M214" s="54"/>
      <c r="N214" s="55"/>
      <c r="P214" s="58"/>
      <c r="Q214" s="59"/>
      <c r="R214" s="54"/>
      <c r="S214" s="55"/>
    </row>
    <row r="215" spans="11:19" x14ac:dyDescent="0.25">
      <c r="K215" s="58"/>
      <c r="L215" s="59"/>
      <c r="M215" s="54"/>
      <c r="N215" s="55"/>
      <c r="P215" s="58"/>
      <c r="Q215" s="59"/>
      <c r="R215" s="54"/>
      <c r="S215" s="55"/>
    </row>
    <row r="216" spans="11:19" x14ac:dyDescent="0.25">
      <c r="K216" s="58"/>
      <c r="L216" s="59"/>
      <c r="M216" s="54"/>
      <c r="N216" s="55"/>
      <c r="P216" s="58"/>
      <c r="Q216" s="59"/>
      <c r="R216" s="54"/>
      <c r="S216" s="55"/>
    </row>
    <row r="217" spans="11:19" x14ac:dyDescent="0.25">
      <c r="K217" s="58"/>
      <c r="L217" s="59"/>
      <c r="M217" s="54"/>
      <c r="N217" s="55"/>
      <c r="P217" s="58"/>
      <c r="Q217" s="59"/>
      <c r="R217" s="54"/>
      <c r="S217" s="55"/>
    </row>
    <row r="218" spans="11:19" x14ac:dyDescent="0.25">
      <c r="K218" s="58"/>
      <c r="L218" s="59"/>
      <c r="M218" s="54"/>
      <c r="N218" s="55"/>
      <c r="P218" s="58"/>
      <c r="Q218" s="59"/>
      <c r="R218" s="54"/>
      <c r="S218" s="55"/>
    </row>
    <row r="219" spans="11:19" x14ac:dyDescent="0.25">
      <c r="K219" s="58"/>
      <c r="L219" s="59"/>
      <c r="M219" s="54"/>
      <c r="N219" s="55"/>
      <c r="P219" s="58"/>
      <c r="Q219" s="59"/>
      <c r="R219" s="54"/>
      <c r="S219" s="55"/>
    </row>
    <row r="220" spans="11:19" x14ac:dyDescent="0.25">
      <c r="K220" s="58"/>
      <c r="L220" s="59"/>
      <c r="M220" s="54"/>
      <c r="N220" s="55"/>
      <c r="P220" s="58"/>
      <c r="Q220" s="59"/>
      <c r="R220" s="54"/>
      <c r="S220" s="55"/>
    </row>
    <row r="221" spans="11:19" x14ac:dyDescent="0.25">
      <c r="K221" s="58"/>
      <c r="L221" s="59"/>
      <c r="M221" s="54"/>
      <c r="N221" s="55"/>
      <c r="P221" s="58"/>
      <c r="Q221" s="59"/>
      <c r="R221" s="54"/>
      <c r="S221" s="55"/>
    </row>
    <row r="222" spans="11:19" x14ac:dyDescent="0.25">
      <c r="K222" s="58"/>
      <c r="L222" s="59"/>
      <c r="M222" s="54"/>
      <c r="N222" s="55"/>
      <c r="P222" s="58"/>
      <c r="Q222" s="59"/>
      <c r="R222" s="54"/>
      <c r="S222" s="55"/>
    </row>
    <row r="223" spans="11:19" x14ac:dyDescent="0.25">
      <c r="K223" s="58"/>
      <c r="L223" s="59"/>
      <c r="M223" s="54"/>
      <c r="N223" s="55"/>
      <c r="P223" s="58"/>
      <c r="Q223" s="59"/>
      <c r="R223" s="54"/>
      <c r="S223" s="55"/>
    </row>
    <row r="224" spans="11:19" x14ac:dyDescent="0.25">
      <c r="K224" s="58"/>
      <c r="L224" s="59"/>
      <c r="M224" s="54"/>
      <c r="N224" s="55"/>
      <c r="P224" s="58"/>
      <c r="Q224" s="59"/>
      <c r="R224" s="54"/>
      <c r="S224" s="55"/>
    </row>
    <row r="225" spans="11:19" x14ac:dyDescent="0.25">
      <c r="K225" s="58"/>
      <c r="L225" s="59"/>
      <c r="M225" s="54"/>
      <c r="N225" s="55"/>
      <c r="P225" s="58"/>
      <c r="Q225" s="59"/>
      <c r="R225" s="54"/>
      <c r="S225" s="55"/>
    </row>
    <row r="226" spans="11:19" x14ac:dyDescent="0.25">
      <c r="K226" s="58"/>
      <c r="L226" s="59"/>
      <c r="M226" s="54"/>
      <c r="N226" s="55"/>
      <c r="P226" s="58"/>
      <c r="Q226" s="59"/>
      <c r="R226" s="54"/>
      <c r="S226" s="55"/>
    </row>
    <row r="227" spans="11:19" x14ac:dyDescent="0.25">
      <c r="K227" s="58"/>
      <c r="L227" s="59"/>
      <c r="M227" s="54"/>
      <c r="N227" s="55"/>
      <c r="P227" s="58"/>
      <c r="Q227" s="59"/>
      <c r="R227" s="54"/>
      <c r="S227" s="55"/>
    </row>
    <row r="228" spans="11:19" x14ac:dyDescent="0.25">
      <c r="K228" s="58"/>
      <c r="L228" s="59"/>
      <c r="M228" s="54"/>
      <c r="N228" s="55"/>
      <c r="P228" s="58"/>
      <c r="Q228" s="59"/>
      <c r="R228" s="54"/>
      <c r="S228" s="55"/>
    </row>
    <row r="229" spans="11:19" x14ac:dyDescent="0.25">
      <c r="K229" s="58"/>
      <c r="L229" s="59"/>
      <c r="M229" s="54"/>
      <c r="N229" s="55"/>
      <c r="P229" s="58"/>
      <c r="Q229" s="59"/>
      <c r="R229" s="54"/>
      <c r="S229" s="55"/>
    </row>
    <row r="230" spans="11:19" x14ac:dyDescent="0.25">
      <c r="K230" s="58"/>
      <c r="L230" s="59"/>
      <c r="M230" s="54"/>
      <c r="N230" s="55"/>
      <c r="P230" s="58"/>
      <c r="Q230" s="59"/>
      <c r="R230" s="54"/>
      <c r="S230" s="55"/>
    </row>
    <row r="231" spans="11:19" x14ac:dyDescent="0.25">
      <c r="K231" s="58"/>
      <c r="L231" s="59"/>
      <c r="M231" s="54"/>
      <c r="N231" s="55"/>
      <c r="P231" s="58"/>
      <c r="Q231" s="59"/>
      <c r="R231" s="54"/>
      <c r="S231" s="55"/>
    </row>
    <row r="232" spans="11:19" x14ac:dyDescent="0.25">
      <c r="K232" s="58"/>
      <c r="L232" s="59"/>
      <c r="M232" s="54"/>
      <c r="N232" s="55"/>
      <c r="P232" s="58"/>
      <c r="Q232" s="59"/>
      <c r="R232" s="54"/>
      <c r="S232" s="55"/>
    </row>
    <row r="233" spans="11:19" x14ac:dyDescent="0.25">
      <c r="K233" s="58"/>
      <c r="L233" s="59"/>
      <c r="M233" s="54"/>
      <c r="N233" s="55"/>
      <c r="P233" s="58"/>
      <c r="Q233" s="59"/>
      <c r="R233" s="54"/>
      <c r="S233" s="55"/>
    </row>
    <row r="234" spans="11:19" x14ac:dyDescent="0.25">
      <c r="K234" s="58"/>
      <c r="L234" s="59"/>
      <c r="M234" s="54"/>
      <c r="N234" s="55"/>
      <c r="P234" s="58"/>
      <c r="Q234" s="59"/>
      <c r="R234" s="54"/>
      <c r="S234" s="55"/>
    </row>
    <row r="235" spans="11:19" x14ac:dyDescent="0.25">
      <c r="K235" s="58"/>
      <c r="L235" s="59"/>
      <c r="M235" s="54"/>
      <c r="N235" s="55"/>
      <c r="P235" s="58"/>
      <c r="Q235" s="59"/>
      <c r="R235" s="54"/>
      <c r="S235" s="55"/>
    </row>
    <row r="236" spans="11:19" x14ac:dyDescent="0.25">
      <c r="K236" s="58"/>
      <c r="L236" s="59"/>
      <c r="M236" s="54"/>
      <c r="N236" s="55"/>
      <c r="P236" s="58"/>
      <c r="Q236" s="59"/>
      <c r="R236" s="54"/>
      <c r="S236" s="55"/>
    </row>
    <row r="237" spans="11:19" x14ac:dyDescent="0.25">
      <c r="K237" s="58"/>
      <c r="L237" s="59"/>
      <c r="M237" s="54"/>
      <c r="N237" s="55"/>
      <c r="P237" s="58"/>
      <c r="Q237" s="59"/>
      <c r="R237" s="54"/>
      <c r="S237" s="55"/>
    </row>
    <row r="238" spans="11:19" x14ac:dyDescent="0.25">
      <c r="K238" s="58"/>
      <c r="L238" s="59"/>
      <c r="M238" s="54"/>
      <c r="N238" s="55"/>
      <c r="P238" s="58"/>
      <c r="Q238" s="59"/>
      <c r="R238" s="54"/>
      <c r="S238" s="55"/>
    </row>
    <row r="239" spans="11:19" x14ac:dyDescent="0.25">
      <c r="K239" s="58"/>
      <c r="L239" s="59"/>
      <c r="M239" s="54"/>
      <c r="N239" s="55"/>
      <c r="P239" s="58"/>
      <c r="Q239" s="59"/>
      <c r="R239" s="54"/>
      <c r="S239" s="55"/>
    </row>
    <row r="240" spans="11:19" x14ac:dyDescent="0.25">
      <c r="K240" s="58"/>
      <c r="L240" s="59"/>
      <c r="M240" s="54"/>
      <c r="N240" s="55"/>
      <c r="P240" s="58"/>
      <c r="Q240" s="59"/>
      <c r="R240" s="54"/>
      <c r="S240" s="55"/>
    </row>
    <row r="241" spans="11:19" x14ac:dyDescent="0.25">
      <c r="K241" s="58"/>
      <c r="L241" s="59"/>
      <c r="M241" s="54"/>
      <c r="N241" s="55"/>
      <c r="P241" s="58"/>
      <c r="Q241" s="59"/>
      <c r="R241" s="54"/>
      <c r="S241" s="55"/>
    </row>
    <row r="242" spans="11:19" x14ac:dyDescent="0.25">
      <c r="K242" s="58"/>
      <c r="L242" s="59"/>
      <c r="M242" s="54"/>
      <c r="N242" s="55"/>
      <c r="P242" s="58"/>
      <c r="Q242" s="59"/>
      <c r="R242" s="54"/>
      <c r="S242" s="55"/>
    </row>
    <row r="243" spans="11:19" x14ac:dyDescent="0.25">
      <c r="K243" s="58"/>
      <c r="L243" s="59"/>
      <c r="M243" s="54"/>
      <c r="N243" s="55"/>
      <c r="P243" s="58"/>
      <c r="Q243" s="59"/>
      <c r="R243" s="54"/>
      <c r="S243" s="55"/>
    </row>
    <row r="244" spans="11:19" x14ac:dyDescent="0.25">
      <c r="K244" s="58"/>
      <c r="L244" s="59"/>
      <c r="M244" s="54"/>
      <c r="N244" s="55"/>
      <c r="P244" s="58"/>
      <c r="Q244" s="59"/>
      <c r="R244" s="54"/>
      <c r="S244" s="55"/>
    </row>
    <row r="245" spans="11:19" x14ac:dyDescent="0.25">
      <c r="K245" s="58"/>
      <c r="L245" s="59"/>
      <c r="M245" s="54"/>
      <c r="N245" s="55"/>
      <c r="P245" s="58"/>
      <c r="Q245" s="59"/>
      <c r="R245" s="54"/>
      <c r="S245" s="55"/>
    </row>
    <row r="246" spans="11:19" x14ac:dyDescent="0.25">
      <c r="K246" s="58"/>
      <c r="L246" s="59"/>
      <c r="M246" s="54"/>
      <c r="N246" s="55"/>
      <c r="P246" s="58"/>
      <c r="Q246" s="59"/>
      <c r="R246" s="54"/>
      <c r="S246" s="55"/>
    </row>
    <row r="247" spans="11:19" x14ac:dyDescent="0.25">
      <c r="K247" s="58"/>
      <c r="L247" s="59"/>
      <c r="M247" s="54"/>
      <c r="N247" s="55"/>
      <c r="P247" s="58"/>
      <c r="Q247" s="59"/>
      <c r="R247" s="54"/>
      <c r="S247" s="55"/>
    </row>
    <row r="248" spans="11:19" x14ac:dyDescent="0.25">
      <c r="K248" s="58"/>
      <c r="L248" s="59"/>
      <c r="M248" s="54"/>
      <c r="N248" s="55"/>
      <c r="P248" s="58"/>
      <c r="Q248" s="59"/>
      <c r="R248" s="54"/>
      <c r="S248" s="55"/>
    </row>
    <row r="249" spans="11:19" x14ac:dyDescent="0.25">
      <c r="K249" s="58"/>
      <c r="L249" s="59"/>
      <c r="M249" s="54"/>
      <c r="N249" s="55"/>
      <c r="P249" s="58"/>
      <c r="Q249" s="59"/>
      <c r="R249" s="54"/>
      <c r="S249" s="55"/>
    </row>
    <row r="250" spans="11:19" x14ac:dyDescent="0.25">
      <c r="K250" s="58"/>
      <c r="L250" s="59"/>
      <c r="M250" s="54"/>
      <c r="N250" s="55"/>
      <c r="P250" s="58"/>
      <c r="Q250" s="59"/>
      <c r="R250" s="54"/>
      <c r="S250" s="55"/>
    </row>
    <row r="251" spans="11:19" x14ac:dyDescent="0.25">
      <c r="K251" s="58"/>
      <c r="L251" s="59"/>
      <c r="M251" s="54"/>
      <c r="N251" s="55"/>
      <c r="P251" s="58"/>
      <c r="Q251" s="59"/>
      <c r="R251" s="54"/>
      <c r="S251" s="55"/>
    </row>
    <row r="252" spans="11:19" x14ac:dyDescent="0.25">
      <c r="K252" s="58"/>
      <c r="L252" s="59"/>
      <c r="M252" s="54"/>
      <c r="N252" s="55"/>
      <c r="P252" s="58"/>
      <c r="Q252" s="59"/>
      <c r="R252" s="54"/>
      <c r="S252" s="55"/>
    </row>
    <row r="253" spans="11:19" x14ac:dyDescent="0.25">
      <c r="K253" s="58"/>
      <c r="L253" s="59"/>
      <c r="M253" s="54"/>
      <c r="N253" s="55"/>
      <c r="P253" s="58"/>
      <c r="Q253" s="59"/>
      <c r="R253" s="54"/>
      <c r="S253" s="55"/>
    </row>
    <row r="254" spans="11:19" x14ac:dyDescent="0.25">
      <c r="K254" s="58"/>
      <c r="L254" s="59"/>
      <c r="M254" s="54"/>
      <c r="N254" s="55"/>
      <c r="P254" s="58"/>
      <c r="Q254" s="59"/>
      <c r="R254" s="54"/>
      <c r="S254" s="55"/>
    </row>
    <row r="255" spans="11:19" x14ac:dyDescent="0.25">
      <c r="K255" s="58"/>
      <c r="L255" s="59"/>
      <c r="M255" s="54"/>
      <c r="N255" s="55"/>
      <c r="P255" s="58"/>
      <c r="Q255" s="59"/>
      <c r="R255" s="54"/>
      <c r="S255" s="55"/>
    </row>
    <row r="256" spans="11:19" x14ac:dyDescent="0.25">
      <c r="K256" s="58"/>
      <c r="L256" s="59"/>
      <c r="M256" s="54"/>
      <c r="N256" s="55"/>
      <c r="P256" s="58"/>
      <c r="Q256" s="59"/>
      <c r="R256" s="54"/>
      <c r="S256" s="55"/>
    </row>
    <row r="257" spans="11:19" x14ac:dyDescent="0.25">
      <c r="K257" s="58"/>
      <c r="L257" s="59"/>
      <c r="M257" s="54"/>
      <c r="N257" s="55"/>
      <c r="P257" s="58"/>
      <c r="Q257" s="59"/>
      <c r="R257" s="54"/>
      <c r="S257" s="55"/>
    </row>
    <row r="258" spans="11:19" x14ac:dyDescent="0.25">
      <c r="K258" s="58"/>
      <c r="L258" s="59"/>
      <c r="M258" s="54"/>
      <c r="N258" s="55"/>
      <c r="P258" s="58"/>
      <c r="Q258" s="59"/>
      <c r="R258" s="54"/>
      <c r="S258" s="55"/>
    </row>
    <row r="259" spans="11:19" x14ac:dyDescent="0.25">
      <c r="K259" s="58"/>
      <c r="L259" s="59"/>
      <c r="M259" s="54"/>
      <c r="N259" s="55"/>
      <c r="P259" s="58"/>
      <c r="Q259" s="59"/>
      <c r="R259" s="54"/>
      <c r="S259" s="55"/>
    </row>
    <row r="260" spans="11:19" x14ac:dyDescent="0.25">
      <c r="K260" s="58"/>
      <c r="L260" s="59"/>
      <c r="M260" s="54"/>
      <c r="N260" s="55"/>
      <c r="P260" s="58"/>
      <c r="Q260" s="59"/>
      <c r="R260" s="54"/>
      <c r="S260" s="55"/>
    </row>
    <row r="261" spans="11:19" x14ac:dyDescent="0.25">
      <c r="K261" s="58"/>
      <c r="L261" s="59"/>
      <c r="M261" s="54"/>
      <c r="N261" s="55"/>
      <c r="P261" s="58"/>
      <c r="Q261" s="59"/>
      <c r="R261" s="54"/>
      <c r="S261" s="55"/>
    </row>
    <row r="262" spans="11:19" x14ac:dyDescent="0.25">
      <c r="K262" s="58"/>
      <c r="L262" s="59"/>
      <c r="M262" s="54"/>
      <c r="N262" s="55"/>
      <c r="P262" s="58"/>
      <c r="Q262" s="59"/>
      <c r="R262" s="54"/>
      <c r="S262" s="55"/>
    </row>
    <row r="263" spans="11:19" x14ac:dyDescent="0.25">
      <c r="K263" s="58"/>
      <c r="L263" s="59"/>
      <c r="M263" s="54"/>
      <c r="N263" s="55"/>
      <c r="P263" s="58"/>
      <c r="Q263" s="59"/>
      <c r="R263" s="54"/>
      <c r="S263" s="55"/>
    </row>
    <row r="264" spans="11:19" x14ac:dyDescent="0.25">
      <c r="K264" s="58"/>
      <c r="L264" s="59"/>
      <c r="M264" s="54"/>
      <c r="N264" s="55"/>
      <c r="P264" s="58"/>
      <c r="Q264" s="59"/>
      <c r="R264" s="54"/>
      <c r="S264" s="55"/>
    </row>
    <row r="265" spans="11:19" x14ac:dyDescent="0.25">
      <c r="K265" s="58"/>
      <c r="L265" s="59"/>
      <c r="M265" s="54"/>
      <c r="N265" s="55"/>
      <c r="P265" s="58"/>
      <c r="Q265" s="59"/>
      <c r="R265" s="54"/>
      <c r="S265" s="55"/>
    </row>
    <row r="266" spans="11:19" x14ac:dyDescent="0.25">
      <c r="K266" s="58"/>
      <c r="L266" s="59"/>
      <c r="M266" s="54"/>
      <c r="N266" s="55"/>
      <c r="P266" s="58"/>
      <c r="Q266" s="59"/>
      <c r="R266" s="54"/>
      <c r="S266" s="55"/>
    </row>
    <row r="267" spans="11:19" x14ac:dyDescent="0.25">
      <c r="K267" s="58"/>
      <c r="L267" s="59"/>
      <c r="M267" s="54"/>
      <c r="N267" s="55"/>
      <c r="P267" s="58"/>
      <c r="Q267" s="59"/>
      <c r="R267" s="54"/>
      <c r="S267" s="55"/>
    </row>
    <row r="268" spans="11:19" x14ac:dyDescent="0.25">
      <c r="K268" s="58"/>
      <c r="L268" s="59"/>
      <c r="M268" s="54"/>
      <c r="N268" s="55"/>
      <c r="P268" s="58"/>
      <c r="Q268" s="59"/>
      <c r="R268" s="54"/>
      <c r="S268" s="55"/>
    </row>
    <row r="269" spans="11:19" x14ac:dyDescent="0.25">
      <c r="K269" s="58"/>
      <c r="L269" s="59"/>
      <c r="M269" s="54"/>
      <c r="N269" s="55"/>
      <c r="P269" s="58"/>
      <c r="Q269" s="59"/>
      <c r="R269" s="54"/>
      <c r="S269" s="55"/>
    </row>
    <row r="270" spans="11:19" x14ac:dyDescent="0.25">
      <c r="K270" s="58"/>
      <c r="L270" s="59"/>
      <c r="M270" s="54"/>
      <c r="N270" s="55"/>
      <c r="P270" s="58"/>
      <c r="Q270" s="59"/>
      <c r="R270" s="54"/>
      <c r="S270" s="55"/>
    </row>
    <row r="271" spans="11:19" x14ac:dyDescent="0.25">
      <c r="K271" s="58"/>
      <c r="L271" s="59"/>
      <c r="M271" s="54"/>
      <c r="N271" s="55"/>
      <c r="P271" s="58"/>
      <c r="Q271" s="59"/>
      <c r="R271" s="54"/>
      <c r="S271" s="55"/>
    </row>
    <row r="272" spans="11:19" x14ac:dyDescent="0.25">
      <c r="K272" s="58"/>
      <c r="L272" s="59"/>
      <c r="M272" s="54"/>
      <c r="N272" s="55"/>
      <c r="P272" s="58"/>
      <c r="Q272" s="59"/>
      <c r="R272" s="54"/>
      <c r="S272" s="55"/>
    </row>
    <row r="273" spans="11:19" x14ac:dyDescent="0.25">
      <c r="K273" s="58"/>
      <c r="L273" s="59"/>
      <c r="M273" s="54"/>
      <c r="N273" s="55"/>
      <c r="P273" s="58"/>
      <c r="Q273" s="59"/>
      <c r="R273" s="54"/>
      <c r="S273" s="55"/>
    </row>
    <row r="274" spans="11:19" x14ac:dyDescent="0.25">
      <c r="K274" s="58"/>
      <c r="L274" s="59"/>
      <c r="M274" s="54"/>
      <c r="N274" s="55"/>
      <c r="P274" s="58"/>
      <c r="Q274" s="59"/>
      <c r="R274" s="54"/>
      <c r="S274" s="55"/>
    </row>
    <row r="275" spans="11:19" x14ac:dyDescent="0.25">
      <c r="K275" s="58"/>
      <c r="L275" s="59"/>
      <c r="M275" s="54"/>
      <c r="N275" s="55"/>
      <c r="P275" s="58"/>
      <c r="Q275" s="59"/>
      <c r="R275" s="54"/>
      <c r="S275" s="55"/>
    </row>
    <row r="276" spans="11:19" x14ac:dyDescent="0.25">
      <c r="K276" s="58"/>
      <c r="L276" s="59"/>
      <c r="M276" s="54"/>
      <c r="N276" s="55"/>
      <c r="P276" s="58"/>
      <c r="Q276" s="59"/>
      <c r="R276" s="54"/>
      <c r="S276" s="55"/>
    </row>
    <row r="277" spans="11:19" x14ac:dyDescent="0.25">
      <c r="K277" s="58"/>
      <c r="L277" s="59"/>
      <c r="M277" s="54"/>
      <c r="N277" s="55"/>
      <c r="P277" s="58"/>
      <c r="Q277" s="59"/>
      <c r="R277" s="54"/>
      <c r="S277" s="55"/>
    </row>
    <row r="278" spans="11:19" x14ac:dyDescent="0.25">
      <c r="K278" s="58"/>
      <c r="L278" s="59"/>
      <c r="M278" s="54"/>
      <c r="N278" s="55"/>
      <c r="P278" s="58"/>
      <c r="Q278" s="59"/>
      <c r="R278" s="54"/>
      <c r="S278" s="55"/>
    </row>
    <row r="279" spans="11:19" x14ac:dyDescent="0.25">
      <c r="K279" s="58"/>
      <c r="L279" s="59"/>
      <c r="M279" s="54"/>
      <c r="N279" s="55"/>
      <c r="P279" s="58"/>
      <c r="Q279" s="59"/>
      <c r="R279" s="54"/>
      <c r="S279" s="55"/>
    </row>
    <row r="280" spans="11:19" x14ac:dyDescent="0.25">
      <c r="K280" s="58"/>
      <c r="L280" s="59"/>
      <c r="M280" s="54"/>
      <c r="N280" s="55"/>
      <c r="P280" s="58"/>
      <c r="Q280" s="59"/>
      <c r="R280" s="54"/>
      <c r="S280" s="55"/>
    </row>
    <row r="281" spans="11:19" x14ac:dyDescent="0.25">
      <c r="K281" s="58"/>
      <c r="L281" s="59"/>
      <c r="M281" s="54"/>
      <c r="N281" s="55"/>
      <c r="P281" s="58"/>
      <c r="Q281" s="59"/>
      <c r="R281" s="54"/>
      <c r="S281" s="55"/>
    </row>
    <row r="282" spans="11:19" x14ac:dyDescent="0.25">
      <c r="K282" s="58"/>
      <c r="L282" s="59"/>
      <c r="M282" s="54"/>
      <c r="N282" s="55"/>
      <c r="P282" s="58"/>
      <c r="Q282" s="59"/>
      <c r="R282" s="54"/>
      <c r="S282" s="55"/>
    </row>
    <row r="283" spans="11:19" x14ac:dyDescent="0.25">
      <c r="K283" s="58"/>
      <c r="L283" s="59"/>
      <c r="M283" s="54"/>
      <c r="N283" s="55"/>
      <c r="P283" s="58"/>
      <c r="Q283" s="59"/>
      <c r="R283" s="54"/>
      <c r="S283" s="55"/>
    </row>
    <row r="284" spans="11:19" x14ac:dyDescent="0.25">
      <c r="K284" s="58"/>
      <c r="L284" s="59"/>
      <c r="M284" s="54"/>
      <c r="N284" s="55"/>
      <c r="P284" s="58"/>
      <c r="Q284" s="59"/>
      <c r="R284" s="54"/>
      <c r="S284" s="55"/>
    </row>
    <row r="285" spans="11:19" x14ac:dyDescent="0.25">
      <c r="K285" s="58"/>
      <c r="L285" s="59"/>
      <c r="M285" s="54"/>
      <c r="N285" s="55"/>
      <c r="P285" s="58"/>
      <c r="Q285" s="59"/>
      <c r="R285" s="54"/>
      <c r="S285" s="55"/>
    </row>
    <row r="286" spans="11:19" x14ac:dyDescent="0.25">
      <c r="K286" s="58"/>
      <c r="L286" s="59"/>
      <c r="M286" s="54"/>
      <c r="N286" s="55"/>
      <c r="P286" s="58"/>
      <c r="Q286" s="59"/>
      <c r="R286" s="54"/>
      <c r="S286" s="55"/>
    </row>
    <row r="287" spans="11:19" x14ac:dyDescent="0.25">
      <c r="K287" s="58"/>
      <c r="L287" s="59"/>
      <c r="M287" s="54"/>
      <c r="N287" s="55"/>
      <c r="P287" s="58"/>
      <c r="Q287" s="59"/>
      <c r="R287" s="54"/>
      <c r="S287" s="55"/>
    </row>
    <row r="288" spans="11:19" x14ac:dyDescent="0.25">
      <c r="K288" s="58"/>
      <c r="L288" s="59"/>
      <c r="M288" s="54"/>
      <c r="N288" s="55"/>
      <c r="P288" s="58"/>
      <c r="Q288" s="59"/>
      <c r="R288" s="54"/>
      <c r="S288" s="55"/>
    </row>
    <row r="289" spans="11:19" x14ac:dyDescent="0.25">
      <c r="K289" s="58"/>
      <c r="L289" s="59"/>
      <c r="M289" s="54"/>
      <c r="N289" s="55"/>
      <c r="P289" s="58"/>
      <c r="Q289" s="59"/>
      <c r="R289" s="54"/>
      <c r="S289" s="55"/>
    </row>
    <row r="290" spans="11:19" x14ac:dyDescent="0.25">
      <c r="K290" s="58"/>
      <c r="L290" s="59"/>
      <c r="M290" s="54"/>
      <c r="N290" s="55"/>
      <c r="P290" s="58"/>
      <c r="Q290" s="59"/>
      <c r="R290" s="54"/>
      <c r="S290" s="55"/>
    </row>
    <row r="291" spans="11:19" x14ac:dyDescent="0.25">
      <c r="K291" s="58"/>
      <c r="L291" s="59"/>
      <c r="M291" s="54"/>
      <c r="N291" s="55"/>
      <c r="P291" s="58"/>
      <c r="Q291" s="59"/>
      <c r="R291" s="54"/>
      <c r="S291" s="55"/>
    </row>
    <row r="292" spans="11:19" x14ac:dyDescent="0.25">
      <c r="K292" s="58"/>
      <c r="L292" s="59"/>
      <c r="M292" s="54"/>
      <c r="N292" s="55"/>
      <c r="P292" s="58"/>
      <c r="Q292" s="59"/>
      <c r="R292" s="54"/>
      <c r="S292" s="55"/>
    </row>
    <row r="293" spans="11:19" x14ac:dyDescent="0.25">
      <c r="K293" s="58"/>
      <c r="L293" s="59"/>
      <c r="M293" s="54"/>
      <c r="N293" s="55"/>
      <c r="P293" s="58"/>
      <c r="Q293" s="59"/>
      <c r="R293" s="54"/>
      <c r="S293" s="55"/>
    </row>
    <row r="294" spans="11:19" x14ac:dyDescent="0.25">
      <c r="K294" s="58"/>
      <c r="L294" s="59"/>
      <c r="M294" s="54"/>
      <c r="N294" s="55"/>
      <c r="P294" s="58"/>
      <c r="Q294" s="59"/>
      <c r="R294" s="54"/>
      <c r="S294" s="55"/>
    </row>
    <row r="295" spans="11:19" x14ac:dyDescent="0.25">
      <c r="K295" s="58"/>
      <c r="L295" s="59"/>
      <c r="M295" s="54"/>
      <c r="N295" s="55"/>
      <c r="P295" s="58"/>
      <c r="Q295" s="59"/>
      <c r="R295" s="54"/>
      <c r="S295" s="55"/>
    </row>
    <row r="296" spans="11:19" x14ac:dyDescent="0.25">
      <c r="K296" s="58"/>
      <c r="L296" s="59"/>
      <c r="M296" s="54"/>
      <c r="N296" s="55"/>
      <c r="P296" s="58"/>
      <c r="Q296" s="59"/>
      <c r="R296" s="54"/>
      <c r="S296" s="55"/>
    </row>
    <row r="297" spans="11:19" x14ac:dyDescent="0.25">
      <c r="K297" s="58"/>
      <c r="L297" s="59"/>
      <c r="M297" s="54"/>
      <c r="N297" s="55"/>
      <c r="P297" s="58"/>
      <c r="Q297" s="59"/>
      <c r="R297" s="54"/>
      <c r="S297" s="55"/>
    </row>
    <row r="298" spans="11:19" x14ac:dyDescent="0.25">
      <c r="K298" s="58"/>
      <c r="L298" s="59"/>
      <c r="M298" s="54"/>
      <c r="N298" s="55"/>
      <c r="P298" s="58"/>
      <c r="Q298" s="59"/>
      <c r="R298" s="54"/>
      <c r="S298" s="55"/>
    </row>
    <row r="299" spans="11:19" x14ac:dyDescent="0.25">
      <c r="K299" s="58"/>
      <c r="L299" s="59"/>
      <c r="M299" s="54"/>
      <c r="N299" s="55"/>
      <c r="P299" s="58"/>
      <c r="Q299" s="59"/>
      <c r="R299" s="54"/>
      <c r="S299" s="55"/>
    </row>
    <row r="300" spans="11:19" x14ac:dyDescent="0.25">
      <c r="K300" s="58"/>
      <c r="L300" s="59"/>
      <c r="M300" s="54"/>
      <c r="N300" s="55"/>
      <c r="P300" s="58"/>
      <c r="Q300" s="59"/>
      <c r="R300" s="54"/>
      <c r="S300" s="55"/>
    </row>
    <row r="301" spans="11:19" x14ac:dyDescent="0.25">
      <c r="K301" s="58"/>
      <c r="L301" s="59"/>
      <c r="M301" s="54"/>
      <c r="N301" s="55"/>
      <c r="P301" s="58"/>
      <c r="Q301" s="59"/>
      <c r="R301" s="54"/>
      <c r="S301" s="55"/>
    </row>
    <row r="302" spans="11:19" x14ac:dyDescent="0.25">
      <c r="K302" s="58"/>
      <c r="L302" s="59"/>
      <c r="M302" s="54"/>
      <c r="N302" s="55"/>
      <c r="P302" s="58"/>
      <c r="Q302" s="59"/>
      <c r="R302" s="54"/>
      <c r="S302" s="55"/>
    </row>
    <row r="303" spans="11:19" x14ac:dyDescent="0.25">
      <c r="K303" s="58"/>
      <c r="L303" s="59"/>
      <c r="M303" s="54"/>
      <c r="N303" s="55"/>
      <c r="P303" s="58"/>
      <c r="Q303" s="59"/>
      <c r="R303" s="54"/>
      <c r="S303" s="55"/>
    </row>
    <row r="304" spans="11:19" x14ac:dyDescent="0.25">
      <c r="K304" s="58"/>
      <c r="L304" s="59"/>
      <c r="M304" s="54"/>
      <c r="N304" s="55"/>
      <c r="P304" s="58"/>
      <c r="Q304" s="59"/>
      <c r="R304" s="54"/>
      <c r="S304" s="55"/>
    </row>
    <row r="305" spans="11:19" x14ac:dyDescent="0.25">
      <c r="K305" s="58"/>
      <c r="L305" s="59"/>
      <c r="M305" s="54"/>
      <c r="N305" s="55"/>
      <c r="P305" s="58"/>
      <c r="Q305" s="59"/>
      <c r="R305" s="54"/>
      <c r="S305" s="55"/>
    </row>
    <row r="306" spans="11:19" x14ac:dyDescent="0.25">
      <c r="K306" s="58"/>
      <c r="L306" s="59"/>
      <c r="M306" s="54"/>
      <c r="N306" s="55"/>
      <c r="P306" s="58"/>
      <c r="Q306" s="59"/>
      <c r="R306" s="54"/>
      <c r="S306" s="55"/>
    </row>
    <row r="307" spans="11:19" x14ac:dyDescent="0.25">
      <c r="K307" s="58"/>
      <c r="L307" s="59"/>
      <c r="M307" s="54"/>
      <c r="N307" s="55"/>
      <c r="P307" s="58"/>
      <c r="Q307" s="59"/>
      <c r="R307" s="54"/>
      <c r="S307" s="55"/>
    </row>
    <row r="308" spans="11:19" x14ac:dyDescent="0.25">
      <c r="K308" s="58"/>
      <c r="L308" s="59"/>
      <c r="M308" s="54"/>
      <c r="N308" s="55"/>
      <c r="P308" s="58"/>
      <c r="Q308" s="59"/>
      <c r="R308" s="54"/>
      <c r="S308" s="55"/>
    </row>
    <row r="309" spans="11:19" x14ac:dyDescent="0.25">
      <c r="K309" s="58"/>
      <c r="L309" s="59"/>
      <c r="M309" s="54"/>
      <c r="N309" s="55"/>
      <c r="P309" s="58"/>
      <c r="Q309" s="59"/>
      <c r="R309" s="54"/>
      <c r="S309" s="55"/>
    </row>
    <row r="310" spans="11:19" x14ac:dyDescent="0.25">
      <c r="K310" s="58"/>
      <c r="L310" s="59"/>
      <c r="M310" s="54"/>
      <c r="N310" s="55"/>
      <c r="P310" s="58"/>
      <c r="Q310" s="59"/>
      <c r="R310" s="54"/>
      <c r="S310" s="55"/>
    </row>
    <row r="311" spans="11:19" x14ac:dyDescent="0.25">
      <c r="K311" s="58"/>
      <c r="L311" s="59"/>
      <c r="M311" s="54"/>
      <c r="N311" s="55"/>
      <c r="P311" s="58"/>
      <c r="Q311" s="59"/>
      <c r="R311" s="54"/>
      <c r="S311" s="55"/>
    </row>
    <row r="312" spans="11:19" x14ac:dyDescent="0.25">
      <c r="K312" s="58"/>
      <c r="L312" s="59"/>
      <c r="M312" s="54"/>
      <c r="N312" s="55"/>
      <c r="P312" s="58"/>
      <c r="Q312" s="59"/>
      <c r="R312" s="54"/>
      <c r="S312" s="55"/>
    </row>
    <row r="313" spans="11:19" x14ac:dyDescent="0.25">
      <c r="K313" s="58"/>
      <c r="L313" s="59"/>
      <c r="M313" s="54"/>
      <c r="N313" s="55"/>
      <c r="P313" s="58"/>
      <c r="Q313" s="59"/>
      <c r="R313" s="54"/>
      <c r="S313" s="55"/>
    </row>
    <row r="314" spans="11:19" x14ac:dyDescent="0.25">
      <c r="K314" s="58"/>
      <c r="L314" s="59"/>
      <c r="M314" s="54"/>
      <c r="N314" s="55"/>
      <c r="P314" s="58"/>
      <c r="Q314" s="59"/>
      <c r="R314" s="54"/>
      <c r="S314" s="55"/>
    </row>
    <row r="315" spans="11:19" x14ac:dyDescent="0.25">
      <c r="K315" s="58"/>
      <c r="L315" s="59"/>
      <c r="M315" s="54"/>
      <c r="N315" s="55"/>
      <c r="P315" s="58"/>
      <c r="Q315" s="59"/>
      <c r="R315" s="54"/>
      <c r="S315" s="55"/>
    </row>
    <row r="316" spans="11:19" x14ac:dyDescent="0.25">
      <c r="K316" s="58"/>
      <c r="L316" s="59"/>
      <c r="M316" s="54"/>
      <c r="N316" s="55"/>
      <c r="P316" s="58"/>
      <c r="Q316" s="59"/>
      <c r="R316" s="54"/>
      <c r="S316" s="55"/>
    </row>
    <row r="317" spans="11:19" x14ac:dyDescent="0.25">
      <c r="K317" s="58"/>
      <c r="L317" s="59"/>
      <c r="M317" s="54"/>
      <c r="N317" s="55"/>
      <c r="P317" s="58"/>
      <c r="Q317" s="59"/>
      <c r="R317" s="54"/>
      <c r="S317" s="55"/>
    </row>
    <row r="318" spans="11:19" x14ac:dyDescent="0.25">
      <c r="K318" s="58"/>
      <c r="L318" s="59"/>
      <c r="M318" s="54"/>
      <c r="N318" s="55"/>
      <c r="P318" s="58"/>
      <c r="Q318" s="59"/>
      <c r="R318" s="54"/>
      <c r="S318" s="55"/>
    </row>
    <row r="319" spans="11:19" x14ac:dyDescent="0.25">
      <c r="K319" s="58"/>
      <c r="L319" s="59"/>
      <c r="M319" s="54"/>
      <c r="N319" s="55"/>
      <c r="P319" s="58"/>
      <c r="Q319" s="59"/>
      <c r="R319" s="54"/>
      <c r="S319" s="55"/>
    </row>
    <row r="320" spans="11:19" x14ac:dyDescent="0.25">
      <c r="K320" s="58"/>
      <c r="L320" s="59"/>
      <c r="M320" s="54"/>
      <c r="N320" s="55"/>
      <c r="P320" s="58"/>
      <c r="Q320" s="59"/>
      <c r="R320" s="54"/>
      <c r="S320" s="55"/>
    </row>
    <row r="321" spans="11:19" x14ac:dyDescent="0.25">
      <c r="K321" s="58"/>
      <c r="L321" s="59"/>
      <c r="M321" s="54"/>
      <c r="N321" s="55"/>
      <c r="P321" s="58"/>
      <c r="Q321" s="59"/>
      <c r="R321" s="54"/>
      <c r="S321" s="55"/>
    </row>
    <row r="322" spans="11:19" x14ac:dyDescent="0.25">
      <c r="K322" s="58"/>
      <c r="L322" s="59"/>
      <c r="M322" s="54"/>
      <c r="N322" s="55"/>
      <c r="P322" s="58"/>
      <c r="Q322" s="59"/>
      <c r="R322" s="54"/>
      <c r="S322" s="55"/>
    </row>
    <row r="323" spans="11:19" x14ac:dyDescent="0.25">
      <c r="K323" s="58"/>
      <c r="L323" s="59"/>
      <c r="M323" s="54"/>
      <c r="N323" s="55"/>
      <c r="P323" s="58"/>
      <c r="Q323" s="59"/>
      <c r="R323" s="54"/>
      <c r="S323" s="55"/>
    </row>
    <row r="324" spans="11:19" x14ac:dyDescent="0.25">
      <c r="K324" s="58"/>
      <c r="L324" s="59"/>
      <c r="M324" s="54"/>
      <c r="N324" s="55"/>
      <c r="P324" s="58"/>
      <c r="Q324" s="59"/>
      <c r="R324" s="54"/>
      <c r="S324" s="55"/>
    </row>
    <row r="325" spans="11:19" x14ac:dyDescent="0.25">
      <c r="K325" s="58"/>
      <c r="L325" s="59"/>
      <c r="M325" s="54"/>
      <c r="N325" s="55"/>
      <c r="P325" s="58"/>
      <c r="Q325" s="59"/>
      <c r="R325" s="54"/>
      <c r="S325" s="55"/>
    </row>
    <row r="326" spans="11:19" x14ac:dyDescent="0.25">
      <c r="K326" s="58"/>
      <c r="L326" s="59"/>
      <c r="M326" s="54"/>
      <c r="N326" s="55"/>
      <c r="P326" s="58"/>
      <c r="Q326" s="59"/>
      <c r="R326" s="54"/>
      <c r="S326" s="55"/>
    </row>
    <row r="327" spans="11:19" x14ac:dyDescent="0.25">
      <c r="K327" s="58"/>
      <c r="L327" s="59"/>
      <c r="M327" s="54"/>
      <c r="N327" s="55"/>
      <c r="P327" s="58"/>
      <c r="Q327" s="59"/>
      <c r="R327" s="54"/>
      <c r="S327" s="55"/>
    </row>
    <row r="328" spans="11:19" x14ac:dyDescent="0.25">
      <c r="K328" s="58"/>
      <c r="L328" s="59"/>
      <c r="M328" s="54"/>
      <c r="N328" s="55"/>
      <c r="P328" s="58"/>
      <c r="Q328" s="59"/>
      <c r="R328" s="54"/>
      <c r="S328" s="55"/>
    </row>
    <row r="329" spans="11:19" x14ac:dyDescent="0.25">
      <c r="K329" s="58"/>
      <c r="L329" s="59"/>
      <c r="M329" s="54"/>
      <c r="N329" s="55"/>
      <c r="P329" s="58"/>
      <c r="Q329" s="59"/>
      <c r="R329" s="54"/>
      <c r="S329" s="55"/>
    </row>
    <row r="330" spans="11:19" x14ac:dyDescent="0.25">
      <c r="K330" s="58"/>
      <c r="L330" s="59"/>
      <c r="M330" s="54"/>
      <c r="N330" s="55"/>
      <c r="P330" s="58"/>
      <c r="Q330" s="59"/>
      <c r="R330" s="54"/>
      <c r="S330" s="55"/>
    </row>
    <row r="331" spans="11:19" x14ac:dyDescent="0.25">
      <c r="K331" s="58"/>
      <c r="L331" s="59"/>
      <c r="M331" s="54"/>
      <c r="N331" s="55"/>
      <c r="P331" s="58"/>
      <c r="Q331" s="59"/>
      <c r="R331" s="54"/>
      <c r="S331" s="55"/>
    </row>
    <row r="332" spans="11:19" x14ac:dyDescent="0.25">
      <c r="K332" s="58"/>
      <c r="L332" s="59"/>
      <c r="M332" s="54"/>
      <c r="N332" s="55"/>
      <c r="P332" s="58"/>
      <c r="Q332" s="59"/>
      <c r="R332" s="54"/>
      <c r="S332" s="55"/>
    </row>
    <row r="333" spans="11:19" x14ac:dyDescent="0.25">
      <c r="K333" s="58"/>
      <c r="L333" s="59"/>
      <c r="M333" s="54"/>
      <c r="N333" s="55"/>
      <c r="P333" s="58"/>
      <c r="Q333" s="59"/>
      <c r="R333" s="54"/>
      <c r="S333" s="55"/>
    </row>
    <row r="334" spans="11:19" x14ac:dyDescent="0.25">
      <c r="K334" s="58"/>
      <c r="L334" s="59"/>
      <c r="M334" s="54"/>
      <c r="N334" s="55"/>
      <c r="P334" s="58"/>
      <c r="Q334" s="59"/>
      <c r="R334" s="54"/>
      <c r="S334" s="55"/>
    </row>
    <row r="335" spans="11:19" x14ac:dyDescent="0.25">
      <c r="K335" s="58"/>
      <c r="L335" s="59"/>
      <c r="M335" s="54"/>
      <c r="N335" s="55"/>
      <c r="P335" s="58"/>
      <c r="Q335" s="59"/>
      <c r="R335" s="54"/>
      <c r="S335" s="55"/>
    </row>
    <row r="336" spans="11:19" x14ac:dyDescent="0.25">
      <c r="K336" s="58"/>
      <c r="L336" s="59"/>
      <c r="M336" s="54"/>
      <c r="N336" s="55"/>
      <c r="P336" s="58"/>
      <c r="Q336" s="59"/>
      <c r="R336" s="54"/>
      <c r="S336" s="55"/>
    </row>
    <row r="337" spans="11:19" x14ac:dyDescent="0.25">
      <c r="K337" s="58"/>
      <c r="L337" s="59"/>
      <c r="M337" s="54"/>
      <c r="N337" s="55"/>
      <c r="P337" s="58"/>
      <c r="Q337" s="59"/>
      <c r="R337" s="54"/>
      <c r="S337" s="55"/>
    </row>
    <row r="338" spans="11:19" x14ac:dyDescent="0.25">
      <c r="K338" s="58"/>
      <c r="L338" s="59"/>
      <c r="M338" s="54"/>
      <c r="N338" s="55"/>
      <c r="P338" s="58"/>
      <c r="Q338" s="59"/>
      <c r="R338" s="54"/>
      <c r="S338" s="55"/>
    </row>
    <row r="339" spans="11:19" x14ac:dyDescent="0.25">
      <c r="K339" s="58"/>
      <c r="L339" s="59"/>
      <c r="M339" s="54"/>
      <c r="N339" s="55"/>
      <c r="P339" s="58"/>
      <c r="Q339" s="59"/>
      <c r="R339" s="54"/>
      <c r="S339" s="55"/>
    </row>
    <row r="340" spans="11:19" x14ac:dyDescent="0.25">
      <c r="K340" s="58"/>
      <c r="L340" s="59"/>
      <c r="M340" s="54"/>
      <c r="N340" s="55"/>
      <c r="P340" s="58"/>
      <c r="Q340" s="59"/>
      <c r="R340" s="54"/>
      <c r="S340" s="55"/>
    </row>
    <row r="341" spans="11:19" x14ac:dyDescent="0.25">
      <c r="K341" s="58"/>
      <c r="L341" s="59"/>
      <c r="M341" s="54"/>
      <c r="N341" s="55"/>
      <c r="P341" s="58"/>
      <c r="Q341" s="59"/>
      <c r="R341" s="54"/>
      <c r="S341" s="55"/>
    </row>
    <row r="342" spans="11:19" x14ac:dyDescent="0.25">
      <c r="K342" s="58"/>
      <c r="L342" s="59"/>
      <c r="M342" s="54"/>
      <c r="N342" s="55"/>
      <c r="P342" s="58"/>
      <c r="Q342" s="59"/>
      <c r="R342" s="54"/>
      <c r="S342" s="55"/>
    </row>
    <row r="343" spans="11:19" x14ac:dyDescent="0.25">
      <c r="K343" s="58"/>
      <c r="L343" s="59"/>
      <c r="M343" s="54"/>
      <c r="N343" s="55"/>
      <c r="P343" s="58"/>
      <c r="Q343" s="59"/>
      <c r="R343" s="54"/>
      <c r="S343" s="55"/>
    </row>
    <row r="344" spans="11:19" x14ac:dyDescent="0.25">
      <c r="K344" s="58"/>
      <c r="L344" s="59"/>
      <c r="M344" s="54"/>
      <c r="N344" s="55"/>
      <c r="P344" s="58"/>
      <c r="Q344" s="59"/>
      <c r="R344" s="54"/>
      <c r="S344" s="55"/>
    </row>
    <row r="345" spans="11:19" x14ac:dyDescent="0.25">
      <c r="K345" s="58"/>
      <c r="L345" s="59"/>
      <c r="M345" s="54"/>
      <c r="N345" s="55"/>
      <c r="P345" s="58"/>
      <c r="Q345" s="59"/>
      <c r="R345" s="54"/>
      <c r="S345" s="55"/>
    </row>
    <row r="346" spans="11:19" x14ac:dyDescent="0.25">
      <c r="K346" s="58"/>
      <c r="L346" s="59"/>
      <c r="M346" s="54"/>
      <c r="N346" s="55"/>
      <c r="P346" s="58"/>
      <c r="Q346" s="59"/>
      <c r="R346" s="54"/>
      <c r="S346" s="55"/>
    </row>
    <row r="347" spans="11:19" x14ac:dyDescent="0.25">
      <c r="K347" s="58"/>
      <c r="L347" s="59"/>
      <c r="M347" s="54"/>
      <c r="N347" s="55"/>
      <c r="P347" s="58"/>
      <c r="Q347" s="59"/>
      <c r="R347" s="54"/>
      <c r="S347" s="55"/>
    </row>
    <row r="348" spans="11:19" ht="15.75" thickBot="1" x14ac:dyDescent="0.3">
      <c r="K348" s="60"/>
      <c r="L348" s="61"/>
      <c r="M348" s="56"/>
      <c r="N348" s="57"/>
      <c r="P348" s="60"/>
      <c r="Q348" s="61"/>
      <c r="R348" s="56"/>
      <c r="S348" s="57"/>
    </row>
  </sheetData>
  <mergeCells count="4">
    <mergeCell ref="A8:D8"/>
    <mergeCell ref="F8:I8"/>
    <mergeCell ref="K8:N8"/>
    <mergeCell ref="P8:S8"/>
  </mergeCells>
  <conditionalFormatting sqref="G3">
    <cfRule type="cellIs" dxfId="104" priority="5" operator="greaterThan">
      <formula>$J$4</formula>
    </cfRule>
  </conditionalFormatting>
  <conditionalFormatting sqref="T5">
    <cfRule type="cellIs" dxfId="103" priority="1" operator="greaterThan">
      <formula>$T$6</formula>
    </cfRule>
    <cfRule type="cellIs" dxfId="102" priority="4" operator="lessThan">
      <formula>$T$6</formula>
    </cfRule>
  </conditionalFormatting>
  <conditionalFormatting sqref="T6">
    <cfRule type="cellIs" dxfId="101" priority="2" operator="greaterThan">
      <formula>$T$5</formula>
    </cfRule>
    <cfRule type="cellIs" dxfId="100" priority="3" operator="lessThan">
      <formula>$T$5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6851AC-1E0E-4A19-B5FE-1DD83206DE20}">
  <sheetPr codeName="Sheet32"/>
  <dimension ref="A1:T348"/>
  <sheetViews>
    <sheetView zoomScale="90" zoomScaleNormal="90" workbookViewId="0">
      <pane ySplit="9" topLeftCell="A10" activePane="bottomLeft" state="frozen"/>
      <selection pane="bottomLeft" activeCell="P63" sqref="P63:S63"/>
    </sheetView>
  </sheetViews>
  <sheetFormatPr baseColWidth="10" defaultColWidth="9.140625" defaultRowHeight="15" x14ac:dyDescent="0.25"/>
  <cols>
    <col min="2" max="2" width="11.85546875" bestFit="1" customWidth="1"/>
    <col min="3" max="3" width="17.140625" bestFit="1" customWidth="1"/>
    <col min="4" max="4" width="14.5703125" customWidth="1"/>
    <col min="5" max="7" width="14.5703125" bestFit="1" customWidth="1"/>
    <col min="8" max="8" width="18.7109375" bestFit="1" customWidth="1"/>
    <col min="9" max="9" width="16.28515625" bestFit="1" customWidth="1"/>
    <col min="10" max="10" width="14" bestFit="1" customWidth="1"/>
    <col min="12" max="12" width="11.85546875" bestFit="1" customWidth="1"/>
    <col min="13" max="13" width="17.140625" bestFit="1" customWidth="1"/>
    <col min="14" max="14" width="14.42578125" bestFit="1" customWidth="1"/>
    <col min="15" max="15" width="8.7109375" customWidth="1"/>
    <col min="17" max="17" width="14.85546875" bestFit="1" customWidth="1"/>
    <col min="18" max="18" width="17.140625" bestFit="1" customWidth="1"/>
    <col min="19" max="19" width="14.85546875" bestFit="1" customWidth="1"/>
    <col min="20" max="20" width="12.42578125" bestFit="1" customWidth="1"/>
    <col min="22" max="23" width="14.5703125" bestFit="1" customWidth="1"/>
    <col min="24" max="24" width="15.85546875" bestFit="1" customWidth="1"/>
    <col min="26" max="26" width="15.85546875" bestFit="1" customWidth="1"/>
  </cols>
  <sheetData>
    <row r="1" spans="1:20" ht="15.75" thickBot="1" x14ac:dyDescent="0.3">
      <c r="C1" s="1" t="s">
        <v>0</v>
      </c>
      <c r="D1" s="2" t="s">
        <v>1</v>
      </c>
      <c r="E1" s="1" t="s">
        <v>2</v>
      </c>
      <c r="F1" s="2" t="s">
        <v>3</v>
      </c>
      <c r="G1" s="63" t="s">
        <v>4</v>
      </c>
      <c r="H1" s="81" t="s">
        <v>24</v>
      </c>
      <c r="I1" s="66" t="s">
        <v>5</v>
      </c>
      <c r="J1" s="3">
        <v>368</v>
      </c>
      <c r="M1" s="1" t="s">
        <v>5</v>
      </c>
      <c r="N1" s="4" t="s">
        <v>6</v>
      </c>
      <c r="P1" t="s">
        <v>0</v>
      </c>
      <c r="Q1">
        <f>SUM(E10:E54)</f>
        <v>4</v>
      </c>
      <c r="R1" t="s">
        <v>2</v>
      </c>
      <c r="S1">
        <f>(M3/M2)*Q1</f>
        <v>2.666666666666667</v>
      </c>
      <c r="T1">
        <f>S1-2</f>
        <v>0.66666666666666696</v>
      </c>
    </row>
    <row r="2" spans="1:20" ht="15.75" thickBot="1" x14ac:dyDescent="0.3">
      <c r="B2" s="5" t="s">
        <v>7</v>
      </c>
      <c r="C2" s="6">
        <f>SUMPRODUCT(C10:C118,E10:E118)</f>
        <v>2867230</v>
      </c>
      <c r="D2" s="7">
        <f>SUMPRODUCT(H10:H118,J10:J118)</f>
        <v>0</v>
      </c>
      <c r="E2" s="6">
        <f>SUMPRODUCT(M10:M348,O10:O348)</f>
        <v>2197408.3333333335</v>
      </c>
      <c r="F2" s="7">
        <f>SUMPRODUCT(R10:R348,T10:T348)</f>
        <v>0</v>
      </c>
      <c r="G2" s="64">
        <f>C2+D2+E2+F2</f>
        <v>5064638.333333334</v>
      </c>
      <c r="H2" s="82">
        <v>24786935</v>
      </c>
      <c r="I2" s="67" t="s">
        <v>6</v>
      </c>
      <c r="J2" s="8">
        <v>334</v>
      </c>
      <c r="L2" s="5" t="s">
        <v>8</v>
      </c>
      <c r="M2" s="9">
        <v>0.6</v>
      </c>
      <c r="N2" s="10">
        <v>0.25</v>
      </c>
      <c r="P2" t="s">
        <v>3</v>
      </c>
      <c r="Q2">
        <f>SUM(T10:T64)</f>
        <v>0</v>
      </c>
      <c r="R2" t="s">
        <v>1</v>
      </c>
      <c r="S2">
        <f>(N2/N3)*Q2</f>
        <v>0</v>
      </c>
    </row>
    <row r="3" spans="1:20" ht="15.75" thickBot="1" x14ac:dyDescent="0.3">
      <c r="B3" s="11" t="s">
        <v>9</v>
      </c>
      <c r="C3" s="12">
        <f>SUMPRODUCT(B10:B118,E10:E118)</f>
        <v>121.30434782608695</v>
      </c>
      <c r="D3" s="13">
        <f>SUMPRODUCT(G10:G118,J10:J118)</f>
        <v>0</v>
      </c>
      <c r="E3" s="12">
        <f>SUMPRODUCT(L10:L348,O10:O348)</f>
        <v>80.869565217391312</v>
      </c>
      <c r="F3" s="13">
        <f>SUMPRODUCT(Q10:Q348,T10:T348)</f>
        <v>0</v>
      </c>
      <c r="G3" s="65">
        <f>SUM(C3:F3)</f>
        <v>202.17391304347825</v>
      </c>
      <c r="H3" s="80">
        <f>(H2-G2)/G2</f>
        <v>3.894117480583509</v>
      </c>
      <c r="I3" s="67" t="s">
        <v>10</v>
      </c>
      <c r="J3" s="8">
        <f>11160</f>
        <v>11160</v>
      </c>
      <c r="L3" s="14" t="s">
        <v>11</v>
      </c>
      <c r="M3" s="15">
        <v>0.4</v>
      </c>
      <c r="N3" s="16">
        <v>0.75</v>
      </c>
      <c r="P3" t="s">
        <v>0</v>
      </c>
      <c r="Q3">
        <v>1</v>
      </c>
      <c r="R3" t="s">
        <v>2</v>
      </c>
      <c r="S3">
        <f>(M3/M2)*Q3</f>
        <v>0.66666666666666674</v>
      </c>
    </row>
    <row r="4" spans="1:20" ht="15.75" thickBot="1" x14ac:dyDescent="0.3">
      <c r="B4" s="14" t="s">
        <v>12</v>
      </c>
      <c r="C4" s="17">
        <f>SUM(E10:E118)*J3</f>
        <v>44640</v>
      </c>
      <c r="D4" s="18">
        <f>SUM(J10:J118)*J3</f>
        <v>0</v>
      </c>
      <c r="E4" s="17">
        <f>SUM(O10:O348)*J3</f>
        <v>29760.000000000004</v>
      </c>
      <c r="F4" s="18">
        <f>SUM(T10:T348)*J3</f>
        <v>0</v>
      </c>
      <c r="G4" s="19">
        <f>SUM(C4:F4)</f>
        <v>74400</v>
      </c>
      <c r="H4" s="20"/>
      <c r="I4" s="21" t="s">
        <v>13</v>
      </c>
      <c r="J4" s="22">
        <v>100000</v>
      </c>
      <c r="L4" s="5" t="s">
        <v>14</v>
      </c>
      <c r="M4" s="76">
        <f>C4/(C4+E4)</f>
        <v>0.6</v>
      </c>
      <c r="N4" s="77" t="e">
        <f>D4/(D4+F4)</f>
        <v>#DIV/0!</v>
      </c>
      <c r="O4" s="23"/>
      <c r="P4" t="s">
        <v>3</v>
      </c>
      <c r="Q4">
        <v>1</v>
      </c>
      <c r="R4" t="s">
        <v>1</v>
      </c>
      <c r="S4">
        <f>(N2/N3)*Q4</f>
        <v>0.33333333333333331</v>
      </c>
    </row>
    <row r="5" spans="1:20" ht="15.75" thickBot="1" x14ac:dyDescent="0.3">
      <c r="B5" s="24" t="s">
        <v>15</v>
      </c>
      <c r="C5" s="25">
        <v>217620</v>
      </c>
      <c r="D5" s="26">
        <v>74400</v>
      </c>
      <c r="E5" s="27">
        <v>145080</v>
      </c>
      <c r="F5" s="26">
        <v>223200</v>
      </c>
      <c r="G5" s="28">
        <f>SUM(C5:F5)</f>
        <v>660300</v>
      </c>
      <c r="H5" s="20"/>
      <c r="I5" s="20"/>
      <c r="L5" s="29" t="s">
        <v>16</v>
      </c>
      <c r="M5" s="78">
        <f>E4/(C4+E4)</f>
        <v>0.4</v>
      </c>
      <c r="N5" s="79" t="e">
        <f>F4/(D4+F4)</f>
        <v>#DIV/0!</v>
      </c>
      <c r="O5" s="23"/>
      <c r="P5" t="s">
        <v>0</v>
      </c>
      <c r="Q5" s="88">
        <v>19598.440143369175</v>
      </c>
      <c r="R5" t="s">
        <v>2</v>
      </c>
      <c r="S5" s="88">
        <v>25610.590681003585</v>
      </c>
      <c r="T5">
        <f>Q5*Q3+S5*S3</f>
        <v>36672.167264038231</v>
      </c>
    </row>
    <row r="6" spans="1:20" ht="15.75" thickBot="1" x14ac:dyDescent="0.3">
      <c r="B6" s="24" t="s">
        <v>17</v>
      </c>
      <c r="C6" s="27">
        <f>C5-C4</f>
        <v>172980</v>
      </c>
      <c r="D6" s="30">
        <f>D5-D4</f>
        <v>74400</v>
      </c>
      <c r="E6" s="27">
        <f>E5-E4</f>
        <v>115320</v>
      </c>
      <c r="F6" s="30">
        <f>F5-F4</f>
        <v>223200</v>
      </c>
      <c r="H6" s="20"/>
      <c r="I6" s="20"/>
      <c r="J6" s="62"/>
      <c r="N6" s="23"/>
      <c r="O6" s="23"/>
      <c r="P6" t="s">
        <v>3</v>
      </c>
      <c r="Q6" s="88">
        <v>24785.014695340502</v>
      </c>
      <c r="R6" t="s">
        <v>1</v>
      </c>
      <c r="S6" s="88">
        <v>25114.615232974909</v>
      </c>
      <c r="T6">
        <f>Q6*Q4+S6*S4</f>
        <v>33156.55310633214</v>
      </c>
    </row>
    <row r="7" spans="1:20" ht="15.75" thickBot="1" x14ac:dyDescent="0.3"/>
    <row r="8" spans="1:20" ht="15.75" thickBot="1" x14ac:dyDescent="0.3">
      <c r="A8" s="113" t="s">
        <v>18</v>
      </c>
      <c r="B8" s="114"/>
      <c r="C8" s="114"/>
      <c r="D8" s="115"/>
      <c r="E8" s="31"/>
      <c r="F8" s="113" t="s">
        <v>19</v>
      </c>
      <c r="G8" s="114"/>
      <c r="H8" s="114"/>
      <c r="I8" s="115"/>
      <c r="J8" s="31"/>
      <c r="K8" s="113" t="s">
        <v>20</v>
      </c>
      <c r="L8" s="114"/>
      <c r="M8" s="114"/>
      <c r="N8" s="115"/>
      <c r="O8" s="31"/>
      <c r="P8" s="113" t="s">
        <v>21</v>
      </c>
      <c r="Q8" s="114"/>
      <c r="R8" s="114"/>
      <c r="S8" s="115"/>
    </row>
    <row r="9" spans="1:20" ht="15.75" thickBot="1" x14ac:dyDescent="0.3">
      <c r="A9" s="32" t="s">
        <v>22</v>
      </c>
      <c r="B9" s="33" t="s">
        <v>9</v>
      </c>
      <c r="C9" s="33" t="s">
        <v>7</v>
      </c>
      <c r="D9" s="34" t="s">
        <v>23</v>
      </c>
      <c r="E9" s="31"/>
      <c r="F9" s="32" t="s">
        <v>22</v>
      </c>
      <c r="G9" s="33" t="s">
        <v>9</v>
      </c>
      <c r="H9" s="33" t="s">
        <v>7</v>
      </c>
      <c r="I9" s="34" t="s">
        <v>23</v>
      </c>
      <c r="J9" s="31"/>
      <c r="K9" s="32" t="s">
        <v>22</v>
      </c>
      <c r="L9" s="33" t="s">
        <v>9</v>
      </c>
      <c r="M9" s="33" t="s">
        <v>7</v>
      </c>
      <c r="N9" s="34" t="s">
        <v>23</v>
      </c>
      <c r="O9" s="31"/>
      <c r="P9" s="35" t="s">
        <v>22</v>
      </c>
      <c r="Q9" s="36" t="s">
        <v>9</v>
      </c>
      <c r="R9" s="36" t="s">
        <v>7</v>
      </c>
      <c r="S9" s="37" t="s">
        <v>23</v>
      </c>
    </row>
    <row r="10" spans="1:20" x14ac:dyDescent="0.25">
      <c r="A10" s="38">
        <v>15</v>
      </c>
      <c r="B10" s="39">
        <f>$J$3/$J$1</f>
        <v>30.326086956521738</v>
      </c>
      <c r="C10" s="40">
        <v>823261</v>
      </c>
      <c r="D10" s="41">
        <f>C10/B10</f>
        <v>27146.957706093192</v>
      </c>
      <c r="E10">
        <v>1</v>
      </c>
      <c r="F10" s="86">
        <v>9</v>
      </c>
      <c r="G10" s="68">
        <f>$J$3/$J$2</f>
        <v>33.41317365269461</v>
      </c>
      <c r="H10" s="87">
        <v>839159</v>
      </c>
      <c r="I10" s="69">
        <f>H10/G10</f>
        <v>25114.615232974909</v>
      </c>
      <c r="K10" s="38">
        <v>99</v>
      </c>
      <c r="L10" s="39">
        <f>$J$3/$J$1</f>
        <v>30.326086956521738</v>
      </c>
      <c r="M10" s="40">
        <v>891762</v>
      </c>
      <c r="N10" s="41">
        <f>M10/L10</f>
        <v>29405.772043010755</v>
      </c>
      <c r="O10">
        <v>1</v>
      </c>
      <c r="P10" s="86">
        <v>31</v>
      </c>
      <c r="Q10" s="68">
        <f>$J$3/$J$2</f>
        <v>33.41317365269461</v>
      </c>
      <c r="R10" s="87">
        <v>828146</v>
      </c>
      <c r="S10" s="69">
        <f>R10/Q10</f>
        <v>24785.014695340502</v>
      </c>
    </row>
    <row r="11" spans="1:20" x14ac:dyDescent="0.25">
      <c r="A11" s="46">
        <v>4</v>
      </c>
      <c r="B11" s="39">
        <f t="shared" ref="B11:B54" si="0">$J$3/$J$1</f>
        <v>30.326086956521738</v>
      </c>
      <c r="C11" s="47">
        <v>748702</v>
      </c>
      <c r="D11" s="41">
        <f t="shared" ref="D11:D54" si="1">C11/B11</f>
        <v>24688.381362007171</v>
      </c>
      <c r="E11">
        <v>1</v>
      </c>
      <c r="F11" s="58">
        <v>1</v>
      </c>
      <c r="G11" s="68">
        <f t="shared" ref="G11:G54" si="2">$J$3/$J$2</f>
        <v>33.41317365269461</v>
      </c>
      <c r="H11" s="54">
        <v>816679</v>
      </c>
      <c r="I11" s="69">
        <f t="shared" ref="I11:I54" si="3">H11/G11</f>
        <v>24441.826702508963</v>
      </c>
      <c r="K11" s="46">
        <v>22</v>
      </c>
      <c r="L11" s="39">
        <f t="shared" ref="L11:L64" si="4">$J$3/$J$1</f>
        <v>30.326086956521738</v>
      </c>
      <c r="M11" s="47">
        <v>787867</v>
      </c>
      <c r="N11" s="41">
        <f t="shared" ref="N11:N64" si="5">M11/L11</f>
        <v>25979.843727598567</v>
      </c>
      <c r="O11">
        <v>1</v>
      </c>
      <c r="P11" s="58">
        <v>95</v>
      </c>
      <c r="Q11" s="68">
        <f t="shared" ref="Q11:Q64" si="6">$J$3/$J$2</f>
        <v>33.41317365269461</v>
      </c>
      <c r="R11" s="54">
        <v>778683</v>
      </c>
      <c r="S11" s="69">
        <f t="shared" ref="S11:S64" si="7">R11/Q11</f>
        <v>23304.670430107526</v>
      </c>
    </row>
    <row r="12" spans="1:20" x14ac:dyDescent="0.25">
      <c r="A12" s="46">
        <v>75</v>
      </c>
      <c r="B12" s="39">
        <f t="shared" si="0"/>
        <v>30.326086956521738</v>
      </c>
      <c r="C12" s="47">
        <v>700923</v>
      </c>
      <c r="D12" s="41">
        <f t="shared" si="1"/>
        <v>23112.873118279571</v>
      </c>
      <c r="E12">
        <v>1</v>
      </c>
      <c r="F12" s="58">
        <v>3</v>
      </c>
      <c r="G12" s="68">
        <f t="shared" si="2"/>
        <v>33.41317365269461</v>
      </c>
      <c r="H12" s="54">
        <v>637399</v>
      </c>
      <c r="I12" s="69">
        <f t="shared" si="3"/>
        <v>19076.278315412186</v>
      </c>
      <c r="K12" s="99">
        <v>83</v>
      </c>
      <c r="L12" s="100">
        <f t="shared" si="4"/>
        <v>30.326086956521738</v>
      </c>
      <c r="M12" s="101">
        <v>776669</v>
      </c>
      <c r="N12" s="102">
        <f t="shared" si="5"/>
        <v>25610.590681003585</v>
      </c>
      <c r="O12">
        <v>0.66666666666666696</v>
      </c>
      <c r="P12" s="58">
        <v>32</v>
      </c>
      <c r="Q12" s="68">
        <f t="shared" si="6"/>
        <v>33.41317365269461</v>
      </c>
      <c r="R12" s="54">
        <v>742165</v>
      </c>
      <c r="S12" s="69">
        <f t="shared" si="7"/>
        <v>22211.748207885306</v>
      </c>
    </row>
    <row r="13" spans="1:20" x14ac:dyDescent="0.25">
      <c r="A13" s="46">
        <v>61</v>
      </c>
      <c r="B13" s="39">
        <f t="shared" si="0"/>
        <v>30.326086956521738</v>
      </c>
      <c r="C13" s="47">
        <v>594344</v>
      </c>
      <c r="D13" s="41">
        <f t="shared" si="1"/>
        <v>19598.440143369175</v>
      </c>
      <c r="E13">
        <v>1</v>
      </c>
      <c r="F13" s="58">
        <v>89</v>
      </c>
      <c r="G13" s="68">
        <f t="shared" si="2"/>
        <v>33.41317365269461</v>
      </c>
      <c r="H13" s="54">
        <v>626952</v>
      </c>
      <c r="I13" s="69">
        <f t="shared" si="3"/>
        <v>18763.617204301077</v>
      </c>
      <c r="K13" s="58">
        <v>57</v>
      </c>
      <c r="L13" s="68">
        <f t="shared" si="4"/>
        <v>30.326086956521738</v>
      </c>
      <c r="M13" s="54">
        <v>764937</v>
      </c>
      <c r="N13" s="69">
        <f t="shared" si="5"/>
        <v>25223.729032258067</v>
      </c>
      <c r="P13" s="58">
        <v>86</v>
      </c>
      <c r="Q13" s="68">
        <f t="shared" si="6"/>
        <v>33.41317365269461</v>
      </c>
      <c r="R13" s="54">
        <v>708838</v>
      </c>
      <c r="S13" s="69">
        <f t="shared" si="7"/>
        <v>21214.327240143371</v>
      </c>
    </row>
    <row r="14" spans="1:20" x14ac:dyDescent="0.25">
      <c r="A14" s="58">
        <v>2</v>
      </c>
      <c r="B14" s="68">
        <f t="shared" si="0"/>
        <v>30.326086956521738</v>
      </c>
      <c r="C14" s="54">
        <v>573963</v>
      </c>
      <c r="D14" s="69">
        <f t="shared" si="1"/>
        <v>18926.378494623656</v>
      </c>
      <c r="F14" s="58">
        <v>74</v>
      </c>
      <c r="G14" s="68">
        <f t="shared" si="2"/>
        <v>33.41317365269461</v>
      </c>
      <c r="H14" s="54">
        <v>528188</v>
      </c>
      <c r="I14" s="69">
        <f t="shared" si="3"/>
        <v>15807.7770609319</v>
      </c>
      <c r="K14" s="58">
        <v>33</v>
      </c>
      <c r="L14" s="68">
        <f t="shared" si="4"/>
        <v>30.326086956521738</v>
      </c>
      <c r="M14" s="54">
        <v>739492</v>
      </c>
      <c r="N14" s="69">
        <f t="shared" si="5"/>
        <v>24384.682437275987</v>
      </c>
      <c r="P14" s="58">
        <v>44</v>
      </c>
      <c r="Q14" s="68">
        <f t="shared" si="6"/>
        <v>33.41317365269461</v>
      </c>
      <c r="R14" s="54">
        <v>644475</v>
      </c>
      <c r="S14" s="69">
        <f t="shared" si="7"/>
        <v>19288.051075268817</v>
      </c>
    </row>
    <row r="15" spans="1:20" x14ac:dyDescent="0.25">
      <c r="A15" s="58">
        <v>66</v>
      </c>
      <c r="B15" s="68">
        <f t="shared" si="0"/>
        <v>30.326086956521738</v>
      </c>
      <c r="C15" s="54">
        <v>543888</v>
      </c>
      <c r="D15" s="69">
        <f t="shared" si="1"/>
        <v>17934.65806451613</v>
      </c>
      <c r="F15" s="58">
        <v>7</v>
      </c>
      <c r="G15" s="68">
        <f t="shared" si="2"/>
        <v>33.41317365269461</v>
      </c>
      <c r="H15" s="54">
        <v>517706</v>
      </c>
      <c r="I15" s="69">
        <f t="shared" si="3"/>
        <v>15494.068458781363</v>
      </c>
      <c r="K15" s="58">
        <v>34</v>
      </c>
      <c r="L15" s="68">
        <f t="shared" si="4"/>
        <v>30.326086956521738</v>
      </c>
      <c r="M15" s="54">
        <v>706466</v>
      </c>
      <c r="N15" s="69">
        <f t="shared" si="5"/>
        <v>23295.653046594984</v>
      </c>
      <c r="P15" s="58">
        <v>43</v>
      </c>
      <c r="Q15" s="68">
        <f t="shared" si="6"/>
        <v>33.41317365269461</v>
      </c>
      <c r="R15" s="54">
        <v>600711</v>
      </c>
      <c r="S15" s="69">
        <f t="shared" si="7"/>
        <v>17978.268279569893</v>
      </c>
    </row>
    <row r="16" spans="1:20" x14ac:dyDescent="0.25">
      <c r="A16" s="58">
        <v>9</v>
      </c>
      <c r="B16" s="68">
        <f t="shared" si="0"/>
        <v>30.326086956521738</v>
      </c>
      <c r="C16" s="54">
        <v>458407</v>
      </c>
      <c r="D16" s="69">
        <f t="shared" si="1"/>
        <v>15115.929749103943</v>
      </c>
      <c r="F16" s="58">
        <v>16</v>
      </c>
      <c r="G16" s="68">
        <f t="shared" si="2"/>
        <v>33.41317365269461</v>
      </c>
      <c r="H16" s="54">
        <v>471825</v>
      </c>
      <c r="I16" s="69">
        <f t="shared" si="3"/>
        <v>14120.927419354839</v>
      </c>
      <c r="K16" s="58">
        <v>54</v>
      </c>
      <c r="L16" s="68">
        <f t="shared" si="4"/>
        <v>30.326086956521738</v>
      </c>
      <c r="M16" s="54">
        <v>704680</v>
      </c>
      <c r="N16" s="69">
        <f t="shared" si="5"/>
        <v>23236.759856630826</v>
      </c>
      <c r="P16" s="58">
        <v>54</v>
      </c>
      <c r="Q16" s="68">
        <f t="shared" si="6"/>
        <v>33.41317365269461</v>
      </c>
      <c r="R16" s="54">
        <v>600526</v>
      </c>
      <c r="S16" s="69">
        <f t="shared" si="7"/>
        <v>17972.73154121864</v>
      </c>
    </row>
    <row r="17" spans="1:20" x14ac:dyDescent="0.25">
      <c r="A17" s="58">
        <v>6</v>
      </c>
      <c r="B17" s="68">
        <f t="shared" si="0"/>
        <v>30.326086956521738</v>
      </c>
      <c r="C17" s="54">
        <v>413342</v>
      </c>
      <c r="D17" s="69">
        <f t="shared" si="1"/>
        <v>13629.915412186379</v>
      </c>
      <c r="F17" s="58">
        <v>20</v>
      </c>
      <c r="G17" s="68">
        <f t="shared" si="2"/>
        <v>33.41317365269461</v>
      </c>
      <c r="H17" s="54">
        <v>465526</v>
      </c>
      <c r="I17" s="69">
        <f t="shared" si="3"/>
        <v>13932.408960573477</v>
      </c>
      <c r="K17" s="58">
        <v>46</v>
      </c>
      <c r="L17" s="68">
        <f t="shared" si="4"/>
        <v>30.326086956521738</v>
      </c>
      <c r="M17" s="54">
        <v>647685</v>
      </c>
      <c r="N17" s="69">
        <f t="shared" si="5"/>
        <v>21357.354838709678</v>
      </c>
      <c r="P17" s="58">
        <v>33</v>
      </c>
      <c r="Q17" s="68">
        <f t="shared" si="6"/>
        <v>33.41317365269461</v>
      </c>
      <c r="R17" s="54">
        <v>533105</v>
      </c>
      <c r="S17" s="69">
        <f t="shared" si="7"/>
        <v>15954.934587813621</v>
      </c>
    </row>
    <row r="18" spans="1:20" x14ac:dyDescent="0.25">
      <c r="A18" s="58">
        <v>90</v>
      </c>
      <c r="B18" s="68">
        <f t="shared" si="0"/>
        <v>30.326086956521738</v>
      </c>
      <c r="C18" s="54">
        <v>390167</v>
      </c>
      <c r="D18" s="69">
        <f t="shared" si="1"/>
        <v>12865.721863799283</v>
      </c>
      <c r="F18" s="58">
        <v>71</v>
      </c>
      <c r="G18" s="68">
        <f t="shared" si="2"/>
        <v>33.41317365269461</v>
      </c>
      <c r="H18" s="54">
        <v>459240</v>
      </c>
      <c r="I18" s="69">
        <f t="shared" si="3"/>
        <v>13744.279569892473</v>
      </c>
      <c r="K18" s="58">
        <v>35</v>
      </c>
      <c r="L18" s="68">
        <f t="shared" si="4"/>
        <v>30.326086956521738</v>
      </c>
      <c r="M18" s="54">
        <v>520964</v>
      </c>
      <c r="N18" s="69">
        <f t="shared" si="5"/>
        <v>17178.741218637992</v>
      </c>
      <c r="P18" s="58">
        <v>29</v>
      </c>
      <c r="Q18" s="68">
        <f t="shared" si="6"/>
        <v>33.41317365269461</v>
      </c>
      <c r="R18" s="54">
        <v>466819</v>
      </c>
      <c r="S18" s="69">
        <f t="shared" si="7"/>
        <v>13971.106272401434</v>
      </c>
    </row>
    <row r="19" spans="1:20" x14ac:dyDescent="0.25">
      <c r="A19" s="58">
        <v>10</v>
      </c>
      <c r="B19" s="68">
        <f t="shared" si="0"/>
        <v>30.326086956521738</v>
      </c>
      <c r="C19" s="54">
        <v>374487</v>
      </c>
      <c r="D19" s="69">
        <f t="shared" si="1"/>
        <v>12348.675268817206</v>
      </c>
      <c r="F19" s="58">
        <v>73</v>
      </c>
      <c r="G19" s="68">
        <f t="shared" si="2"/>
        <v>33.41317365269461</v>
      </c>
      <c r="H19" s="54">
        <v>435675</v>
      </c>
      <c r="I19" s="69">
        <f t="shared" si="3"/>
        <v>13039.018817204302</v>
      </c>
      <c r="K19" s="58">
        <v>28</v>
      </c>
      <c r="L19" s="68">
        <f t="shared" si="4"/>
        <v>30.326086956521738</v>
      </c>
      <c r="M19" s="54">
        <v>485282</v>
      </c>
      <c r="N19" s="69">
        <f t="shared" si="5"/>
        <v>16002.130465949822</v>
      </c>
      <c r="P19" s="58">
        <v>39</v>
      </c>
      <c r="Q19" s="68">
        <f t="shared" si="6"/>
        <v>33.41317365269461</v>
      </c>
      <c r="R19" s="54">
        <v>443533</v>
      </c>
      <c r="S19" s="69">
        <f t="shared" si="7"/>
        <v>13274.195519713261</v>
      </c>
    </row>
    <row r="20" spans="1:20" x14ac:dyDescent="0.25">
      <c r="A20" s="58">
        <v>72</v>
      </c>
      <c r="B20" s="68">
        <f t="shared" si="0"/>
        <v>30.326086956521738</v>
      </c>
      <c r="C20" s="54">
        <v>339217</v>
      </c>
      <c r="D20" s="69">
        <f t="shared" si="1"/>
        <v>11185.65017921147</v>
      </c>
      <c r="F20" s="95">
        <v>4</v>
      </c>
      <c r="G20" s="96">
        <f t="shared" si="2"/>
        <v>33.41317365269461</v>
      </c>
      <c r="H20" s="97">
        <v>435251</v>
      </c>
      <c r="I20" s="98">
        <f t="shared" si="3"/>
        <v>13026.329211469534</v>
      </c>
      <c r="J20">
        <v>0</v>
      </c>
      <c r="K20" s="58">
        <v>25</v>
      </c>
      <c r="L20" s="68">
        <f t="shared" si="4"/>
        <v>30.326086956521738</v>
      </c>
      <c r="M20" s="54">
        <v>428682</v>
      </c>
      <c r="N20" s="69">
        <f t="shared" si="5"/>
        <v>14135.750537634409</v>
      </c>
      <c r="P20" s="58">
        <v>85</v>
      </c>
      <c r="Q20" s="68">
        <f t="shared" si="6"/>
        <v>33.41317365269461</v>
      </c>
      <c r="R20" s="54">
        <v>400656</v>
      </c>
      <c r="S20" s="69">
        <f t="shared" si="7"/>
        <v>11990.959139784947</v>
      </c>
    </row>
    <row r="21" spans="1:20" x14ac:dyDescent="0.25">
      <c r="A21" s="58">
        <v>63</v>
      </c>
      <c r="B21" s="68">
        <f t="shared" si="0"/>
        <v>30.326086956521738</v>
      </c>
      <c r="C21" s="54">
        <v>148379</v>
      </c>
      <c r="D21" s="69">
        <f t="shared" si="1"/>
        <v>4892.7842293906815</v>
      </c>
      <c r="F21" s="58">
        <v>58</v>
      </c>
      <c r="G21" s="68">
        <f t="shared" si="2"/>
        <v>33.41317365269461</v>
      </c>
      <c r="H21" s="54">
        <v>425212</v>
      </c>
      <c r="I21" s="69">
        <f t="shared" si="3"/>
        <v>12725.878853046595</v>
      </c>
      <c r="K21" s="58">
        <v>53</v>
      </c>
      <c r="L21" s="68">
        <f t="shared" si="4"/>
        <v>30.326086956521738</v>
      </c>
      <c r="M21" s="54">
        <v>427876</v>
      </c>
      <c r="N21" s="69">
        <f t="shared" si="5"/>
        <v>14109.17275985663</v>
      </c>
      <c r="P21" s="58">
        <v>51</v>
      </c>
      <c r="Q21" s="68">
        <f t="shared" si="6"/>
        <v>33.41317365269461</v>
      </c>
      <c r="R21" s="54">
        <v>295735</v>
      </c>
      <c r="S21" s="69">
        <f t="shared" si="7"/>
        <v>8850.8503584229402</v>
      </c>
    </row>
    <row r="22" spans="1:20" x14ac:dyDescent="0.25">
      <c r="A22" s="58">
        <v>5</v>
      </c>
      <c r="B22" s="68">
        <f t="shared" si="0"/>
        <v>30.326086956521738</v>
      </c>
      <c r="C22" s="54">
        <v>135603</v>
      </c>
      <c r="D22" s="69">
        <f t="shared" si="1"/>
        <v>4471.4967741935488</v>
      </c>
      <c r="F22" s="58">
        <v>69</v>
      </c>
      <c r="G22" s="68">
        <f t="shared" si="2"/>
        <v>33.41317365269461</v>
      </c>
      <c r="H22" s="54">
        <v>301059</v>
      </c>
      <c r="I22" s="69">
        <f t="shared" si="3"/>
        <v>9010.188709677419</v>
      </c>
      <c r="K22" s="58">
        <v>30</v>
      </c>
      <c r="L22" s="68">
        <f t="shared" si="4"/>
        <v>30.326086956521738</v>
      </c>
      <c r="M22" s="54">
        <v>412457</v>
      </c>
      <c r="N22" s="69">
        <f t="shared" si="5"/>
        <v>13600.732616487456</v>
      </c>
      <c r="P22" s="58">
        <v>84</v>
      </c>
      <c r="Q22" s="68">
        <f t="shared" si="6"/>
        <v>33.41317365269461</v>
      </c>
      <c r="R22" s="54">
        <v>277116</v>
      </c>
      <c r="S22" s="69">
        <f t="shared" si="7"/>
        <v>8293.6150537634403</v>
      </c>
    </row>
    <row r="23" spans="1:20" x14ac:dyDescent="0.25">
      <c r="A23" s="58">
        <v>89</v>
      </c>
      <c r="B23" s="68">
        <f t="shared" si="0"/>
        <v>30.326086956521738</v>
      </c>
      <c r="C23" s="54">
        <v>43767</v>
      </c>
      <c r="D23" s="69">
        <f t="shared" si="1"/>
        <v>1443.2129032258065</v>
      </c>
      <c r="F23" s="58">
        <v>91</v>
      </c>
      <c r="G23" s="68">
        <f t="shared" si="2"/>
        <v>33.41317365269461</v>
      </c>
      <c r="H23" s="54">
        <v>248437</v>
      </c>
      <c r="I23" s="69">
        <f t="shared" si="3"/>
        <v>7435.3008960573479</v>
      </c>
      <c r="K23" s="58">
        <v>45</v>
      </c>
      <c r="L23" s="68">
        <f t="shared" si="4"/>
        <v>30.326086956521738</v>
      </c>
      <c r="M23" s="54">
        <v>411553</v>
      </c>
      <c r="N23" s="69">
        <f t="shared" si="5"/>
        <v>13570.923297491039</v>
      </c>
      <c r="P23" s="58">
        <v>100</v>
      </c>
      <c r="Q23" s="68">
        <f t="shared" si="6"/>
        <v>33.41317365269461</v>
      </c>
      <c r="R23" s="54">
        <v>196154</v>
      </c>
      <c r="S23" s="69">
        <f t="shared" si="7"/>
        <v>5870.5587813620077</v>
      </c>
    </row>
    <row r="24" spans="1:20" x14ac:dyDescent="0.25">
      <c r="A24" s="58">
        <v>8</v>
      </c>
      <c r="B24" s="68">
        <f t="shared" si="0"/>
        <v>30.326086956521738</v>
      </c>
      <c r="C24" s="54">
        <v>-31569</v>
      </c>
      <c r="D24" s="69">
        <f t="shared" si="1"/>
        <v>-1040.9849462365592</v>
      </c>
      <c r="F24" s="95">
        <v>75</v>
      </c>
      <c r="G24" s="96">
        <f t="shared" si="2"/>
        <v>33.41317365269461</v>
      </c>
      <c r="H24" s="97">
        <v>241104</v>
      </c>
      <c r="I24" s="98">
        <f t="shared" si="3"/>
        <v>7215.8365591397851</v>
      </c>
      <c r="J24">
        <v>0</v>
      </c>
      <c r="K24" s="58">
        <v>43</v>
      </c>
      <c r="L24" s="68">
        <f t="shared" si="4"/>
        <v>30.326086956521738</v>
      </c>
      <c r="M24" s="54">
        <v>287718</v>
      </c>
      <c r="N24" s="69">
        <f t="shared" si="5"/>
        <v>9487.4752688172048</v>
      </c>
      <c r="P24" s="58">
        <v>56</v>
      </c>
      <c r="Q24" s="68">
        <f t="shared" si="6"/>
        <v>33.41317365269461</v>
      </c>
      <c r="R24" s="54">
        <v>175558</v>
      </c>
      <c r="S24" s="69">
        <f t="shared" si="7"/>
        <v>5254.1551971326162</v>
      </c>
    </row>
    <row r="25" spans="1:20" x14ac:dyDescent="0.25">
      <c r="A25" s="58">
        <v>62</v>
      </c>
      <c r="B25" s="68">
        <f t="shared" si="0"/>
        <v>30.326086956521738</v>
      </c>
      <c r="C25" s="54">
        <v>-50310</v>
      </c>
      <c r="D25" s="69">
        <f t="shared" si="1"/>
        <v>-1658.9677419354839</v>
      </c>
      <c r="F25" s="58">
        <v>21</v>
      </c>
      <c r="G25" s="68">
        <f t="shared" si="2"/>
        <v>33.41317365269461</v>
      </c>
      <c r="H25" s="54">
        <v>182068</v>
      </c>
      <c r="I25" s="69">
        <f t="shared" si="3"/>
        <v>5448.9885304659501</v>
      </c>
      <c r="K25" s="58">
        <v>47</v>
      </c>
      <c r="L25" s="68">
        <f t="shared" si="4"/>
        <v>30.326086956521738</v>
      </c>
      <c r="M25" s="54">
        <v>244892</v>
      </c>
      <c r="N25" s="69">
        <f t="shared" si="5"/>
        <v>8075.2917562724015</v>
      </c>
      <c r="P25" s="58">
        <v>24</v>
      </c>
      <c r="Q25" s="68">
        <f t="shared" si="6"/>
        <v>33.41317365269461</v>
      </c>
      <c r="R25" s="54">
        <v>71007</v>
      </c>
      <c r="S25" s="69">
        <f t="shared" si="7"/>
        <v>2125.1198924731184</v>
      </c>
    </row>
    <row r="26" spans="1:20" x14ac:dyDescent="0.25">
      <c r="A26" s="58">
        <v>20</v>
      </c>
      <c r="B26" s="68">
        <f t="shared" si="0"/>
        <v>30.326086956521738</v>
      </c>
      <c r="C26" s="54">
        <v>-55320</v>
      </c>
      <c r="D26" s="69">
        <f t="shared" si="1"/>
        <v>-1824.1720430107528</v>
      </c>
      <c r="F26" s="58">
        <v>59</v>
      </c>
      <c r="G26" s="68">
        <f t="shared" si="2"/>
        <v>33.41317365269461</v>
      </c>
      <c r="H26" s="54">
        <v>167225</v>
      </c>
      <c r="I26" s="69">
        <f t="shared" si="3"/>
        <v>5004.7625448028675</v>
      </c>
      <c r="K26" s="58">
        <v>27</v>
      </c>
      <c r="L26" s="68">
        <f t="shared" si="4"/>
        <v>30.326086956521738</v>
      </c>
      <c r="M26" s="54">
        <v>217246</v>
      </c>
      <c r="N26" s="69">
        <f t="shared" si="5"/>
        <v>7163.6673835125448</v>
      </c>
      <c r="P26" s="58">
        <v>94</v>
      </c>
      <c r="Q26" s="68">
        <f t="shared" si="6"/>
        <v>33.41317365269461</v>
      </c>
      <c r="R26" s="54">
        <v>48569</v>
      </c>
      <c r="S26" s="69">
        <f t="shared" si="7"/>
        <v>1453.5883512544804</v>
      </c>
    </row>
    <row r="27" spans="1:20" x14ac:dyDescent="0.25">
      <c r="A27" s="58">
        <v>14</v>
      </c>
      <c r="B27" s="68">
        <f t="shared" si="0"/>
        <v>30.326086956521738</v>
      </c>
      <c r="C27" s="54">
        <v>-99929</v>
      </c>
      <c r="D27" s="69">
        <f t="shared" si="1"/>
        <v>-3295.1498207885306</v>
      </c>
      <c r="F27" s="58">
        <v>63</v>
      </c>
      <c r="G27" s="68">
        <f t="shared" si="2"/>
        <v>33.41317365269461</v>
      </c>
      <c r="H27" s="54">
        <v>-59023</v>
      </c>
      <c r="I27" s="69">
        <f t="shared" si="3"/>
        <v>-1766.4589605734768</v>
      </c>
      <c r="K27" s="58">
        <v>98</v>
      </c>
      <c r="L27" s="68">
        <f t="shared" si="4"/>
        <v>30.326086956521738</v>
      </c>
      <c r="M27" s="54">
        <v>186371</v>
      </c>
      <c r="N27" s="69">
        <f t="shared" si="5"/>
        <v>6145.5670250896055</v>
      </c>
      <c r="P27" s="58">
        <v>98</v>
      </c>
      <c r="Q27" s="68">
        <f t="shared" si="6"/>
        <v>33.41317365269461</v>
      </c>
      <c r="R27" s="54">
        <v>42432</v>
      </c>
      <c r="S27" s="69">
        <f t="shared" si="7"/>
        <v>1269.9182795698925</v>
      </c>
    </row>
    <row r="28" spans="1:20" x14ac:dyDescent="0.25">
      <c r="A28" s="58">
        <v>59</v>
      </c>
      <c r="B28" s="68">
        <f t="shared" si="0"/>
        <v>30.326086956521738</v>
      </c>
      <c r="C28" s="54">
        <v>-120499</v>
      </c>
      <c r="D28" s="69">
        <f t="shared" si="1"/>
        <v>-3973.4437275985665</v>
      </c>
      <c r="F28" s="58">
        <v>70</v>
      </c>
      <c r="G28" s="68">
        <f t="shared" si="2"/>
        <v>33.41317365269461</v>
      </c>
      <c r="H28" s="54">
        <v>-82956</v>
      </c>
      <c r="I28" s="69">
        <f t="shared" si="3"/>
        <v>-2482.7333333333336</v>
      </c>
      <c r="K28" s="58">
        <v>82</v>
      </c>
      <c r="L28" s="68">
        <f t="shared" si="4"/>
        <v>30.326086956521738</v>
      </c>
      <c r="M28" s="54">
        <v>157735</v>
      </c>
      <c r="N28" s="69">
        <f t="shared" si="5"/>
        <v>5201.2974910394269</v>
      </c>
      <c r="P28" s="58">
        <v>79</v>
      </c>
      <c r="Q28" s="68">
        <f t="shared" si="6"/>
        <v>33.41317365269461</v>
      </c>
      <c r="R28" s="54">
        <v>-17472</v>
      </c>
      <c r="S28" s="69">
        <f t="shared" si="7"/>
        <v>-522.9075268817204</v>
      </c>
    </row>
    <row r="29" spans="1:20" x14ac:dyDescent="0.25">
      <c r="A29" s="58">
        <v>11</v>
      </c>
      <c r="B29" s="68">
        <f t="shared" si="0"/>
        <v>30.326086956521738</v>
      </c>
      <c r="C29" s="54">
        <v>-150180</v>
      </c>
      <c r="D29" s="69">
        <f t="shared" si="1"/>
        <v>-4952.1720430107525</v>
      </c>
      <c r="F29" s="58">
        <v>64</v>
      </c>
      <c r="G29" s="68">
        <f t="shared" si="2"/>
        <v>33.41317365269461</v>
      </c>
      <c r="H29" s="54">
        <v>-163863</v>
      </c>
      <c r="I29" s="69">
        <f t="shared" si="3"/>
        <v>-4904.1435483870973</v>
      </c>
      <c r="K29" s="58">
        <v>39</v>
      </c>
      <c r="L29" s="68">
        <f t="shared" si="4"/>
        <v>30.326086956521738</v>
      </c>
      <c r="M29" s="54">
        <v>75371</v>
      </c>
      <c r="N29" s="69">
        <f t="shared" si="5"/>
        <v>2485.3519713261649</v>
      </c>
      <c r="P29" s="58">
        <v>30</v>
      </c>
      <c r="Q29" s="68">
        <f t="shared" si="6"/>
        <v>33.41317365269461</v>
      </c>
      <c r="R29" s="54">
        <v>-18899</v>
      </c>
      <c r="S29" s="69">
        <f t="shared" si="7"/>
        <v>-565.61523297491044</v>
      </c>
    </row>
    <row r="30" spans="1:20" x14ac:dyDescent="0.25">
      <c r="A30" s="58">
        <v>19</v>
      </c>
      <c r="B30" s="68">
        <f t="shared" si="0"/>
        <v>30.326086956521738</v>
      </c>
      <c r="C30" s="54">
        <v>-212225</v>
      </c>
      <c r="D30" s="69">
        <f t="shared" si="1"/>
        <v>-6998.1003584229393</v>
      </c>
      <c r="F30" s="58">
        <v>8</v>
      </c>
      <c r="G30" s="68">
        <f t="shared" si="2"/>
        <v>33.41317365269461</v>
      </c>
      <c r="H30" s="54">
        <v>-187009</v>
      </c>
      <c r="I30" s="69">
        <f t="shared" si="3"/>
        <v>-5596.8643369175625</v>
      </c>
      <c r="K30" s="58">
        <v>79</v>
      </c>
      <c r="L30" s="68">
        <f t="shared" si="4"/>
        <v>30.326086956521738</v>
      </c>
      <c r="M30" s="54">
        <v>42924</v>
      </c>
      <c r="N30" s="69">
        <f t="shared" si="5"/>
        <v>1415.4150537634409</v>
      </c>
      <c r="P30" s="95">
        <v>99</v>
      </c>
      <c r="Q30" s="96">
        <f t="shared" si="6"/>
        <v>33.41317365269461</v>
      </c>
      <c r="R30" s="97">
        <v>-53380</v>
      </c>
      <c r="S30" s="98">
        <f t="shared" si="7"/>
        <v>-1597.573476702509</v>
      </c>
      <c r="T30">
        <v>0</v>
      </c>
    </row>
    <row r="31" spans="1:20" x14ac:dyDescent="0.25">
      <c r="A31" s="58">
        <v>7</v>
      </c>
      <c r="B31" s="68">
        <f t="shared" si="0"/>
        <v>30.326086956521738</v>
      </c>
      <c r="C31" s="54">
        <v>-425925</v>
      </c>
      <c r="D31" s="69">
        <f t="shared" si="1"/>
        <v>-14044.83870967742</v>
      </c>
      <c r="F31" s="95">
        <v>61</v>
      </c>
      <c r="G31" s="96">
        <f t="shared" si="2"/>
        <v>33.41317365269461</v>
      </c>
      <c r="H31" s="97">
        <v>-223907</v>
      </c>
      <c r="I31" s="98">
        <f t="shared" si="3"/>
        <v>-6701.159318996416</v>
      </c>
      <c r="J31">
        <v>0</v>
      </c>
      <c r="K31" s="58">
        <v>49</v>
      </c>
      <c r="L31" s="68">
        <f t="shared" si="4"/>
        <v>30.326086956521738</v>
      </c>
      <c r="M31" s="54">
        <v>-35135</v>
      </c>
      <c r="N31" s="69">
        <f t="shared" si="5"/>
        <v>-1158.573476702509</v>
      </c>
      <c r="P31" s="58">
        <v>76</v>
      </c>
      <c r="Q31" s="68">
        <f t="shared" si="6"/>
        <v>33.41317365269461</v>
      </c>
      <c r="R31" s="54">
        <v>-134133</v>
      </c>
      <c r="S31" s="69">
        <f t="shared" si="7"/>
        <v>-4014.3747311827956</v>
      </c>
    </row>
    <row r="32" spans="1:20" x14ac:dyDescent="0.25">
      <c r="A32" s="58">
        <v>88</v>
      </c>
      <c r="B32" s="68">
        <f t="shared" si="0"/>
        <v>30.326086956521738</v>
      </c>
      <c r="C32" s="54">
        <v>-426293</v>
      </c>
      <c r="D32" s="69">
        <f t="shared" si="1"/>
        <v>-14056.973476702509</v>
      </c>
      <c r="F32" s="58">
        <v>92</v>
      </c>
      <c r="G32" s="68">
        <f t="shared" si="2"/>
        <v>33.41317365269461</v>
      </c>
      <c r="H32" s="54">
        <v>-299484</v>
      </c>
      <c r="I32" s="69">
        <f t="shared" si="3"/>
        <v>-8963.0516129032258</v>
      </c>
      <c r="K32" s="58">
        <v>86</v>
      </c>
      <c r="L32" s="68">
        <f t="shared" si="4"/>
        <v>30.326086956521738</v>
      </c>
      <c r="M32" s="54">
        <v>-36114</v>
      </c>
      <c r="N32" s="69">
        <f t="shared" si="5"/>
        <v>-1190.8559139784948</v>
      </c>
      <c r="P32" s="58">
        <v>27</v>
      </c>
      <c r="Q32" s="68">
        <f t="shared" si="6"/>
        <v>33.41317365269461</v>
      </c>
      <c r="R32" s="54">
        <v>-237585</v>
      </c>
      <c r="S32" s="69">
        <f t="shared" si="7"/>
        <v>-7110.5188172043008</v>
      </c>
    </row>
    <row r="33" spans="1:20" x14ac:dyDescent="0.25">
      <c r="A33" s="58">
        <v>1</v>
      </c>
      <c r="B33" s="68">
        <f t="shared" si="0"/>
        <v>30.326086956521738</v>
      </c>
      <c r="C33" s="54">
        <v>-436549</v>
      </c>
      <c r="D33" s="69">
        <f t="shared" si="1"/>
        <v>-14395.164157706093</v>
      </c>
      <c r="F33" s="58">
        <v>93</v>
      </c>
      <c r="G33" s="68">
        <f t="shared" si="2"/>
        <v>33.41317365269461</v>
      </c>
      <c r="H33" s="54">
        <v>-392062</v>
      </c>
      <c r="I33" s="69">
        <f t="shared" si="3"/>
        <v>-11733.755197132617</v>
      </c>
      <c r="K33" s="58">
        <v>95</v>
      </c>
      <c r="L33" s="68">
        <f t="shared" si="4"/>
        <v>30.326086956521738</v>
      </c>
      <c r="M33" s="54">
        <v>-117870</v>
      </c>
      <c r="N33" s="69">
        <f t="shared" si="5"/>
        <v>-3886.7526881720432</v>
      </c>
      <c r="P33" s="58">
        <v>49</v>
      </c>
      <c r="Q33" s="68">
        <f t="shared" si="6"/>
        <v>33.41317365269461</v>
      </c>
      <c r="R33" s="54">
        <v>-320509</v>
      </c>
      <c r="S33" s="69">
        <f t="shared" si="7"/>
        <v>-9592.2944444444438</v>
      </c>
    </row>
    <row r="34" spans="1:20" x14ac:dyDescent="0.25">
      <c r="A34" s="58">
        <v>16</v>
      </c>
      <c r="B34" s="68">
        <f t="shared" si="0"/>
        <v>30.326086956521738</v>
      </c>
      <c r="C34" s="54">
        <v>-516654</v>
      </c>
      <c r="D34" s="69">
        <f t="shared" si="1"/>
        <v>-17036.619354838709</v>
      </c>
      <c r="F34" s="58">
        <v>17</v>
      </c>
      <c r="G34" s="68">
        <f t="shared" si="2"/>
        <v>33.41317365269461</v>
      </c>
      <c r="H34" s="54">
        <v>-421127</v>
      </c>
      <c r="I34" s="69">
        <f t="shared" si="3"/>
        <v>-12603.621684587813</v>
      </c>
      <c r="K34" s="58">
        <v>42</v>
      </c>
      <c r="L34" s="68">
        <f t="shared" si="4"/>
        <v>30.326086956521738</v>
      </c>
      <c r="M34" s="54">
        <v>-137859</v>
      </c>
      <c r="N34" s="69">
        <f t="shared" si="5"/>
        <v>-4545.8881720430109</v>
      </c>
      <c r="P34" s="58">
        <v>47</v>
      </c>
      <c r="Q34" s="68">
        <f t="shared" si="6"/>
        <v>33.41317365269461</v>
      </c>
      <c r="R34" s="54">
        <v>-338573</v>
      </c>
      <c r="S34" s="69">
        <f t="shared" si="7"/>
        <v>-10132.919534050179</v>
      </c>
    </row>
    <row r="35" spans="1:20" x14ac:dyDescent="0.25">
      <c r="A35" s="58">
        <v>73</v>
      </c>
      <c r="B35" s="68">
        <f t="shared" si="0"/>
        <v>30.326086956521738</v>
      </c>
      <c r="C35" s="54">
        <v>-526062</v>
      </c>
      <c r="D35" s="69">
        <f t="shared" si="1"/>
        <v>-17346.847311827958</v>
      </c>
      <c r="F35" s="58">
        <v>5</v>
      </c>
      <c r="G35" s="68">
        <f t="shared" si="2"/>
        <v>33.41317365269461</v>
      </c>
      <c r="H35" s="54">
        <v>-473972</v>
      </c>
      <c r="I35" s="69">
        <f t="shared" si="3"/>
        <v>-14185.183512544803</v>
      </c>
      <c r="K35" s="58">
        <v>50</v>
      </c>
      <c r="L35" s="68">
        <f t="shared" si="4"/>
        <v>30.326086956521738</v>
      </c>
      <c r="M35" s="54">
        <v>-141217</v>
      </c>
      <c r="N35" s="69">
        <f t="shared" si="5"/>
        <v>-4656.6179211469534</v>
      </c>
      <c r="P35" s="58">
        <v>34</v>
      </c>
      <c r="Q35" s="68">
        <f t="shared" si="6"/>
        <v>33.41317365269461</v>
      </c>
      <c r="R35" s="54">
        <v>-343537</v>
      </c>
      <c r="S35" s="69">
        <f t="shared" si="7"/>
        <v>-10281.483691756273</v>
      </c>
    </row>
    <row r="36" spans="1:20" x14ac:dyDescent="0.25">
      <c r="A36" s="58">
        <v>69</v>
      </c>
      <c r="B36" s="68">
        <f t="shared" si="0"/>
        <v>30.326086956521738</v>
      </c>
      <c r="C36" s="54">
        <v>-582190</v>
      </c>
      <c r="D36" s="69">
        <f t="shared" si="1"/>
        <v>-19197.663082437277</v>
      </c>
      <c r="F36" s="58">
        <v>67</v>
      </c>
      <c r="G36" s="68">
        <f t="shared" si="2"/>
        <v>33.41317365269461</v>
      </c>
      <c r="H36" s="54">
        <v>-479440</v>
      </c>
      <c r="I36" s="69">
        <f t="shared" si="3"/>
        <v>-14348.831541218638</v>
      </c>
      <c r="K36" s="58">
        <v>24</v>
      </c>
      <c r="L36" s="68">
        <f t="shared" si="4"/>
        <v>30.326086956521738</v>
      </c>
      <c r="M36" s="54">
        <v>-265494</v>
      </c>
      <c r="N36" s="69">
        <f t="shared" si="5"/>
        <v>-8754.6408602150532</v>
      </c>
      <c r="P36" s="58">
        <v>26</v>
      </c>
      <c r="Q36" s="68">
        <f t="shared" si="6"/>
        <v>33.41317365269461</v>
      </c>
      <c r="R36" s="54">
        <v>-410208</v>
      </c>
      <c r="S36" s="69">
        <f t="shared" si="7"/>
        <v>-12276.834408602152</v>
      </c>
    </row>
    <row r="37" spans="1:20" x14ac:dyDescent="0.25">
      <c r="A37" s="58">
        <v>17</v>
      </c>
      <c r="B37" s="68">
        <f t="shared" si="0"/>
        <v>30.326086956521738</v>
      </c>
      <c r="C37" s="54">
        <v>-710390</v>
      </c>
      <c r="D37" s="69">
        <f t="shared" si="1"/>
        <v>-23425.046594982079</v>
      </c>
      <c r="F37" s="58">
        <v>65</v>
      </c>
      <c r="G37" s="68">
        <f t="shared" si="2"/>
        <v>33.41317365269461</v>
      </c>
      <c r="H37" s="54">
        <v>-681880</v>
      </c>
      <c r="I37" s="69">
        <f t="shared" si="3"/>
        <v>-20407.519713261649</v>
      </c>
      <c r="K37" s="58">
        <v>44</v>
      </c>
      <c r="L37" s="68">
        <f t="shared" si="4"/>
        <v>30.326086956521738</v>
      </c>
      <c r="M37" s="54">
        <v>-279807</v>
      </c>
      <c r="N37" s="69">
        <f t="shared" si="5"/>
        <v>-9226.6107526881715</v>
      </c>
      <c r="P37" s="58">
        <v>55</v>
      </c>
      <c r="Q37" s="68">
        <f t="shared" si="6"/>
        <v>33.41317365269461</v>
      </c>
      <c r="R37" s="54">
        <v>-412943</v>
      </c>
      <c r="S37" s="69">
        <f t="shared" si="7"/>
        <v>-12358.688351254481</v>
      </c>
    </row>
    <row r="38" spans="1:20" x14ac:dyDescent="0.25">
      <c r="A38" s="58">
        <v>12</v>
      </c>
      <c r="B38" s="68">
        <f t="shared" si="0"/>
        <v>30.326086956521738</v>
      </c>
      <c r="C38" s="54">
        <v>-753136</v>
      </c>
      <c r="D38" s="69">
        <f t="shared" si="1"/>
        <v>-24834.592114695341</v>
      </c>
      <c r="F38" s="95">
        <v>15</v>
      </c>
      <c r="G38" s="96">
        <f t="shared" si="2"/>
        <v>33.41317365269461</v>
      </c>
      <c r="H38" s="97">
        <v>-737370</v>
      </c>
      <c r="I38" s="98">
        <f t="shared" si="3"/>
        <v>-22068.241935483871</v>
      </c>
      <c r="J38">
        <v>0</v>
      </c>
      <c r="K38" s="58">
        <v>78</v>
      </c>
      <c r="L38" s="68">
        <f t="shared" si="4"/>
        <v>30.326086956521738</v>
      </c>
      <c r="M38" s="54">
        <v>-450754</v>
      </c>
      <c r="N38" s="69">
        <f t="shared" si="5"/>
        <v>-14863.572759856632</v>
      </c>
      <c r="P38" s="95">
        <v>22</v>
      </c>
      <c r="Q38" s="96">
        <f t="shared" si="6"/>
        <v>33.41317365269461</v>
      </c>
      <c r="R38" s="97">
        <v>-443480</v>
      </c>
      <c r="S38" s="98">
        <f t="shared" si="7"/>
        <v>-13272.609318996416</v>
      </c>
      <c r="T38">
        <v>0</v>
      </c>
    </row>
    <row r="39" spans="1:20" x14ac:dyDescent="0.25">
      <c r="A39" s="58">
        <v>58</v>
      </c>
      <c r="B39" s="68">
        <f t="shared" si="0"/>
        <v>30.326086956521738</v>
      </c>
      <c r="C39" s="54">
        <v>-793953</v>
      </c>
      <c r="D39" s="69">
        <f t="shared" si="1"/>
        <v>-26180.529032258066</v>
      </c>
      <c r="F39" s="58">
        <v>6</v>
      </c>
      <c r="G39" s="68">
        <f t="shared" si="2"/>
        <v>33.41317365269461</v>
      </c>
      <c r="H39" s="54">
        <v>-760719</v>
      </c>
      <c r="I39" s="69">
        <f t="shared" si="3"/>
        <v>-22767.038172043012</v>
      </c>
      <c r="K39" s="58">
        <v>81</v>
      </c>
      <c r="L39" s="68">
        <f t="shared" si="4"/>
        <v>30.326086956521738</v>
      </c>
      <c r="M39" s="54">
        <v>-460974</v>
      </c>
      <c r="N39" s="69">
        <f t="shared" si="5"/>
        <v>-15200.576344086023</v>
      </c>
      <c r="P39" s="58">
        <v>97</v>
      </c>
      <c r="Q39" s="68">
        <f t="shared" si="6"/>
        <v>33.41317365269461</v>
      </c>
      <c r="R39" s="54">
        <v>-474669</v>
      </c>
      <c r="S39" s="69">
        <f t="shared" si="7"/>
        <v>-14206.043548387097</v>
      </c>
    </row>
    <row r="40" spans="1:20" x14ac:dyDescent="0.25">
      <c r="A40" s="58">
        <v>68</v>
      </c>
      <c r="B40" s="68">
        <f t="shared" si="0"/>
        <v>30.326086956521738</v>
      </c>
      <c r="C40" s="54">
        <v>-803861</v>
      </c>
      <c r="D40" s="69">
        <f t="shared" si="1"/>
        <v>-26507.244444444445</v>
      </c>
      <c r="F40" s="58">
        <v>18</v>
      </c>
      <c r="G40" s="68">
        <f t="shared" si="2"/>
        <v>33.41317365269461</v>
      </c>
      <c r="H40" s="54">
        <v>-824942</v>
      </c>
      <c r="I40" s="69">
        <f t="shared" si="3"/>
        <v>-24689.124372759856</v>
      </c>
      <c r="K40" s="58">
        <v>48</v>
      </c>
      <c r="L40" s="68">
        <f t="shared" si="4"/>
        <v>30.326086956521738</v>
      </c>
      <c r="M40" s="54">
        <v>-522318</v>
      </c>
      <c r="N40" s="69">
        <f t="shared" si="5"/>
        <v>-17223.389247311829</v>
      </c>
      <c r="P40" s="58">
        <v>57</v>
      </c>
      <c r="Q40" s="68">
        <f t="shared" si="6"/>
        <v>33.41317365269461</v>
      </c>
      <c r="R40" s="54">
        <v>-519769</v>
      </c>
      <c r="S40" s="69">
        <f t="shared" si="7"/>
        <v>-15555.810573476703</v>
      </c>
    </row>
    <row r="41" spans="1:20" x14ac:dyDescent="0.25">
      <c r="A41" s="58">
        <v>60</v>
      </c>
      <c r="B41" s="68">
        <f t="shared" si="0"/>
        <v>30.326086956521738</v>
      </c>
      <c r="C41" s="54">
        <v>-850901</v>
      </c>
      <c r="D41" s="69">
        <f t="shared" si="1"/>
        <v>-28058.384229390682</v>
      </c>
      <c r="F41" s="58">
        <v>11</v>
      </c>
      <c r="G41" s="68">
        <f t="shared" si="2"/>
        <v>33.41317365269461</v>
      </c>
      <c r="H41" s="54">
        <v>-906527</v>
      </c>
      <c r="I41" s="69">
        <f t="shared" si="3"/>
        <v>-27130.825985663083</v>
      </c>
      <c r="K41" s="58">
        <v>87</v>
      </c>
      <c r="L41" s="68">
        <f t="shared" si="4"/>
        <v>30.326086956521738</v>
      </c>
      <c r="M41" s="54">
        <v>-542332</v>
      </c>
      <c r="N41" s="69">
        <f t="shared" si="5"/>
        <v>-17883.349103942652</v>
      </c>
      <c r="P41" s="58">
        <v>35</v>
      </c>
      <c r="Q41" s="68">
        <f t="shared" si="6"/>
        <v>33.41317365269461</v>
      </c>
      <c r="R41" s="54">
        <v>-552149</v>
      </c>
      <c r="S41" s="69">
        <f t="shared" si="7"/>
        <v>-16524.889426523299</v>
      </c>
    </row>
    <row r="42" spans="1:20" x14ac:dyDescent="0.25">
      <c r="A42" s="58">
        <v>74</v>
      </c>
      <c r="B42" s="68">
        <f t="shared" si="0"/>
        <v>30.326086956521738</v>
      </c>
      <c r="C42" s="54">
        <v>-871942</v>
      </c>
      <c r="D42" s="69">
        <f t="shared" si="1"/>
        <v>-28752.209318996418</v>
      </c>
      <c r="F42" s="58">
        <v>14</v>
      </c>
      <c r="G42" s="68">
        <f t="shared" si="2"/>
        <v>33.41317365269461</v>
      </c>
      <c r="H42" s="54">
        <v>-923878</v>
      </c>
      <c r="I42" s="69">
        <f t="shared" si="3"/>
        <v>-27650.112186379931</v>
      </c>
      <c r="K42" s="58">
        <v>41</v>
      </c>
      <c r="L42" s="68">
        <f t="shared" si="4"/>
        <v>30.326086956521738</v>
      </c>
      <c r="M42" s="54">
        <v>-545075</v>
      </c>
      <c r="N42" s="69">
        <f t="shared" si="5"/>
        <v>-17973.799283154123</v>
      </c>
      <c r="P42" s="58">
        <v>81</v>
      </c>
      <c r="Q42" s="68">
        <f t="shared" si="6"/>
        <v>33.41317365269461</v>
      </c>
      <c r="R42" s="54">
        <v>-553719</v>
      </c>
      <c r="S42" s="69">
        <f t="shared" si="7"/>
        <v>-16571.876881720429</v>
      </c>
    </row>
    <row r="43" spans="1:20" x14ac:dyDescent="0.25">
      <c r="A43" s="58">
        <v>71</v>
      </c>
      <c r="B43" s="68">
        <f t="shared" si="0"/>
        <v>30.326086956521738</v>
      </c>
      <c r="C43" s="54">
        <v>-879757</v>
      </c>
      <c r="D43" s="69">
        <f t="shared" si="1"/>
        <v>-29009.908243727601</v>
      </c>
      <c r="F43" s="58">
        <v>90</v>
      </c>
      <c r="G43" s="68">
        <f t="shared" si="2"/>
        <v>33.41317365269461</v>
      </c>
      <c r="H43" s="54">
        <v>-944796</v>
      </c>
      <c r="I43" s="69">
        <f t="shared" si="3"/>
        <v>-28276.152688172042</v>
      </c>
      <c r="K43" s="58">
        <v>23</v>
      </c>
      <c r="L43" s="68">
        <f t="shared" si="4"/>
        <v>30.326086956521738</v>
      </c>
      <c r="M43" s="54">
        <v>-550483</v>
      </c>
      <c r="N43" s="69">
        <f t="shared" si="5"/>
        <v>-18152.127598566309</v>
      </c>
      <c r="P43" s="58">
        <v>25</v>
      </c>
      <c r="Q43" s="68">
        <f t="shared" si="6"/>
        <v>33.41317365269461</v>
      </c>
      <c r="R43" s="54">
        <v>-602771</v>
      </c>
      <c r="S43" s="69">
        <f t="shared" si="7"/>
        <v>-18039.920609318997</v>
      </c>
    </row>
    <row r="44" spans="1:20" x14ac:dyDescent="0.25">
      <c r="A44" s="58">
        <v>13</v>
      </c>
      <c r="B44" s="68">
        <f t="shared" si="0"/>
        <v>30.326086956521738</v>
      </c>
      <c r="C44" s="54">
        <v>-1072053</v>
      </c>
      <c r="D44" s="69">
        <f t="shared" si="1"/>
        <v>-35350.851612903229</v>
      </c>
      <c r="F44" s="58">
        <v>88</v>
      </c>
      <c r="G44" s="68">
        <f t="shared" si="2"/>
        <v>33.41317365269461</v>
      </c>
      <c r="H44" s="54">
        <v>-964689</v>
      </c>
      <c r="I44" s="69">
        <f t="shared" si="3"/>
        <v>-28871.516666666666</v>
      </c>
      <c r="K44" s="58">
        <v>55</v>
      </c>
      <c r="L44" s="68">
        <f t="shared" si="4"/>
        <v>30.326086956521738</v>
      </c>
      <c r="M44" s="54">
        <v>-592287</v>
      </c>
      <c r="N44" s="69">
        <f t="shared" si="5"/>
        <v>-19530.610752688171</v>
      </c>
      <c r="P44" s="58">
        <v>23</v>
      </c>
      <c r="Q44" s="68">
        <f t="shared" si="6"/>
        <v>33.41317365269461</v>
      </c>
      <c r="R44" s="54">
        <v>-625997</v>
      </c>
      <c r="S44" s="69">
        <f t="shared" si="7"/>
        <v>-18735.035663082439</v>
      </c>
    </row>
    <row r="45" spans="1:20" x14ac:dyDescent="0.25">
      <c r="A45" s="58">
        <v>92</v>
      </c>
      <c r="B45" s="68">
        <f t="shared" si="0"/>
        <v>30.326086956521738</v>
      </c>
      <c r="C45" s="54">
        <v>-1105120</v>
      </c>
      <c r="D45" s="69">
        <f t="shared" si="1"/>
        <v>-36441.232974910396</v>
      </c>
      <c r="F45" s="58">
        <v>10</v>
      </c>
      <c r="G45" s="68">
        <f t="shared" si="2"/>
        <v>33.41317365269461</v>
      </c>
      <c r="H45" s="54">
        <v>-1019506</v>
      </c>
      <c r="I45" s="69">
        <f t="shared" si="3"/>
        <v>-30512.097132616487</v>
      </c>
      <c r="K45" s="58">
        <v>31</v>
      </c>
      <c r="L45" s="68">
        <f t="shared" si="4"/>
        <v>30.326086956521738</v>
      </c>
      <c r="M45" s="54">
        <v>-620072</v>
      </c>
      <c r="N45" s="69">
        <f t="shared" si="5"/>
        <v>-20446.818637992834</v>
      </c>
      <c r="P45" s="58">
        <v>78</v>
      </c>
      <c r="Q45" s="68">
        <f t="shared" si="6"/>
        <v>33.41317365269461</v>
      </c>
      <c r="R45" s="54">
        <v>-732192</v>
      </c>
      <c r="S45" s="69">
        <f t="shared" si="7"/>
        <v>-21913.273118279569</v>
      </c>
    </row>
    <row r="46" spans="1:20" x14ac:dyDescent="0.25">
      <c r="A46" s="58">
        <v>21</v>
      </c>
      <c r="B46" s="68">
        <f t="shared" si="0"/>
        <v>30.326086956521738</v>
      </c>
      <c r="C46" s="54">
        <v>-1124143</v>
      </c>
      <c r="D46" s="69">
        <f t="shared" si="1"/>
        <v>-37068.514695340506</v>
      </c>
      <c r="F46" s="58">
        <v>2</v>
      </c>
      <c r="G46" s="68">
        <f t="shared" si="2"/>
        <v>33.41317365269461</v>
      </c>
      <c r="H46" s="54">
        <v>-1048073</v>
      </c>
      <c r="I46" s="69">
        <f t="shared" si="3"/>
        <v>-31367.059318996417</v>
      </c>
      <c r="K46" s="58">
        <v>40</v>
      </c>
      <c r="L46" s="68">
        <f t="shared" si="4"/>
        <v>30.326086956521738</v>
      </c>
      <c r="M46" s="54">
        <v>-658386</v>
      </c>
      <c r="N46" s="69">
        <f t="shared" si="5"/>
        <v>-21710.219354838711</v>
      </c>
      <c r="P46" s="58">
        <v>41</v>
      </c>
      <c r="Q46" s="68">
        <f t="shared" si="6"/>
        <v>33.41317365269461</v>
      </c>
      <c r="R46" s="54">
        <v>-890843</v>
      </c>
      <c r="S46" s="69">
        <f t="shared" si="7"/>
        <v>-26661.430286738352</v>
      </c>
    </row>
    <row r="47" spans="1:20" x14ac:dyDescent="0.25">
      <c r="A47" s="58">
        <v>64</v>
      </c>
      <c r="B47" s="68">
        <f t="shared" si="0"/>
        <v>30.326086956521738</v>
      </c>
      <c r="C47" s="54">
        <v>-1198677</v>
      </c>
      <c r="D47" s="69">
        <f t="shared" si="1"/>
        <v>-39526.26666666667</v>
      </c>
      <c r="F47" s="58">
        <v>12</v>
      </c>
      <c r="G47" s="68">
        <f t="shared" si="2"/>
        <v>33.41317365269461</v>
      </c>
      <c r="H47" s="54">
        <v>-1098022</v>
      </c>
      <c r="I47" s="69">
        <f t="shared" si="3"/>
        <v>-32861.948745519716</v>
      </c>
      <c r="K47" s="58">
        <v>97</v>
      </c>
      <c r="L47" s="68">
        <f t="shared" si="4"/>
        <v>30.326086956521738</v>
      </c>
      <c r="M47" s="54">
        <v>-661431</v>
      </c>
      <c r="N47" s="69">
        <f t="shared" si="5"/>
        <v>-21810.627956989247</v>
      </c>
      <c r="P47" s="58">
        <v>48</v>
      </c>
      <c r="Q47" s="68">
        <f t="shared" si="6"/>
        <v>33.41317365269461</v>
      </c>
      <c r="R47" s="54">
        <v>-914243</v>
      </c>
      <c r="S47" s="69">
        <f t="shared" si="7"/>
        <v>-27361.752867383515</v>
      </c>
    </row>
    <row r="48" spans="1:20" x14ac:dyDescent="0.25">
      <c r="A48" s="58">
        <v>3</v>
      </c>
      <c r="B48" s="68">
        <f t="shared" si="0"/>
        <v>30.326086956521738</v>
      </c>
      <c r="C48" s="54">
        <v>-1231829</v>
      </c>
      <c r="D48" s="69">
        <f t="shared" si="1"/>
        <v>-40619.450896057351</v>
      </c>
      <c r="F48" s="58">
        <v>72</v>
      </c>
      <c r="G48" s="68">
        <f t="shared" si="2"/>
        <v>33.41317365269461</v>
      </c>
      <c r="H48" s="54">
        <v>-1168137</v>
      </c>
      <c r="I48" s="69">
        <f t="shared" si="3"/>
        <v>-34960.372580645162</v>
      </c>
      <c r="K48" s="58">
        <v>56</v>
      </c>
      <c r="L48" s="68">
        <f t="shared" si="4"/>
        <v>30.326086956521738</v>
      </c>
      <c r="M48" s="54">
        <v>-736742</v>
      </c>
      <c r="N48" s="69">
        <f t="shared" si="5"/>
        <v>-24294.001433691756</v>
      </c>
      <c r="P48" s="58">
        <v>96</v>
      </c>
      <c r="Q48" s="68">
        <f t="shared" si="6"/>
        <v>33.41317365269461</v>
      </c>
      <c r="R48" s="54">
        <v>-944950</v>
      </c>
      <c r="S48" s="69">
        <f t="shared" si="7"/>
        <v>-28280.76164874552</v>
      </c>
    </row>
    <row r="49" spans="1:19" x14ac:dyDescent="0.25">
      <c r="A49" s="58">
        <v>70</v>
      </c>
      <c r="B49" s="68">
        <f t="shared" si="0"/>
        <v>30.326086956521738</v>
      </c>
      <c r="C49" s="54">
        <v>-1290356</v>
      </c>
      <c r="D49" s="69">
        <f t="shared" si="1"/>
        <v>-42549.373476702509</v>
      </c>
      <c r="F49" s="58">
        <v>62</v>
      </c>
      <c r="G49" s="68">
        <f t="shared" si="2"/>
        <v>33.41317365269461</v>
      </c>
      <c r="H49" s="54">
        <v>-1177761</v>
      </c>
      <c r="I49" s="69">
        <f t="shared" si="3"/>
        <v>-35248.402688172042</v>
      </c>
      <c r="K49" s="58">
        <v>85</v>
      </c>
      <c r="L49" s="68">
        <f t="shared" si="4"/>
        <v>30.326086956521738</v>
      </c>
      <c r="M49" s="54">
        <v>-789944</v>
      </c>
      <c r="N49" s="69">
        <f t="shared" si="5"/>
        <v>-26048.332616487456</v>
      </c>
      <c r="P49" s="58">
        <v>82</v>
      </c>
      <c r="Q49" s="68">
        <f t="shared" si="6"/>
        <v>33.41317365269461</v>
      </c>
      <c r="R49" s="54">
        <v>-954865</v>
      </c>
      <c r="S49" s="69">
        <f t="shared" si="7"/>
        <v>-28577.500896057347</v>
      </c>
    </row>
    <row r="50" spans="1:19" x14ac:dyDescent="0.25">
      <c r="A50" s="58">
        <v>65</v>
      </c>
      <c r="B50" s="68">
        <f t="shared" si="0"/>
        <v>30.326086956521738</v>
      </c>
      <c r="C50" s="54">
        <v>-1335361</v>
      </c>
      <c r="D50" s="69">
        <f t="shared" si="1"/>
        <v>-44033.409318996419</v>
      </c>
      <c r="F50" s="58">
        <v>19</v>
      </c>
      <c r="G50" s="68">
        <f t="shared" si="2"/>
        <v>33.41317365269461</v>
      </c>
      <c r="H50" s="54">
        <v>-1251057</v>
      </c>
      <c r="I50" s="69">
        <f t="shared" si="3"/>
        <v>-37442.028494623657</v>
      </c>
      <c r="K50" s="58">
        <v>26</v>
      </c>
      <c r="L50" s="68">
        <f t="shared" si="4"/>
        <v>30.326086956521738</v>
      </c>
      <c r="M50" s="54">
        <v>-946136</v>
      </c>
      <c r="N50" s="69">
        <f t="shared" si="5"/>
        <v>-31198.749820788533</v>
      </c>
      <c r="P50" s="58">
        <v>50</v>
      </c>
      <c r="Q50" s="68">
        <f t="shared" si="6"/>
        <v>33.41317365269461</v>
      </c>
      <c r="R50" s="54">
        <v>-1011749</v>
      </c>
      <c r="S50" s="69">
        <f t="shared" si="7"/>
        <v>-30279.943189964157</v>
      </c>
    </row>
    <row r="51" spans="1:19" x14ac:dyDescent="0.25">
      <c r="A51" s="58">
        <v>18</v>
      </c>
      <c r="B51" s="68">
        <f t="shared" si="0"/>
        <v>30.326086956521738</v>
      </c>
      <c r="C51" s="54">
        <v>-1388548</v>
      </c>
      <c r="D51" s="69">
        <f t="shared" si="1"/>
        <v>-45787.2458781362</v>
      </c>
      <c r="F51" s="58">
        <v>68</v>
      </c>
      <c r="G51" s="68">
        <f t="shared" si="2"/>
        <v>33.41317365269461</v>
      </c>
      <c r="H51" s="54">
        <v>-1292553</v>
      </c>
      <c r="I51" s="69">
        <f t="shared" si="3"/>
        <v>-38683.933870967739</v>
      </c>
      <c r="K51" s="58">
        <v>84</v>
      </c>
      <c r="L51" s="68">
        <f t="shared" si="4"/>
        <v>30.326086956521738</v>
      </c>
      <c r="M51" s="54">
        <v>-948146</v>
      </c>
      <c r="N51" s="69">
        <f t="shared" si="5"/>
        <v>-31265.029390681004</v>
      </c>
      <c r="P51" s="58">
        <v>40</v>
      </c>
      <c r="Q51" s="68">
        <f t="shared" si="6"/>
        <v>33.41317365269461</v>
      </c>
      <c r="R51" s="54">
        <v>-1028317</v>
      </c>
      <c r="S51" s="69">
        <f t="shared" si="7"/>
        <v>-30775.795519713261</v>
      </c>
    </row>
    <row r="52" spans="1:19" x14ac:dyDescent="0.25">
      <c r="A52" s="58">
        <v>91</v>
      </c>
      <c r="B52" s="68">
        <f t="shared" si="0"/>
        <v>30.326086956521738</v>
      </c>
      <c r="C52" s="54">
        <v>-1477388</v>
      </c>
      <c r="D52" s="69">
        <f t="shared" si="1"/>
        <v>-48716.736917562725</v>
      </c>
      <c r="F52" s="58">
        <v>60</v>
      </c>
      <c r="G52" s="68">
        <f t="shared" si="2"/>
        <v>33.41317365269461</v>
      </c>
      <c r="H52" s="54">
        <v>-1363928</v>
      </c>
      <c r="I52" s="69">
        <f t="shared" si="3"/>
        <v>-40820.067383512549</v>
      </c>
      <c r="K52" s="58">
        <v>37</v>
      </c>
      <c r="L52" s="68">
        <f t="shared" si="4"/>
        <v>30.326086956521738</v>
      </c>
      <c r="M52" s="54">
        <v>-1123636</v>
      </c>
      <c r="N52" s="69">
        <f t="shared" si="5"/>
        <v>-37051.796415770608</v>
      </c>
      <c r="P52" s="58">
        <v>45</v>
      </c>
      <c r="Q52" s="68">
        <f t="shared" si="6"/>
        <v>33.41317365269461</v>
      </c>
      <c r="R52" s="54">
        <v>-1108132</v>
      </c>
      <c r="S52" s="69">
        <f t="shared" si="7"/>
        <v>-33164.524014336916</v>
      </c>
    </row>
    <row r="53" spans="1:19" x14ac:dyDescent="0.25">
      <c r="A53" s="58">
        <v>67</v>
      </c>
      <c r="B53" s="68">
        <f t="shared" si="0"/>
        <v>30.326086956521738</v>
      </c>
      <c r="C53" s="54">
        <v>-1558535</v>
      </c>
      <c r="D53" s="69">
        <f t="shared" si="1"/>
        <v>-51392.551971326167</v>
      </c>
      <c r="F53" s="58">
        <v>66</v>
      </c>
      <c r="G53" s="68">
        <f t="shared" si="2"/>
        <v>33.41317365269461</v>
      </c>
      <c r="H53" s="54">
        <v>-1541082</v>
      </c>
      <c r="I53" s="69">
        <f t="shared" si="3"/>
        <v>-46121.988172043013</v>
      </c>
      <c r="K53" s="58">
        <v>77</v>
      </c>
      <c r="L53" s="68">
        <f t="shared" si="4"/>
        <v>30.326086956521738</v>
      </c>
      <c r="M53" s="54">
        <v>-1136517</v>
      </c>
      <c r="N53" s="69">
        <f t="shared" si="5"/>
        <v>-37476.546236559137</v>
      </c>
      <c r="P53" s="58">
        <v>37</v>
      </c>
      <c r="Q53" s="68">
        <f t="shared" si="6"/>
        <v>33.41317365269461</v>
      </c>
      <c r="R53" s="54">
        <v>-1231599</v>
      </c>
      <c r="S53" s="69">
        <f t="shared" si="7"/>
        <v>-36859.683333333334</v>
      </c>
    </row>
    <row r="54" spans="1:19" x14ac:dyDescent="0.25">
      <c r="A54" s="58">
        <v>93</v>
      </c>
      <c r="B54" s="68">
        <f t="shared" si="0"/>
        <v>30.326086956521738</v>
      </c>
      <c r="C54" s="54">
        <v>-1560391</v>
      </c>
      <c r="D54" s="69">
        <f t="shared" si="1"/>
        <v>-51453.753405017924</v>
      </c>
      <c r="F54" s="58">
        <v>13</v>
      </c>
      <c r="G54" s="68">
        <f t="shared" si="2"/>
        <v>33.41317365269461</v>
      </c>
      <c r="H54" s="54">
        <v>-1570807</v>
      </c>
      <c r="I54" s="69">
        <f t="shared" si="3"/>
        <v>-47011.607347670251</v>
      </c>
      <c r="K54" s="58">
        <v>94</v>
      </c>
      <c r="L54" s="68">
        <f t="shared" si="4"/>
        <v>30.326086956521738</v>
      </c>
      <c r="M54" s="54">
        <v>-1189690</v>
      </c>
      <c r="N54" s="69">
        <f t="shared" si="5"/>
        <v>-39229.921146953406</v>
      </c>
      <c r="P54" s="58">
        <v>80</v>
      </c>
      <c r="Q54" s="68">
        <f t="shared" si="6"/>
        <v>33.41317365269461</v>
      </c>
      <c r="R54" s="54">
        <v>-1261366</v>
      </c>
      <c r="S54" s="69">
        <f t="shared" si="7"/>
        <v>-37750.559498207884</v>
      </c>
    </row>
    <row r="55" spans="1:19" x14ac:dyDescent="0.25">
      <c r="A55" s="58"/>
      <c r="B55" s="59"/>
      <c r="C55" s="54"/>
      <c r="D55" s="55"/>
      <c r="F55" s="58"/>
      <c r="G55" s="59"/>
      <c r="H55" s="54"/>
      <c r="I55" s="55"/>
      <c r="K55" s="58">
        <v>32</v>
      </c>
      <c r="L55" s="68">
        <f t="shared" si="4"/>
        <v>30.326086956521738</v>
      </c>
      <c r="M55" s="54">
        <v>-1238968</v>
      </c>
      <c r="N55" s="69">
        <f t="shared" si="5"/>
        <v>-40854.858781362011</v>
      </c>
      <c r="P55" s="58">
        <v>52</v>
      </c>
      <c r="Q55" s="68">
        <f t="shared" si="6"/>
        <v>33.41317365269461</v>
      </c>
      <c r="R55" s="54">
        <v>-1306284</v>
      </c>
      <c r="S55" s="69">
        <f t="shared" si="7"/>
        <v>-39094.879569892473</v>
      </c>
    </row>
    <row r="56" spans="1:19" x14ac:dyDescent="0.25">
      <c r="A56" s="58"/>
      <c r="B56" s="59"/>
      <c r="C56" s="54"/>
      <c r="D56" s="55"/>
      <c r="F56" s="58"/>
      <c r="G56" s="59"/>
      <c r="H56" s="54"/>
      <c r="I56" s="55"/>
      <c r="K56" s="58">
        <v>36</v>
      </c>
      <c r="L56" s="68">
        <f t="shared" si="4"/>
        <v>30.326086956521738</v>
      </c>
      <c r="M56" s="54">
        <v>-1281241</v>
      </c>
      <c r="N56" s="69">
        <f t="shared" si="5"/>
        <v>-42248.807168458785</v>
      </c>
      <c r="P56" s="58">
        <v>38</v>
      </c>
      <c r="Q56" s="68">
        <f t="shared" si="6"/>
        <v>33.41317365269461</v>
      </c>
      <c r="R56" s="54">
        <v>-1308829</v>
      </c>
      <c r="S56" s="69">
        <f t="shared" si="7"/>
        <v>-39171.047132616492</v>
      </c>
    </row>
    <row r="57" spans="1:19" x14ac:dyDescent="0.25">
      <c r="A57" s="58"/>
      <c r="B57" s="59"/>
      <c r="C57" s="54"/>
      <c r="D57" s="55"/>
      <c r="F57" s="58"/>
      <c r="G57" s="59"/>
      <c r="H57" s="54"/>
      <c r="I57" s="55"/>
      <c r="K57" s="58">
        <v>29</v>
      </c>
      <c r="L57" s="68">
        <f t="shared" si="4"/>
        <v>30.326086956521738</v>
      </c>
      <c r="M57" s="54">
        <v>-1329121</v>
      </c>
      <c r="N57" s="69">
        <f t="shared" si="5"/>
        <v>-43827.645878136202</v>
      </c>
      <c r="P57" s="58">
        <v>46</v>
      </c>
      <c r="Q57" s="68">
        <f t="shared" si="6"/>
        <v>33.41317365269461</v>
      </c>
      <c r="R57" s="54">
        <v>-1311822</v>
      </c>
      <c r="S57" s="69">
        <f t="shared" si="7"/>
        <v>-39260.622580645162</v>
      </c>
    </row>
    <row r="58" spans="1:19" x14ac:dyDescent="0.25">
      <c r="A58" s="58"/>
      <c r="B58" s="59"/>
      <c r="C58" s="54"/>
      <c r="D58" s="55"/>
      <c r="F58" s="58"/>
      <c r="G58" s="59"/>
      <c r="H58" s="54"/>
      <c r="I58" s="55"/>
      <c r="K58" s="58">
        <v>80</v>
      </c>
      <c r="L58" s="68">
        <f t="shared" si="4"/>
        <v>30.326086956521738</v>
      </c>
      <c r="M58" s="54">
        <v>-1382584</v>
      </c>
      <c r="N58" s="69">
        <f t="shared" si="5"/>
        <v>-45590.583512544807</v>
      </c>
      <c r="P58" s="58">
        <v>53</v>
      </c>
      <c r="Q58" s="68">
        <f t="shared" si="6"/>
        <v>33.41317365269461</v>
      </c>
      <c r="R58" s="54">
        <v>-1316172</v>
      </c>
      <c r="S58" s="69">
        <f t="shared" si="7"/>
        <v>-39390.810752688172</v>
      </c>
    </row>
    <row r="59" spans="1:19" x14ac:dyDescent="0.25">
      <c r="A59" s="58"/>
      <c r="B59" s="59"/>
      <c r="C59" s="54"/>
      <c r="D59" s="55"/>
      <c r="F59" s="58"/>
      <c r="G59" s="59"/>
      <c r="H59" s="54"/>
      <c r="I59" s="55"/>
      <c r="K59" s="58">
        <v>38</v>
      </c>
      <c r="L59" s="68">
        <f t="shared" si="4"/>
        <v>30.326086956521738</v>
      </c>
      <c r="M59" s="54">
        <v>-1454904</v>
      </c>
      <c r="N59" s="69">
        <f t="shared" si="5"/>
        <v>-47975.329032258065</v>
      </c>
      <c r="P59" s="58">
        <v>87</v>
      </c>
      <c r="Q59" s="68">
        <f t="shared" si="6"/>
        <v>33.41317365269461</v>
      </c>
      <c r="R59" s="54">
        <v>-1394051</v>
      </c>
      <c r="S59" s="69">
        <f t="shared" si="7"/>
        <v>-41721.598028673834</v>
      </c>
    </row>
    <row r="60" spans="1:19" x14ac:dyDescent="0.25">
      <c r="A60" s="58"/>
      <c r="B60" s="59"/>
      <c r="C60" s="54"/>
      <c r="D60" s="55"/>
      <c r="F60" s="58"/>
      <c r="G60" s="59"/>
      <c r="H60" s="54"/>
      <c r="I60" s="55"/>
      <c r="K60" s="58">
        <v>96</v>
      </c>
      <c r="L60" s="68">
        <f t="shared" si="4"/>
        <v>30.326086956521738</v>
      </c>
      <c r="M60" s="54">
        <v>-1495940</v>
      </c>
      <c r="N60" s="69">
        <f t="shared" si="5"/>
        <v>-49328.487455197137</v>
      </c>
      <c r="P60" s="58">
        <v>36</v>
      </c>
      <c r="Q60" s="68">
        <f t="shared" si="6"/>
        <v>33.41317365269461</v>
      </c>
      <c r="R60" s="54">
        <v>-1395762</v>
      </c>
      <c r="S60" s="69">
        <f t="shared" si="7"/>
        <v>-41772.805376344084</v>
      </c>
    </row>
    <row r="61" spans="1:19" x14ac:dyDescent="0.25">
      <c r="A61" s="58"/>
      <c r="B61" s="59"/>
      <c r="C61" s="54"/>
      <c r="D61" s="55"/>
      <c r="F61" s="58"/>
      <c r="G61" s="59"/>
      <c r="H61" s="54"/>
      <c r="I61" s="55"/>
      <c r="K61" s="58">
        <v>76</v>
      </c>
      <c r="L61" s="68">
        <f t="shared" si="4"/>
        <v>30.326086956521738</v>
      </c>
      <c r="M61" s="54">
        <v>-1505954</v>
      </c>
      <c r="N61" s="69">
        <f t="shared" si="5"/>
        <v>-49658.698207885303</v>
      </c>
      <c r="P61" s="58">
        <v>42</v>
      </c>
      <c r="Q61" s="68">
        <f t="shared" si="6"/>
        <v>33.41317365269461</v>
      </c>
      <c r="R61" s="54">
        <v>-1449513</v>
      </c>
      <c r="S61" s="69">
        <f t="shared" si="7"/>
        <v>-43381.48225806452</v>
      </c>
    </row>
    <row r="62" spans="1:19" x14ac:dyDescent="0.25">
      <c r="A62" s="58"/>
      <c r="B62" s="59"/>
      <c r="C62" s="54"/>
      <c r="D62" s="55"/>
      <c r="F62" s="58"/>
      <c r="G62" s="59"/>
      <c r="H62" s="54"/>
      <c r="I62" s="55"/>
      <c r="K62" s="58">
        <v>52</v>
      </c>
      <c r="L62" s="68">
        <f t="shared" si="4"/>
        <v>30.326086956521738</v>
      </c>
      <c r="M62" s="54">
        <v>-1572435</v>
      </c>
      <c r="N62" s="69">
        <f t="shared" si="5"/>
        <v>-51850.903225806454</v>
      </c>
      <c r="P62" s="58">
        <v>28</v>
      </c>
      <c r="Q62" s="68">
        <f t="shared" si="6"/>
        <v>33.41317365269461</v>
      </c>
      <c r="R62" s="54">
        <v>-1475625</v>
      </c>
      <c r="S62" s="69">
        <f t="shared" si="7"/>
        <v>-44162.970430107525</v>
      </c>
    </row>
    <row r="63" spans="1:19" x14ac:dyDescent="0.25">
      <c r="A63" s="58"/>
      <c r="B63" s="59"/>
      <c r="C63" s="54"/>
      <c r="D63" s="55"/>
      <c r="F63" s="58"/>
      <c r="G63" s="59"/>
      <c r="H63" s="54"/>
      <c r="I63" s="55"/>
      <c r="K63" s="58">
        <v>100</v>
      </c>
      <c r="L63" s="68">
        <f t="shared" si="4"/>
        <v>30.326086956521738</v>
      </c>
      <c r="M63" s="54">
        <v>-1597710</v>
      </c>
      <c r="N63" s="69">
        <f t="shared" si="5"/>
        <v>-52684.344086021505</v>
      </c>
      <c r="P63" s="99">
        <v>83</v>
      </c>
      <c r="Q63" s="100">
        <f t="shared" si="6"/>
        <v>33.41317365269461</v>
      </c>
      <c r="R63" s="101">
        <v>-1533913</v>
      </c>
      <c r="S63" s="102">
        <f t="shared" si="7"/>
        <v>-45907.432078853046</v>
      </c>
    </row>
    <row r="64" spans="1:19" x14ac:dyDescent="0.25">
      <c r="A64" s="58"/>
      <c r="B64" s="59"/>
      <c r="C64" s="54"/>
      <c r="D64" s="55"/>
      <c r="F64" s="58"/>
      <c r="G64" s="59"/>
      <c r="H64" s="54"/>
      <c r="I64" s="55"/>
      <c r="K64" s="58">
        <v>51</v>
      </c>
      <c r="L64" s="68">
        <f t="shared" si="4"/>
        <v>30.326086956521738</v>
      </c>
      <c r="M64" s="54">
        <v>-1602000</v>
      </c>
      <c r="N64" s="69">
        <f t="shared" si="5"/>
        <v>-52825.806451612902</v>
      </c>
      <c r="P64" s="58">
        <v>77</v>
      </c>
      <c r="Q64" s="68">
        <f t="shared" si="6"/>
        <v>33.41317365269461</v>
      </c>
      <c r="R64" s="54">
        <v>-1545855</v>
      </c>
      <c r="S64" s="69">
        <f t="shared" si="7"/>
        <v>-46264.836021505376</v>
      </c>
    </row>
    <row r="65" spans="1:19" x14ac:dyDescent="0.25">
      <c r="A65" s="58"/>
      <c r="B65" s="59"/>
      <c r="C65" s="54"/>
      <c r="D65" s="55"/>
      <c r="F65" s="58"/>
      <c r="G65" s="59"/>
      <c r="H65" s="54"/>
      <c r="I65" s="55"/>
      <c r="K65" s="58"/>
      <c r="L65" s="59"/>
      <c r="M65" s="54"/>
      <c r="N65" s="55"/>
      <c r="P65" s="58"/>
      <c r="Q65" s="59"/>
      <c r="R65" s="54"/>
      <c r="S65" s="55"/>
    </row>
    <row r="66" spans="1:19" x14ac:dyDescent="0.25">
      <c r="A66" s="58"/>
      <c r="B66" s="59"/>
      <c r="C66" s="54"/>
      <c r="D66" s="55"/>
      <c r="F66" s="58"/>
      <c r="G66" s="59"/>
      <c r="H66" s="54"/>
      <c r="I66" s="55"/>
      <c r="K66" s="58"/>
      <c r="L66" s="59"/>
      <c r="M66" s="54"/>
      <c r="N66" s="55"/>
      <c r="P66" s="58"/>
      <c r="Q66" s="59"/>
      <c r="R66" s="54"/>
      <c r="S66" s="55"/>
    </row>
    <row r="67" spans="1:19" x14ac:dyDescent="0.25">
      <c r="A67" s="58"/>
      <c r="B67" s="59"/>
      <c r="C67" s="54"/>
      <c r="D67" s="55"/>
      <c r="F67" s="58"/>
      <c r="G67" s="59"/>
      <c r="H67" s="54"/>
      <c r="I67" s="55"/>
      <c r="K67" s="58"/>
      <c r="L67" s="59"/>
      <c r="M67" s="54"/>
      <c r="N67" s="55"/>
      <c r="P67" s="58"/>
      <c r="Q67" s="59"/>
      <c r="R67" s="54"/>
      <c r="S67" s="55"/>
    </row>
    <row r="68" spans="1:19" x14ac:dyDescent="0.25">
      <c r="A68" s="58"/>
      <c r="B68" s="59"/>
      <c r="C68" s="54"/>
      <c r="D68" s="55"/>
      <c r="F68" s="58"/>
      <c r="G68" s="59"/>
      <c r="H68" s="54"/>
      <c r="I68" s="55"/>
      <c r="K68" s="58"/>
      <c r="L68" s="59"/>
      <c r="M68" s="54"/>
      <c r="N68" s="55"/>
      <c r="P68" s="58"/>
      <c r="Q68" s="59"/>
      <c r="R68" s="54"/>
      <c r="S68" s="55"/>
    </row>
    <row r="69" spans="1:19" x14ac:dyDescent="0.25">
      <c r="A69" s="58"/>
      <c r="B69" s="59"/>
      <c r="C69" s="54"/>
      <c r="D69" s="55"/>
      <c r="F69" s="58"/>
      <c r="G69" s="59"/>
      <c r="H69" s="54"/>
      <c r="I69" s="55"/>
      <c r="K69" s="58"/>
      <c r="L69" s="59"/>
      <c r="M69" s="54"/>
      <c r="N69" s="55"/>
      <c r="P69" s="58"/>
      <c r="Q69" s="59"/>
      <c r="R69" s="54"/>
      <c r="S69" s="55"/>
    </row>
    <row r="70" spans="1:19" x14ac:dyDescent="0.25">
      <c r="A70" s="58"/>
      <c r="B70" s="59"/>
      <c r="C70" s="54"/>
      <c r="D70" s="55"/>
      <c r="F70" s="58"/>
      <c r="G70" s="59"/>
      <c r="H70" s="54"/>
      <c r="I70" s="55"/>
      <c r="K70" s="58"/>
      <c r="L70" s="59"/>
      <c r="M70" s="54"/>
      <c r="N70" s="55"/>
      <c r="P70" s="58"/>
      <c r="Q70" s="59"/>
      <c r="R70" s="54"/>
      <c r="S70" s="55"/>
    </row>
    <row r="71" spans="1:19" x14ac:dyDescent="0.25">
      <c r="A71" s="58"/>
      <c r="B71" s="59"/>
      <c r="C71" s="54"/>
      <c r="D71" s="55"/>
      <c r="F71" s="58"/>
      <c r="G71" s="59"/>
      <c r="H71" s="54"/>
      <c r="I71" s="55"/>
      <c r="K71" s="58"/>
      <c r="L71" s="59"/>
      <c r="M71" s="54"/>
      <c r="N71" s="55"/>
      <c r="P71" s="58"/>
      <c r="Q71" s="59"/>
      <c r="R71" s="54"/>
      <c r="S71" s="55"/>
    </row>
    <row r="72" spans="1:19" x14ac:dyDescent="0.25">
      <c r="A72" s="58"/>
      <c r="B72" s="59"/>
      <c r="C72" s="54"/>
      <c r="D72" s="55"/>
      <c r="F72" s="58"/>
      <c r="G72" s="59"/>
      <c r="H72" s="54"/>
      <c r="I72" s="55"/>
      <c r="K72" s="58"/>
      <c r="L72" s="59"/>
      <c r="M72" s="54"/>
      <c r="N72" s="55"/>
      <c r="P72" s="58"/>
      <c r="Q72" s="59"/>
      <c r="R72" s="54"/>
      <c r="S72" s="55"/>
    </row>
    <row r="73" spans="1:19" x14ac:dyDescent="0.25">
      <c r="A73" s="58"/>
      <c r="B73" s="59"/>
      <c r="C73" s="54"/>
      <c r="D73" s="55"/>
      <c r="F73" s="58"/>
      <c r="G73" s="59"/>
      <c r="H73" s="54"/>
      <c r="I73" s="55"/>
      <c r="K73" s="58"/>
      <c r="L73" s="59"/>
      <c r="M73" s="54"/>
      <c r="N73" s="55"/>
      <c r="P73" s="58"/>
      <c r="Q73" s="59"/>
      <c r="R73" s="54"/>
      <c r="S73" s="55"/>
    </row>
    <row r="74" spans="1:19" x14ac:dyDescent="0.25">
      <c r="A74" s="58"/>
      <c r="B74" s="59"/>
      <c r="C74" s="54"/>
      <c r="D74" s="55"/>
      <c r="F74" s="58"/>
      <c r="G74" s="59"/>
      <c r="H74" s="54"/>
      <c r="I74" s="55"/>
      <c r="K74" s="58"/>
      <c r="L74" s="59"/>
      <c r="M74" s="54"/>
      <c r="N74" s="55"/>
      <c r="P74" s="58"/>
      <c r="Q74" s="59"/>
      <c r="R74" s="54"/>
      <c r="S74" s="55"/>
    </row>
    <row r="75" spans="1:19" x14ac:dyDescent="0.25">
      <c r="A75" s="58"/>
      <c r="B75" s="59"/>
      <c r="C75" s="54"/>
      <c r="D75" s="55"/>
      <c r="F75" s="58"/>
      <c r="G75" s="59"/>
      <c r="H75" s="54"/>
      <c r="I75" s="55"/>
      <c r="K75" s="58"/>
      <c r="L75" s="59"/>
      <c r="M75" s="54"/>
      <c r="N75" s="55"/>
      <c r="P75" s="58"/>
      <c r="Q75" s="59"/>
      <c r="R75" s="54"/>
      <c r="S75" s="55"/>
    </row>
    <row r="76" spans="1:19" x14ac:dyDescent="0.25">
      <c r="A76" s="58"/>
      <c r="B76" s="59"/>
      <c r="C76" s="54"/>
      <c r="D76" s="55"/>
      <c r="F76" s="58"/>
      <c r="G76" s="59"/>
      <c r="H76" s="54"/>
      <c r="I76" s="55"/>
      <c r="K76" s="58"/>
      <c r="L76" s="59"/>
      <c r="M76" s="54"/>
      <c r="N76" s="55"/>
      <c r="P76" s="58"/>
      <c r="Q76" s="59"/>
      <c r="R76" s="54"/>
      <c r="S76" s="55"/>
    </row>
    <row r="77" spans="1:19" x14ac:dyDescent="0.25">
      <c r="A77" s="58"/>
      <c r="B77" s="59"/>
      <c r="C77" s="54"/>
      <c r="D77" s="55"/>
      <c r="F77" s="58"/>
      <c r="G77" s="59"/>
      <c r="H77" s="54"/>
      <c r="I77" s="55"/>
      <c r="K77" s="58"/>
      <c r="L77" s="59"/>
      <c r="M77" s="54"/>
      <c r="N77" s="55"/>
      <c r="P77" s="58"/>
      <c r="Q77" s="59"/>
      <c r="R77" s="54"/>
      <c r="S77" s="55"/>
    </row>
    <row r="78" spans="1:19" x14ac:dyDescent="0.25">
      <c r="A78" s="58"/>
      <c r="B78" s="59"/>
      <c r="C78" s="54"/>
      <c r="D78" s="55"/>
      <c r="F78" s="58"/>
      <c r="G78" s="59"/>
      <c r="H78" s="54"/>
      <c r="I78" s="55"/>
      <c r="K78" s="58"/>
      <c r="L78" s="59"/>
      <c r="M78" s="54"/>
      <c r="N78" s="55"/>
      <c r="P78" s="58"/>
      <c r="Q78" s="59"/>
      <c r="R78" s="54"/>
      <c r="S78" s="55"/>
    </row>
    <row r="79" spans="1:19" x14ac:dyDescent="0.25">
      <c r="A79" s="58"/>
      <c r="B79" s="59"/>
      <c r="C79" s="54"/>
      <c r="D79" s="55"/>
      <c r="F79" s="58"/>
      <c r="G79" s="59"/>
      <c r="H79" s="54"/>
      <c r="I79" s="55"/>
      <c r="K79" s="58"/>
      <c r="L79" s="59"/>
      <c r="M79" s="54"/>
      <c r="N79" s="55"/>
      <c r="P79" s="58"/>
      <c r="Q79" s="59"/>
      <c r="R79" s="54"/>
      <c r="S79" s="55"/>
    </row>
    <row r="80" spans="1:19" x14ac:dyDescent="0.25">
      <c r="A80" s="58"/>
      <c r="B80" s="59"/>
      <c r="C80" s="54"/>
      <c r="D80" s="55"/>
      <c r="F80" s="58"/>
      <c r="G80" s="59"/>
      <c r="H80" s="54"/>
      <c r="I80" s="55"/>
      <c r="K80" s="58"/>
      <c r="L80" s="59"/>
      <c r="M80" s="54"/>
      <c r="N80" s="55"/>
      <c r="P80" s="58"/>
      <c r="Q80" s="59"/>
      <c r="R80" s="54"/>
      <c r="S80" s="55"/>
    </row>
    <row r="81" spans="1:19" x14ac:dyDescent="0.25">
      <c r="A81" s="58"/>
      <c r="B81" s="59"/>
      <c r="C81" s="54"/>
      <c r="D81" s="55"/>
      <c r="F81" s="58"/>
      <c r="G81" s="59"/>
      <c r="H81" s="54"/>
      <c r="I81" s="55"/>
      <c r="K81" s="58"/>
      <c r="L81" s="59"/>
      <c r="M81" s="54"/>
      <c r="N81" s="55"/>
      <c r="P81" s="58"/>
      <c r="Q81" s="59"/>
      <c r="R81" s="54"/>
      <c r="S81" s="55"/>
    </row>
    <row r="82" spans="1:19" x14ac:dyDescent="0.25">
      <c r="A82" s="58"/>
      <c r="B82" s="59"/>
      <c r="C82" s="54"/>
      <c r="D82" s="55"/>
      <c r="F82" s="58"/>
      <c r="G82" s="59"/>
      <c r="H82" s="54"/>
      <c r="I82" s="55"/>
      <c r="K82" s="58"/>
      <c r="L82" s="59"/>
      <c r="M82" s="54"/>
      <c r="N82" s="55"/>
      <c r="P82" s="58"/>
      <c r="Q82" s="59"/>
      <c r="R82" s="54"/>
      <c r="S82" s="55"/>
    </row>
    <row r="83" spans="1:19" x14ac:dyDescent="0.25">
      <c r="A83" s="58"/>
      <c r="B83" s="59"/>
      <c r="C83" s="54"/>
      <c r="D83" s="55"/>
      <c r="F83" s="58"/>
      <c r="G83" s="59"/>
      <c r="H83" s="54"/>
      <c r="I83" s="55"/>
      <c r="K83" s="58"/>
      <c r="L83" s="59"/>
      <c r="M83" s="54"/>
      <c r="N83" s="55"/>
      <c r="P83" s="58"/>
      <c r="Q83" s="59"/>
      <c r="R83" s="54"/>
      <c r="S83" s="55"/>
    </row>
    <row r="84" spans="1:19" x14ac:dyDescent="0.25">
      <c r="A84" s="58"/>
      <c r="B84" s="59"/>
      <c r="C84" s="54"/>
      <c r="D84" s="55"/>
      <c r="F84" s="58"/>
      <c r="G84" s="59"/>
      <c r="H84" s="54"/>
      <c r="I84" s="55"/>
      <c r="K84" s="58"/>
      <c r="L84" s="59"/>
      <c r="M84" s="54"/>
      <c r="N84" s="55"/>
      <c r="P84" s="58"/>
      <c r="Q84" s="59"/>
      <c r="R84" s="54"/>
      <c r="S84" s="55"/>
    </row>
    <row r="85" spans="1:19" x14ac:dyDescent="0.25">
      <c r="A85" s="58"/>
      <c r="B85" s="59"/>
      <c r="C85" s="54"/>
      <c r="D85" s="55"/>
      <c r="F85" s="58"/>
      <c r="G85" s="59"/>
      <c r="H85" s="54"/>
      <c r="I85" s="55"/>
      <c r="K85" s="58"/>
      <c r="L85" s="59"/>
      <c r="M85" s="54"/>
      <c r="N85" s="55"/>
      <c r="P85" s="58"/>
      <c r="Q85" s="59"/>
      <c r="R85" s="54"/>
      <c r="S85" s="55"/>
    </row>
    <row r="86" spans="1:19" x14ac:dyDescent="0.25">
      <c r="A86" s="58"/>
      <c r="B86" s="59"/>
      <c r="C86" s="54"/>
      <c r="D86" s="55"/>
      <c r="F86" s="58"/>
      <c r="G86" s="59"/>
      <c r="H86" s="54"/>
      <c r="I86" s="55"/>
      <c r="K86" s="58"/>
      <c r="L86" s="59"/>
      <c r="M86" s="54"/>
      <c r="N86" s="55"/>
      <c r="P86" s="58"/>
      <c r="Q86" s="59"/>
      <c r="R86" s="54"/>
      <c r="S86" s="55"/>
    </row>
    <row r="87" spans="1:19" x14ac:dyDescent="0.25">
      <c r="A87" s="58"/>
      <c r="B87" s="59"/>
      <c r="C87" s="54"/>
      <c r="D87" s="55"/>
      <c r="F87" s="58"/>
      <c r="G87" s="59"/>
      <c r="H87" s="54"/>
      <c r="I87" s="55"/>
      <c r="K87" s="58"/>
      <c r="L87" s="59"/>
      <c r="M87" s="54"/>
      <c r="N87" s="55"/>
      <c r="P87" s="58"/>
      <c r="Q87" s="59"/>
      <c r="R87" s="54"/>
      <c r="S87" s="55"/>
    </row>
    <row r="88" spans="1:19" x14ac:dyDescent="0.25">
      <c r="A88" s="58"/>
      <c r="B88" s="59"/>
      <c r="C88" s="54"/>
      <c r="D88" s="55"/>
      <c r="F88" s="58"/>
      <c r="G88" s="59"/>
      <c r="H88" s="54"/>
      <c r="I88" s="55"/>
      <c r="K88" s="58"/>
      <c r="L88" s="59"/>
      <c r="M88" s="54"/>
      <c r="N88" s="55"/>
      <c r="P88" s="58"/>
      <c r="Q88" s="59"/>
      <c r="R88" s="54"/>
      <c r="S88" s="55"/>
    </row>
    <row r="89" spans="1:19" x14ac:dyDescent="0.25">
      <c r="A89" s="58"/>
      <c r="B89" s="59"/>
      <c r="C89" s="54"/>
      <c r="D89" s="55"/>
      <c r="F89" s="58"/>
      <c r="G89" s="59"/>
      <c r="H89" s="54"/>
      <c r="I89" s="55"/>
      <c r="K89" s="58"/>
      <c r="L89" s="59"/>
      <c r="M89" s="54"/>
      <c r="N89" s="55"/>
      <c r="P89" s="58"/>
      <c r="Q89" s="59"/>
      <c r="R89" s="54"/>
      <c r="S89" s="55"/>
    </row>
    <row r="90" spans="1:19" x14ac:dyDescent="0.25">
      <c r="A90" s="58"/>
      <c r="B90" s="59"/>
      <c r="C90" s="54"/>
      <c r="D90" s="55"/>
      <c r="F90" s="58"/>
      <c r="G90" s="59"/>
      <c r="H90" s="54"/>
      <c r="I90" s="55"/>
      <c r="K90" s="58"/>
      <c r="L90" s="59"/>
      <c r="M90" s="54"/>
      <c r="N90" s="55"/>
      <c r="P90" s="58"/>
      <c r="Q90" s="59"/>
      <c r="R90" s="54"/>
      <c r="S90" s="55"/>
    </row>
    <row r="91" spans="1:19" x14ac:dyDescent="0.25">
      <c r="A91" s="58"/>
      <c r="B91" s="59"/>
      <c r="C91" s="54"/>
      <c r="D91" s="55"/>
      <c r="F91" s="58"/>
      <c r="G91" s="59"/>
      <c r="H91" s="54"/>
      <c r="I91" s="55"/>
      <c r="K91" s="58"/>
      <c r="L91" s="59"/>
      <c r="M91" s="54"/>
      <c r="N91" s="55"/>
      <c r="P91" s="58"/>
      <c r="Q91" s="59"/>
      <c r="R91" s="54"/>
      <c r="S91" s="55"/>
    </row>
    <row r="92" spans="1:19" x14ac:dyDescent="0.25">
      <c r="A92" s="58"/>
      <c r="B92" s="59"/>
      <c r="C92" s="54"/>
      <c r="D92" s="55"/>
      <c r="F92" s="58"/>
      <c r="G92" s="59"/>
      <c r="H92" s="54"/>
      <c r="I92" s="55"/>
      <c r="K92" s="58"/>
      <c r="L92" s="59"/>
      <c r="M92" s="54"/>
      <c r="N92" s="55"/>
      <c r="P92" s="58"/>
      <c r="Q92" s="59"/>
      <c r="R92" s="54"/>
      <c r="S92" s="55"/>
    </row>
    <row r="93" spans="1:19" x14ac:dyDescent="0.25">
      <c r="A93" s="58"/>
      <c r="B93" s="59"/>
      <c r="C93" s="54"/>
      <c r="D93" s="55"/>
      <c r="F93" s="58"/>
      <c r="G93" s="59"/>
      <c r="H93" s="54"/>
      <c r="I93" s="55"/>
      <c r="K93" s="58"/>
      <c r="L93" s="59"/>
      <c r="M93" s="54"/>
      <c r="N93" s="55"/>
      <c r="P93" s="58"/>
      <c r="Q93" s="59"/>
      <c r="R93" s="54"/>
      <c r="S93" s="55"/>
    </row>
    <row r="94" spans="1:19" x14ac:dyDescent="0.25">
      <c r="A94" s="58"/>
      <c r="B94" s="59"/>
      <c r="C94" s="54"/>
      <c r="D94" s="55"/>
      <c r="F94" s="58"/>
      <c r="G94" s="59"/>
      <c r="H94" s="54"/>
      <c r="I94" s="55"/>
      <c r="K94" s="58"/>
      <c r="L94" s="59"/>
      <c r="M94" s="54"/>
      <c r="N94" s="55"/>
      <c r="P94" s="58"/>
      <c r="Q94" s="59"/>
      <c r="R94" s="54"/>
      <c r="S94" s="55"/>
    </row>
    <row r="95" spans="1:19" x14ac:dyDescent="0.25">
      <c r="A95" s="58"/>
      <c r="B95" s="59"/>
      <c r="C95" s="54"/>
      <c r="D95" s="55"/>
      <c r="F95" s="58"/>
      <c r="G95" s="59"/>
      <c r="H95" s="54"/>
      <c r="I95" s="55"/>
      <c r="K95" s="58"/>
      <c r="L95" s="59"/>
      <c r="M95" s="54"/>
      <c r="N95" s="55"/>
      <c r="P95" s="58"/>
      <c r="Q95" s="59"/>
      <c r="R95" s="54"/>
      <c r="S95" s="55"/>
    </row>
    <row r="96" spans="1:19" x14ac:dyDescent="0.25">
      <c r="A96" s="58"/>
      <c r="B96" s="59"/>
      <c r="C96" s="54"/>
      <c r="D96" s="55"/>
      <c r="F96" s="58"/>
      <c r="G96" s="59"/>
      <c r="H96" s="54"/>
      <c r="I96" s="55"/>
      <c r="K96" s="58"/>
      <c r="L96" s="59"/>
      <c r="M96" s="54"/>
      <c r="N96" s="55"/>
      <c r="P96" s="58"/>
      <c r="Q96" s="59"/>
      <c r="R96" s="54"/>
      <c r="S96" s="55"/>
    </row>
    <row r="97" spans="1:19" x14ac:dyDescent="0.25">
      <c r="A97" s="58"/>
      <c r="B97" s="59"/>
      <c r="C97" s="54"/>
      <c r="D97" s="55"/>
      <c r="F97" s="58"/>
      <c r="G97" s="59"/>
      <c r="H97" s="54"/>
      <c r="I97" s="55"/>
      <c r="K97" s="58"/>
      <c r="L97" s="59"/>
      <c r="M97" s="54"/>
      <c r="N97" s="55"/>
      <c r="P97" s="58"/>
      <c r="Q97" s="59"/>
      <c r="R97" s="54"/>
      <c r="S97" s="55"/>
    </row>
    <row r="98" spans="1:19" x14ac:dyDescent="0.25">
      <c r="A98" s="58"/>
      <c r="B98" s="59"/>
      <c r="C98" s="54"/>
      <c r="D98" s="55"/>
      <c r="F98" s="58"/>
      <c r="G98" s="59"/>
      <c r="H98" s="54"/>
      <c r="I98" s="55"/>
      <c r="K98" s="58"/>
      <c r="L98" s="59"/>
      <c r="M98" s="54"/>
      <c r="N98" s="55"/>
      <c r="P98" s="58"/>
      <c r="Q98" s="59"/>
      <c r="R98" s="54"/>
      <c r="S98" s="55"/>
    </row>
    <row r="99" spans="1:19" x14ac:dyDescent="0.25">
      <c r="A99" s="58"/>
      <c r="B99" s="59"/>
      <c r="C99" s="54"/>
      <c r="D99" s="55"/>
      <c r="F99" s="58"/>
      <c r="G99" s="59"/>
      <c r="H99" s="54"/>
      <c r="I99" s="55"/>
      <c r="K99" s="58"/>
      <c r="L99" s="59"/>
      <c r="M99" s="54"/>
      <c r="N99" s="55"/>
      <c r="P99" s="58"/>
      <c r="Q99" s="59"/>
      <c r="R99" s="54"/>
      <c r="S99" s="55"/>
    </row>
    <row r="100" spans="1:19" x14ac:dyDescent="0.25">
      <c r="A100" s="58"/>
      <c r="B100" s="59"/>
      <c r="C100" s="54"/>
      <c r="D100" s="55"/>
      <c r="F100" s="58"/>
      <c r="G100" s="59"/>
      <c r="H100" s="54"/>
      <c r="I100" s="55"/>
      <c r="K100" s="58"/>
      <c r="L100" s="59"/>
      <c r="M100" s="54"/>
      <c r="N100" s="55"/>
      <c r="P100" s="58"/>
      <c r="Q100" s="59"/>
      <c r="R100" s="54"/>
      <c r="S100" s="55"/>
    </row>
    <row r="101" spans="1:19" x14ac:dyDescent="0.25">
      <c r="A101" s="58"/>
      <c r="B101" s="59"/>
      <c r="C101" s="54"/>
      <c r="D101" s="55"/>
      <c r="F101" s="58"/>
      <c r="G101" s="59"/>
      <c r="H101" s="54"/>
      <c r="I101" s="55"/>
      <c r="K101" s="58"/>
      <c r="L101" s="59"/>
      <c r="M101" s="54"/>
      <c r="N101" s="55"/>
      <c r="P101" s="58"/>
      <c r="Q101" s="59"/>
      <c r="R101" s="54"/>
      <c r="S101" s="55"/>
    </row>
    <row r="102" spans="1:19" x14ac:dyDescent="0.25">
      <c r="A102" s="58"/>
      <c r="B102" s="59"/>
      <c r="C102" s="54"/>
      <c r="D102" s="55"/>
      <c r="F102" s="58"/>
      <c r="G102" s="59"/>
      <c r="H102" s="54"/>
      <c r="I102" s="55"/>
      <c r="K102" s="58"/>
      <c r="L102" s="59"/>
      <c r="M102" s="54"/>
      <c r="N102" s="55"/>
      <c r="P102" s="58"/>
      <c r="Q102" s="59"/>
      <c r="R102" s="54"/>
      <c r="S102" s="55"/>
    </row>
    <row r="103" spans="1:19" x14ac:dyDescent="0.25">
      <c r="A103" s="58"/>
      <c r="B103" s="59"/>
      <c r="C103" s="54"/>
      <c r="D103" s="55"/>
      <c r="F103" s="58"/>
      <c r="G103" s="59"/>
      <c r="H103" s="54"/>
      <c r="I103" s="55"/>
      <c r="K103" s="58"/>
      <c r="L103" s="59"/>
      <c r="M103" s="54"/>
      <c r="N103" s="55"/>
      <c r="P103" s="58"/>
      <c r="Q103" s="59"/>
      <c r="R103" s="54"/>
      <c r="S103" s="55"/>
    </row>
    <row r="104" spans="1:19" x14ac:dyDescent="0.25">
      <c r="A104" s="58"/>
      <c r="B104" s="59"/>
      <c r="C104" s="54"/>
      <c r="D104" s="55"/>
      <c r="F104" s="58"/>
      <c r="G104" s="59"/>
      <c r="H104" s="54"/>
      <c r="I104" s="55"/>
      <c r="K104" s="58"/>
      <c r="L104" s="59"/>
      <c r="M104" s="54"/>
      <c r="N104" s="55"/>
      <c r="P104" s="58"/>
      <c r="Q104" s="59"/>
      <c r="R104" s="54"/>
      <c r="S104" s="55"/>
    </row>
    <row r="105" spans="1:19" x14ac:dyDescent="0.25">
      <c r="A105" s="58"/>
      <c r="B105" s="59"/>
      <c r="C105" s="54"/>
      <c r="D105" s="55"/>
      <c r="F105" s="58"/>
      <c r="G105" s="59"/>
      <c r="H105" s="54"/>
      <c r="I105" s="55"/>
      <c r="K105" s="58"/>
      <c r="L105" s="59"/>
      <c r="M105" s="54"/>
      <c r="N105" s="55"/>
      <c r="P105" s="58"/>
      <c r="Q105" s="59"/>
      <c r="R105" s="54"/>
      <c r="S105" s="55"/>
    </row>
    <row r="106" spans="1:19" x14ac:dyDescent="0.25">
      <c r="A106" s="58"/>
      <c r="B106" s="59"/>
      <c r="C106" s="54"/>
      <c r="D106" s="55"/>
      <c r="F106" s="58"/>
      <c r="G106" s="59"/>
      <c r="H106" s="54"/>
      <c r="I106" s="55"/>
      <c r="K106" s="58"/>
      <c r="L106" s="59"/>
      <c r="M106" s="54"/>
      <c r="N106" s="55"/>
      <c r="P106" s="58"/>
      <c r="Q106" s="59"/>
      <c r="R106" s="54"/>
      <c r="S106" s="55"/>
    </row>
    <row r="107" spans="1:19" x14ac:dyDescent="0.25">
      <c r="A107" s="58"/>
      <c r="B107" s="59"/>
      <c r="C107" s="54"/>
      <c r="D107" s="55"/>
      <c r="F107" s="58"/>
      <c r="G107" s="59"/>
      <c r="H107" s="54"/>
      <c r="I107" s="55"/>
      <c r="K107" s="58"/>
      <c r="L107" s="59"/>
      <c r="M107" s="54"/>
      <c r="N107" s="55"/>
      <c r="P107" s="58"/>
      <c r="Q107" s="59"/>
      <c r="R107" s="54"/>
      <c r="S107" s="55"/>
    </row>
    <row r="108" spans="1:19" x14ac:dyDescent="0.25">
      <c r="A108" s="58"/>
      <c r="B108" s="59"/>
      <c r="C108" s="54"/>
      <c r="D108" s="55"/>
      <c r="F108" s="58"/>
      <c r="G108" s="59"/>
      <c r="H108" s="54"/>
      <c r="I108" s="55"/>
      <c r="K108" s="58"/>
      <c r="L108" s="59"/>
      <c r="M108" s="54"/>
      <c r="N108" s="55"/>
      <c r="P108" s="58"/>
      <c r="Q108" s="59"/>
      <c r="R108" s="54"/>
      <c r="S108" s="55"/>
    </row>
    <row r="109" spans="1:19" x14ac:dyDescent="0.25">
      <c r="A109" s="58"/>
      <c r="B109" s="59"/>
      <c r="C109" s="54"/>
      <c r="D109" s="55"/>
      <c r="F109" s="58"/>
      <c r="G109" s="59"/>
      <c r="H109" s="54"/>
      <c r="I109" s="55"/>
      <c r="K109" s="58"/>
      <c r="L109" s="59"/>
      <c r="M109" s="54"/>
      <c r="N109" s="55"/>
      <c r="P109" s="58"/>
      <c r="Q109" s="59"/>
      <c r="R109" s="54"/>
      <c r="S109" s="55"/>
    </row>
    <row r="110" spans="1:19" x14ac:dyDescent="0.25">
      <c r="A110" s="58"/>
      <c r="B110" s="59"/>
      <c r="C110" s="54"/>
      <c r="D110" s="55"/>
      <c r="F110" s="58"/>
      <c r="G110" s="59"/>
      <c r="H110" s="54"/>
      <c r="I110" s="55"/>
      <c r="K110" s="58"/>
      <c r="L110" s="59"/>
      <c r="M110" s="54"/>
      <c r="N110" s="55"/>
      <c r="P110" s="58"/>
      <c r="Q110" s="59"/>
      <c r="R110" s="54"/>
      <c r="S110" s="55"/>
    </row>
    <row r="111" spans="1:19" x14ac:dyDescent="0.25">
      <c r="A111" s="58"/>
      <c r="B111" s="59"/>
      <c r="C111" s="54"/>
      <c r="D111" s="55"/>
      <c r="F111" s="58"/>
      <c r="G111" s="59"/>
      <c r="H111" s="54"/>
      <c r="I111" s="55"/>
      <c r="K111" s="58"/>
      <c r="L111" s="59"/>
      <c r="M111" s="54"/>
      <c r="N111" s="55"/>
      <c r="P111" s="58"/>
      <c r="Q111" s="59"/>
      <c r="R111" s="54"/>
      <c r="S111" s="55"/>
    </row>
    <row r="112" spans="1:19" x14ac:dyDescent="0.25">
      <c r="A112" s="58"/>
      <c r="B112" s="59"/>
      <c r="C112" s="54"/>
      <c r="D112" s="55"/>
      <c r="F112" s="58"/>
      <c r="G112" s="59"/>
      <c r="H112" s="54"/>
      <c r="I112" s="55"/>
      <c r="K112" s="58"/>
      <c r="L112" s="59"/>
      <c r="M112" s="54"/>
      <c r="N112" s="55"/>
      <c r="P112" s="58"/>
      <c r="Q112" s="59"/>
      <c r="R112" s="54"/>
      <c r="S112" s="55"/>
    </row>
    <row r="113" spans="1:19" x14ac:dyDescent="0.25">
      <c r="A113" s="58"/>
      <c r="B113" s="59"/>
      <c r="C113" s="54"/>
      <c r="D113" s="55"/>
      <c r="F113" s="58"/>
      <c r="G113" s="59"/>
      <c r="H113" s="54"/>
      <c r="I113" s="55"/>
      <c r="K113" s="58"/>
      <c r="L113" s="59"/>
      <c r="M113" s="54"/>
      <c r="N113" s="55"/>
      <c r="P113" s="58"/>
      <c r="Q113" s="59"/>
      <c r="R113" s="54"/>
      <c r="S113" s="55"/>
    </row>
    <row r="114" spans="1:19" x14ac:dyDescent="0.25">
      <c r="A114" s="58"/>
      <c r="B114" s="59"/>
      <c r="C114" s="54"/>
      <c r="D114" s="55"/>
      <c r="F114" s="58"/>
      <c r="G114" s="59"/>
      <c r="H114" s="54"/>
      <c r="I114" s="55"/>
      <c r="K114" s="58"/>
      <c r="L114" s="59"/>
      <c r="M114" s="54"/>
      <c r="N114" s="55"/>
      <c r="P114" s="58"/>
      <c r="Q114" s="59"/>
      <c r="R114" s="54"/>
      <c r="S114" s="55"/>
    </row>
    <row r="115" spans="1:19" x14ac:dyDescent="0.25">
      <c r="A115" s="58"/>
      <c r="B115" s="59"/>
      <c r="C115" s="54"/>
      <c r="D115" s="55"/>
      <c r="F115" s="58"/>
      <c r="G115" s="59"/>
      <c r="H115" s="54"/>
      <c r="I115" s="55"/>
      <c r="K115" s="58"/>
      <c r="L115" s="59"/>
      <c r="M115" s="54"/>
      <c r="N115" s="55"/>
      <c r="P115" s="58"/>
      <c r="Q115" s="59"/>
      <c r="R115" s="54"/>
      <c r="S115" s="55"/>
    </row>
    <row r="116" spans="1:19" x14ac:dyDescent="0.25">
      <c r="A116" s="58"/>
      <c r="B116" s="59"/>
      <c r="C116" s="54"/>
      <c r="D116" s="55"/>
      <c r="F116" s="58"/>
      <c r="G116" s="59"/>
      <c r="H116" s="54"/>
      <c r="I116" s="55"/>
      <c r="K116" s="58"/>
      <c r="L116" s="59"/>
      <c r="M116" s="54"/>
      <c r="N116" s="55"/>
      <c r="P116" s="58"/>
      <c r="Q116" s="59"/>
      <c r="R116" s="54"/>
      <c r="S116" s="55"/>
    </row>
    <row r="117" spans="1:19" x14ac:dyDescent="0.25">
      <c r="A117" s="58"/>
      <c r="B117" s="59"/>
      <c r="C117" s="54"/>
      <c r="D117" s="55"/>
      <c r="F117" s="58"/>
      <c r="G117" s="59"/>
      <c r="H117" s="54"/>
      <c r="I117" s="55"/>
      <c r="K117" s="58"/>
      <c r="L117" s="59"/>
      <c r="M117" s="54"/>
      <c r="N117" s="55"/>
      <c r="P117" s="58"/>
      <c r="Q117" s="59"/>
      <c r="R117" s="54"/>
      <c r="S117" s="55"/>
    </row>
    <row r="118" spans="1:19" ht="15.75" thickBot="1" x14ac:dyDescent="0.3">
      <c r="A118" s="60"/>
      <c r="B118" s="61"/>
      <c r="C118" s="56"/>
      <c r="D118" s="57"/>
      <c r="F118" s="60"/>
      <c r="G118" s="61"/>
      <c r="H118" s="56"/>
      <c r="I118" s="57"/>
      <c r="K118" s="58"/>
      <c r="L118" s="59"/>
      <c r="M118" s="54"/>
      <c r="N118" s="55"/>
      <c r="P118" s="58"/>
      <c r="Q118" s="59"/>
      <c r="R118" s="54"/>
      <c r="S118" s="55"/>
    </row>
    <row r="119" spans="1:19" x14ac:dyDescent="0.25">
      <c r="K119" s="58"/>
      <c r="L119" s="59"/>
      <c r="M119" s="54"/>
      <c r="N119" s="55"/>
      <c r="P119" s="58"/>
      <c r="Q119" s="59"/>
      <c r="R119" s="54"/>
      <c r="S119" s="55"/>
    </row>
    <row r="120" spans="1:19" x14ac:dyDescent="0.25">
      <c r="K120" s="58"/>
      <c r="L120" s="59"/>
      <c r="M120" s="54"/>
      <c r="N120" s="55"/>
      <c r="P120" s="58"/>
      <c r="Q120" s="59"/>
      <c r="R120" s="54"/>
      <c r="S120" s="55"/>
    </row>
    <row r="121" spans="1:19" x14ac:dyDescent="0.25">
      <c r="K121" s="58"/>
      <c r="L121" s="59"/>
      <c r="M121" s="54"/>
      <c r="N121" s="55"/>
      <c r="P121" s="58"/>
      <c r="Q121" s="59"/>
      <c r="R121" s="54"/>
      <c r="S121" s="55"/>
    </row>
    <row r="122" spans="1:19" x14ac:dyDescent="0.25">
      <c r="K122" s="58"/>
      <c r="L122" s="59"/>
      <c r="M122" s="54"/>
      <c r="N122" s="55"/>
      <c r="P122" s="58"/>
      <c r="Q122" s="59"/>
      <c r="R122" s="54"/>
      <c r="S122" s="55"/>
    </row>
    <row r="123" spans="1:19" x14ac:dyDescent="0.25">
      <c r="K123" s="58"/>
      <c r="L123" s="59"/>
      <c r="M123" s="54"/>
      <c r="N123" s="55"/>
      <c r="P123" s="58"/>
      <c r="Q123" s="59"/>
      <c r="R123" s="54"/>
      <c r="S123" s="55"/>
    </row>
    <row r="124" spans="1:19" x14ac:dyDescent="0.25">
      <c r="K124" s="58"/>
      <c r="L124" s="59"/>
      <c r="M124" s="54"/>
      <c r="N124" s="55"/>
      <c r="P124" s="58"/>
      <c r="Q124" s="59"/>
      <c r="R124" s="54"/>
      <c r="S124" s="55"/>
    </row>
    <row r="125" spans="1:19" x14ac:dyDescent="0.25">
      <c r="K125" s="58"/>
      <c r="L125" s="59"/>
      <c r="M125" s="54"/>
      <c r="N125" s="55"/>
      <c r="P125" s="58"/>
      <c r="Q125" s="59"/>
      <c r="R125" s="54"/>
      <c r="S125" s="55"/>
    </row>
    <row r="126" spans="1:19" x14ac:dyDescent="0.25">
      <c r="K126" s="58"/>
      <c r="L126" s="59"/>
      <c r="M126" s="54"/>
      <c r="N126" s="55"/>
      <c r="P126" s="58"/>
      <c r="Q126" s="59"/>
      <c r="R126" s="54"/>
      <c r="S126" s="55"/>
    </row>
    <row r="127" spans="1:19" x14ac:dyDescent="0.25">
      <c r="K127" s="58"/>
      <c r="L127" s="59"/>
      <c r="M127" s="54"/>
      <c r="N127" s="55"/>
      <c r="P127" s="58"/>
      <c r="Q127" s="59"/>
      <c r="R127" s="54"/>
      <c r="S127" s="55"/>
    </row>
    <row r="128" spans="1:19" x14ac:dyDescent="0.25">
      <c r="K128" s="58"/>
      <c r="L128" s="59"/>
      <c r="M128" s="54"/>
      <c r="N128" s="55"/>
      <c r="P128" s="58"/>
      <c r="Q128" s="59"/>
      <c r="R128" s="54"/>
      <c r="S128" s="55"/>
    </row>
    <row r="129" spans="11:19" x14ac:dyDescent="0.25">
      <c r="K129" s="58"/>
      <c r="L129" s="59"/>
      <c r="M129" s="54"/>
      <c r="N129" s="55"/>
      <c r="P129" s="58"/>
      <c r="Q129" s="59"/>
      <c r="R129" s="54"/>
      <c r="S129" s="55"/>
    </row>
    <row r="130" spans="11:19" x14ac:dyDescent="0.25">
      <c r="K130" s="58"/>
      <c r="L130" s="59"/>
      <c r="M130" s="54"/>
      <c r="N130" s="55"/>
      <c r="P130" s="58"/>
      <c r="Q130" s="59"/>
      <c r="R130" s="54"/>
      <c r="S130" s="55"/>
    </row>
    <row r="131" spans="11:19" x14ac:dyDescent="0.25">
      <c r="K131" s="58"/>
      <c r="L131" s="59"/>
      <c r="M131" s="54"/>
      <c r="N131" s="55"/>
      <c r="P131" s="58"/>
      <c r="Q131" s="59"/>
      <c r="R131" s="54"/>
      <c r="S131" s="55"/>
    </row>
    <row r="132" spans="11:19" x14ac:dyDescent="0.25">
      <c r="K132" s="58"/>
      <c r="L132" s="59"/>
      <c r="M132" s="54"/>
      <c r="N132" s="55"/>
      <c r="P132" s="58"/>
      <c r="Q132" s="59"/>
      <c r="R132" s="54"/>
      <c r="S132" s="55"/>
    </row>
    <row r="133" spans="11:19" x14ac:dyDescent="0.25">
      <c r="K133" s="58"/>
      <c r="L133" s="59"/>
      <c r="M133" s="54"/>
      <c r="N133" s="55"/>
      <c r="P133" s="58"/>
      <c r="Q133" s="59"/>
      <c r="R133" s="54"/>
      <c r="S133" s="55"/>
    </row>
    <row r="134" spans="11:19" x14ac:dyDescent="0.25">
      <c r="K134" s="58"/>
      <c r="L134" s="59"/>
      <c r="M134" s="54"/>
      <c r="N134" s="55"/>
      <c r="P134" s="58"/>
      <c r="Q134" s="59"/>
      <c r="R134" s="54"/>
      <c r="S134" s="55"/>
    </row>
    <row r="135" spans="11:19" x14ac:dyDescent="0.25">
      <c r="K135" s="58"/>
      <c r="L135" s="59"/>
      <c r="M135" s="54"/>
      <c r="N135" s="55"/>
      <c r="P135" s="58"/>
      <c r="Q135" s="59"/>
      <c r="R135" s="54"/>
      <c r="S135" s="55"/>
    </row>
    <row r="136" spans="11:19" x14ac:dyDescent="0.25">
      <c r="K136" s="58"/>
      <c r="L136" s="59"/>
      <c r="M136" s="54"/>
      <c r="N136" s="55"/>
      <c r="P136" s="58"/>
      <c r="Q136" s="59"/>
      <c r="R136" s="54"/>
      <c r="S136" s="55"/>
    </row>
    <row r="137" spans="11:19" x14ac:dyDescent="0.25">
      <c r="K137" s="58"/>
      <c r="L137" s="59"/>
      <c r="M137" s="54"/>
      <c r="N137" s="55"/>
      <c r="P137" s="58"/>
      <c r="Q137" s="59"/>
      <c r="R137" s="54"/>
      <c r="S137" s="55"/>
    </row>
    <row r="138" spans="11:19" x14ac:dyDescent="0.25">
      <c r="K138" s="58"/>
      <c r="L138" s="59"/>
      <c r="M138" s="54"/>
      <c r="N138" s="55"/>
      <c r="P138" s="58"/>
      <c r="Q138" s="59"/>
      <c r="R138" s="54"/>
      <c r="S138" s="55"/>
    </row>
    <row r="139" spans="11:19" x14ac:dyDescent="0.25">
      <c r="K139" s="58"/>
      <c r="L139" s="59"/>
      <c r="M139" s="54"/>
      <c r="N139" s="55"/>
      <c r="P139" s="58"/>
      <c r="Q139" s="59"/>
      <c r="R139" s="54"/>
      <c r="S139" s="55"/>
    </row>
    <row r="140" spans="11:19" x14ac:dyDescent="0.25">
      <c r="K140" s="58"/>
      <c r="L140" s="59"/>
      <c r="M140" s="54"/>
      <c r="N140" s="55"/>
      <c r="P140" s="58"/>
      <c r="Q140" s="59"/>
      <c r="R140" s="54"/>
      <c r="S140" s="55"/>
    </row>
    <row r="141" spans="11:19" x14ac:dyDescent="0.25">
      <c r="K141" s="58"/>
      <c r="L141" s="59"/>
      <c r="M141" s="54"/>
      <c r="N141" s="55"/>
      <c r="P141" s="58"/>
      <c r="Q141" s="59"/>
      <c r="R141" s="54"/>
      <c r="S141" s="55"/>
    </row>
    <row r="142" spans="11:19" x14ac:dyDescent="0.25">
      <c r="K142" s="58"/>
      <c r="L142" s="59"/>
      <c r="M142" s="54"/>
      <c r="N142" s="55"/>
      <c r="P142" s="58"/>
      <c r="Q142" s="59"/>
      <c r="R142" s="54"/>
      <c r="S142" s="55"/>
    </row>
    <row r="143" spans="11:19" x14ac:dyDescent="0.25">
      <c r="K143" s="58"/>
      <c r="L143" s="59"/>
      <c r="M143" s="54"/>
      <c r="N143" s="55"/>
      <c r="P143" s="58"/>
      <c r="Q143" s="59"/>
      <c r="R143" s="54"/>
      <c r="S143" s="55"/>
    </row>
    <row r="144" spans="11:19" x14ac:dyDescent="0.25">
      <c r="K144" s="58"/>
      <c r="L144" s="59"/>
      <c r="M144" s="54"/>
      <c r="N144" s="55"/>
      <c r="P144" s="58"/>
      <c r="Q144" s="59"/>
      <c r="R144" s="54"/>
      <c r="S144" s="55"/>
    </row>
    <row r="145" spans="11:19" x14ac:dyDescent="0.25">
      <c r="K145" s="58"/>
      <c r="L145" s="59"/>
      <c r="M145" s="54"/>
      <c r="N145" s="55"/>
      <c r="P145" s="58"/>
      <c r="Q145" s="59"/>
      <c r="R145" s="54"/>
      <c r="S145" s="55"/>
    </row>
    <row r="146" spans="11:19" x14ac:dyDescent="0.25">
      <c r="K146" s="58"/>
      <c r="L146" s="59"/>
      <c r="M146" s="54"/>
      <c r="N146" s="55"/>
      <c r="P146" s="58"/>
      <c r="Q146" s="59"/>
      <c r="R146" s="54"/>
      <c r="S146" s="55"/>
    </row>
    <row r="147" spans="11:19" x14ac:dyDescent="0.25">
      <c r="K147" s="58"/>
      <c r="L147" s="59"/>
      <c r="M147" s="54"/>
      <c r="N147" s="55"/>
      <c r="P147" s="58"/>
      <c r="Q147" s="59"/>
      <c r="R147" s="54"/>
      <c r="S147" s="55"/>
    </row>
    <row r="148" spans="11:19" x14ac:dyDescent="0.25">
      <c r="K148" s="58"/>
      <c r="L148" s="59"/>
      <c r="M148" s="54"/>
      <c r="N148" s="55"/>
      <c r="P148" s="58"/>
      <c r="Q148" s="59"/>
      <c r="R148" s="54"/>
      <c r="S148" s="55"/>
    </row>
    <row r="149" spans="11:19" x14ac:dyDescent="0.25">
      <c r="K149" s="58"/>
      <c r="L149" s="59"/>
      <c r="M149" s="54"/>
      <c r="N149" s="55"/>
      <c r="P149" s="58"/>
      <c r="Q149" s="59"/>
      <c r="R149" s="54"/>
      <c r="S149" s="55"/>
    </row>
    <row r="150" spans="11:19" x14ac:dyDescent="0.25">
      <c r="K150" s="58"/>
      <c r="L150" s="59"/>
      <c r="M150" s="54"/>
      <c r="N150" s="55"/>
      <c r="P150" s="58"/>
      <c r="Q150" s="59"/>
      <c r="R150" s="54"/>
      <c r="S150" s="55"/>
    </row>
    <row r="151" spans="11:19" x14ac:dyDescent="0.25">
      <c r="K151" s="58"/>
      <c r="L151" s="59"/>
      <c r="M151" s="54"/>
      <c r="N151" s="55"/>
      <c r="P151" s="58"/>
      <c r="Q151" s="59"/>
      <c r="R151" s="54"/>
      <c r="S151" s="55"/>
    </row>
    <row r="152" spans="11:19" x14ac:dyDescent="0.25">
      <c r="K152" s="58"/>
      <c r="L152" s="59"/>
      <c r="M152" s="54"/>
      <c r="N152" s="55"/>
      <c r="P152" s="58"/>
      <c r="Q152" s="59"/>
      <c r="R152" s="54"/>
      <c r="S152" s="55"/>
    </row>
    <row r="153" spans="11:19" x14ac:dyDescent="0.25">
      <c r="K153" s="58"/>
      <c r="L153" s="59"/>
      <c r="M153" s="54"/>
      <c r="N153" s="55"/>
      <c r="P153" s="58"/>
      <c r="Q153" s="59"/>
      <c r="R153" s="54"/>
      <c r="S153" s="55"/>
    </row>
    <row r="154" spans="11:19" x14ac:dyDescent="0.25">
      <c r="K154" s="58"/>
      <c r="L154" s="59"/>
      <c r="M154" s="54"/>
      <c r="N154" s="55"/>
      <c r="P154" s="58"/>
      <c r="Q154" s="59"/>
      <c r="R154" s="54"/>
      <c r="S154" s="55"/>
    </row>
    <row r="155" spans="11:19" x14ac:dyDescent="0.25">
      <c r="K155" s="58"/>
      <c r="L155" s="59"/>
      <c r="M155" s="54"/>
      <c r="N155" s="55"/>
      <c r="P155" s="58"/>
      <c r="Q155" s="59"/>
      <c r="R155" s="54"/>
      <c r="S155" s="55"/>
    </row>
    <row r="156" spans="11:19" x14ac:dyDescent="0.25">
      <c r="K156" s="58"/>
      <c r="L156" s="59"/>
      <c r="M156" s="54"/>
      <c r="N156" s="55"/>
      <c r="P156" s="58"/>
      <c r="Q156" s="59"/>
      <c r="R156" s="54"/>
      <c r="S156" s="55"/>
    </row>
    <row r="157" spans="11:19" x14ac:dyDescent="0.25">
      <c r="K157" s="58"/>
      <c r="L157" s="59"/>
      <c r="M157" s="54"/>
      <c r="N157" s="55"/>
      <c r="P157" s="58"/>
      <c r="Q157" s="59"/>
      <c r="R157" s="54"/>
      <c r="S157" s="55"/>
    </row>
    <row r="158" spans="11:19" x14ac:dyDescent="0.25">
      <c r="K158" s="58"/>
      <c r="L158" s="59"/>
      <c r="M158" s="54"/>
      <c r="N158" s="55"/>
      <c r="P158" s="58"/>
      <c r="Q158" s="59"/>
      <c r="R158" s="54"/>
      <c r="S158" s="55"/>
    </row>
    <row r="159" spans="11:19" x14ac:dyDescent="0.25">
      <c r="K159" s="58"/>
      <c r="L159" s="59"/>
      <c r="M159" s="54"/>
      <c r="N159" s="55"/>
      <c r="P159" s="58"/>
      <c r="Q159" s="59"/>
      <c r="R159" s="54"/>
      <c r="S159" s="55"/>
    </row>
    <row r="160" spans="11:19" x14ac:dyDescent="0.25">
      <c r="K160" s="58"/>
      <c r="L160" s="59"/>
      <c r="M160" s="54"/>
      <c r="N160" s="55"/>
      <c r="P160" s="58"/>
      <c r="Q160" s="59"/>
      <c r="R160" s="54"/>
      <c r="S160" s="55"/>
    </row>
    <row r="161" spans="11:19" x14ac:dyDescent="0.25">
      <c r="K161" s="58"/>
      <c r="L161" s="59"/>
      <c r="M161" s="54"/>
      <c r="N161" s="55"/>
      <c r="P161" s="58"/>
      <c r="Q161" s="59"/>
      <c r="R161" s="54"/>
      <c r="S161" s="55"/>
    </row>
    <row r="162" spans="11:19" x14ac:dyDescent="0.25">
      <c r="K162" s="58"/>
      <c r="L162" s="59"/>
      <c r="M162" s="54"/>
      <c r="N162" s="55"/>
      <c r="P162" s="58"/>
      <c r="Q162" s="59"/>
      <c r="R162" s="54"/>
      <c r="S162" s="55"/>
    </row>
    <row r="163" spans="11:19" x14ac:dyDescent="0.25">
      <c r="K163" s="58"/>
      <c r="L163" s="59"/>
      <c r="M163" s="54"/>
      <c r="N163" s="55"/>
      <c r="P163" s="58"/>
      <c r="Q163" s="59"/>
      <c r="R163" s="54"/>
      <c r="S163" s="55"/>
    </row>
    <row r="164" spans="11:19" x14ac:dyDescent="0.25">
      <c r="K164" s="58"/>
      <c r="L164" s="59"/>
      <c r="M164" s="54"/>
      <c r="N164" s="55"/>
      <c r="P164" s="58"/>
      <c r="Q164" s="59"/>
      <c r="R164" s="54"/>
      <c r="S164" s="55"/>
    </row>
    <row r="165" spans="11:19" x14ac:dyDescent="0.25">
      <c r="K165" s="58"/>
      <c r="L165" s="59"/>
      <c r="M165" s="54"/>
      <c r="N165" s="55"/>
      <c r="P165" s="58"/>
      <c r="Q165" s="59"/>
      <c r="R165" s="54"/>
      <c r="S165" s="55"/>
    </row>
    <row r="166" spans="11:19" x14ac:dyDescent="0.25">
      <c r="K166" s="58"/>
      <c r="L166" s="59"/>
      <c r="M166" s="54"/>
      <c r="N166" s="55"/>
      <c r="P166" s="58"/>
      <c r="Q166" s="59"/>
      <c r="R166" s="54"/>
      <c r="S166" s="55"/>
    </row>
    <row r="167" spans="11:19" x14ac:dyDescent="0.25">
      <c r="K167" s="58"/>
      <c r="L167" s="59"/>
      <c r="M167" s="54"/>
      <c r="N167" s="55"/>
      <c r="P167" s="58"/>
      <c r="Q167" s="59"/>
      <c r="R167" s="54"/>
      <c r="S167" s="55"/>
    </row>
    <row r="168" spans="11:19" x14ac:dyDescent="0.25">
      <c r="K168" s="58"/>
      <c r="L168" s="59"/>
      <c r="M168" s="54"/>
      <c r="N168" s="55"/>
      <c r="P168" s="58"/>
      <c r="Q168" s="59"/>
      <c r="R168" s="54"/>
      <c r="S168" s="55"/>
    </row>
    <row r="169" spans="11:19" x14ac:dyDescent="0.25">
      <c r="K169" s="58"/>
      <c r="L169" s="59"/>
      <c r="M169" s="54"/>
      <c r="N169" s="55"/>
      <c r="P169" s="58"/>
      <c r="Q169" s="59"/>
      <c r="R169" s="54"/>
      <c r="S169" s="55"/>
    </row>
    <row r="170" spans="11:19" x14ac:dyDescent="0.25">
      <c r="K170" s="58"/>
      <c r="L170" s="59"/>
      <c r="M170" s="54"/>
      <c r="N170" s="55"/>
      <c r="P170" s="58"/>
      <c r="Q170" s="59"/>
      <c r="R170" s="54"/>
      <c r="S170" s="55"/>
    </row>
    <row r="171" spans="11:19" x14ac:dyDescent="0.25">
      <c r="K171" s="58"/>
      <c r="L171" s="59"/>
      <c r="M171" s="54"/>
      <c r="N171" s="55"/>
      <c r="P171" s="58"/>
      <c r="Q171" s="59"/>
      <c r="R171" s="54"/>
      <c r="S171" s="55"/>
    </row>
    <row r="172" spans="11:19" x14ac:dyDescent="0.25">
      <c r="K172" s="58"/>
      <c r="L172" s="59"/>
      <c r="M172" s="54"/>
      <c r="N172" s="55"/>
      <c r="P172" s="58"/>
      <c r="Q172" s="59"/>
      <c r="R172" s="54"/>
      <c r="S172" s="55"/>
    </row>
    <row r="173" spans="11:19" x14ac:dyDescent="0.25">
      <c r="K173" s="58"/>
      <c r="L173" s="59"/>
      <c r="M173" s="54"/>
      <c r="N173" s="55"/>
      <c r="P173" s="58"/>
      <c r="Q173" s="59"/>
      <c r="R173" s="54"/>
      <c r="S173" s="55"/>
    </row>
    <row r="174" spans="11:19" x14ac:dyDescent="0.25">
      <c r="K174" s="58"/>
      <c r="L174" s="59"/>
      <c r="M174" s="54"/>
      <c r="N174" s="55"/>
      <c r="P174" s="58"/>
      <c r="Q174" s="59"/>
      <c r="R174" s="54"/>
      <c r="S174" s="55"/>
    </row>
    <row r="175" spans="11:19" x14ac:dyDescent="0.25">
      <c r="K175" s="58"/>
      <c r="L175" s="59"/>
      <c r="M175" s="54"/>
      <c r="N175" s="55"/>
      <c r="P175" s="58"/>
      <c r="Q175" s="59"/>
      <c r="R175" s="54"/>
      <c r="S175" s="55"/>
    </row>
    <row r="176" spans="11:19" x14ac:dyDescent="0.25">
      <c r="K176" s="58"/>
      <c r="L176" s="59"/>
      <c r="M176" s="54"/>
      <c r="N176" s="55"/>
      <c r="P176" s="58"/>
      <c r="Q176" s="59"/>
      <c r="R176" s="54"/>
      <c r="S176" s="55"/>
    </row>
    <row r="177" spans="11:19" x14ac:dyDescent="0.25">
      <c r="K177" s="58"/>
      <c r="L177" s="59"/>
      <c r="M177" s="54"/>
      <c r="N177" s="55"/>
      <c r="P177" s="58"/>
      <c r="Q177" s="59"/>
      <c r="R177" s="54"/>
      <c r="S177" s="55"/>
    </row>
    <row r="178" spans="11:19" x14ac:dyDescent="0.25">
      <c r="K178" s="58"/>
      <c r="L178" s="59"/>
      <c r="M178" s="54"/>
      <c r="N178" s="55"/>
      <c r="P178" s="58"/>
      <c r="Q178" s="59"/>
      <c r="R178" s="54"/>
      <c r="S178" s="55"/>
    </row>
    <row r="179" spans="11:19" x14ac:dyDescent="0.25">
      <c r="K179" s="58"/>
      <c r="L179" s="59"/>
      <c r="M179" s="54"/>
      <c r="N179" s="55"/>
      <c r="P179" s="58"/>
      <c r="Q179" s="59"/>
      <c r="R179" s="54"/>
      <c r="S179" s="55"/>
    </row>
    <row r="180" spans="11:19" x14ac:dyDescent="0.25">
      <c r="K180" s="58"/>
      <c r="L180" s="59"/>
      <c r="M180" s="54"/>
      <c r="N180" s="55"/>
      <c r="P180" s="58"/>
      <c r="Q180" s="59"/>
      <c r="R180" s="54"/>
      <c r="S180" s="55"/>
    </row>
    <row r="181" spans="11:19" x14ac:dyDescent="0.25">
      <c r="K181" s="58"/>
      <c r="L181" s="59"/>
      <c r="M181" s="54"/>
      <c r="N181" s="55"/>
      <c r="P181" s="58"/>
      <c r="Q181" s="59"/>
      <c r="R181" s="54"/>
      <c r="S181" s="55"/>
    </row>
    <row r="182" spans="11:19" x14ac:dyDescent="0.25">
      <c r="K182" s="58"/>
      <c r="L182" s="59"/>
      <c r="M182" s="54"/>
      <c r="N182" s="55"/>
      <c r="P182" s="58"/>
      <c r="Q182" s="59"/>
      <c r="R182" s="54"/>
      <c r="S182" s="55"/>
    </row>
    <row r="183" spans="11:19" x14ac:dyDescent="0.25">
      <c r="K183" s="58"/>
      <c r="L183" s="59"/>
      <c r="M183" s="54"/>
      <c r="N183" s="55"/>
      <c r="P183" s="58"/>
      <c r="Q183" s="59"/>
      <c r="R183" s="54"/>
      <c r="S183" s="55"/>
    </row>
    <row r="184" spans="11:19" x14ac:dyDescent="0.25">
      <c r="K184" s="58"/>
      <c r="L184" s="59"/>
      <c r="M184" s="54"/>
      <c r="N184" s="55"/>
      <c r="P184" s="58"/>
      <c r="Q184" s="59"/>
      <c r="R184" s="54"/>
      <c r="S184" s="55"/>
    </row>
    <row r="185" spans="11:19" x14ac:dyDescent="0.25">
      <c r="K185" s="58"/>
      <c r="L185" s="59"/>
      <c r="M185" s="54"/>
      <c r="N185" s="55"/>
      <c r="P185" s="58"/>
      <c r="Q185" s="59"/>
      <c r="R185" s="54"/>
      <c r="S185" s="55"/>
    </row>
    <row r="186" spans="11:19" x14ac:dyDescent="0.25">
      <c r="K186" s="58"/>
      <c r="L186" s="59"/>
      <c r="M186" s="54"/>
      <c r="N186" s="55"/>
      <c r="P186" s="58"/>
      <c r="Q186" s="59"/>
      <c r="R186" s="54"/>
      <c r="S186" s="55"/>
    </row>
    <row r="187" spans="11:19" x14ac:dyDescent="0.25">
      <c r="K187" s="58"/>
      <c r="L187" s="59"/>
      <c r="M187" s="54"/>
      <c r="N187" s="55"/>
      <c r="P187" s="58"/>
      <c r="Q187" s="59"/>
      <c r="R187" s="54"/>
      <c r="S187" s="55"/>
    </row>
    <row r="188" spans="11:19" x14ac:dyDescent="0.25">
      <c r="K188" s="58"/>
      <c r="L188" s="59"/>
      <c r="M188" s="54"/>
      <c r="N188" s="55"/>
      <c r="P188" s="58"/>
      <c r="Q188" s="59"/>
      <c r="R188" s="54"/>
      <c r="S188" s="55"/>
    </row>
    <row r="189" spans="11:19" x14ac:dyDescent="0.25">
      <c r="K189" s="58"/>
      <c r="L189" s="59"/>
      <c r="M189" s="54"/>
      <c r="N189" s="55"/>
      <c r="P189" s="58"/>
      <c r="Q189" s="59"/>
      <c r="R189" s="54"/>
      <c r="S189" s="55"/>
    </row>
    <row r="190" spans="11:19" x14ac:dyDescent="0.25">
      <c r="K190" s="58"/>
      <c r="L190" s="59"/>
      <c r="M190" s="54"/>
      <c r="N190" s="55"/>
      <c r="P190" s="58"/>
      <c r="Q190" s="59"/>
      <c r="R190" s="54"/>
      <c r="S190" s="55"/>
    </row>
    <row r="191" spans="11:19" x14ac:dyDescent="0.25">
      <c r="K191" s="58"/>
      <c r="L191" s="59"/>
      <c r="M191" s="54"/>
      <c r="N191" s="55"/>
      <c r="P191" s="58"/>
      <c r="Q191" s="59"/>
      <c r="R191" s="54"/>
      <c r="S191" s="55"/>
    </row>
    <row r="192" spans="11:19" x14ac:dyDescent="0.25">
      <c r="K192" s="58"/>
      <c r="L192" s="59"/>
      <c r="M192" s="54"/>
      <c r="N192" s="55"/>
      <c r="P192" s="58"/>
      <c r="Q192" s="59"/>
      <c r="R192" s="54"/>
      <c r="S192" s="55"/>
    </row>
    <row r="193" spans="11:19" x14ac:dyDescent="0.25">
      <c r="K193" s="58"/>
      <c r="L193" s="59"/>
      <c r="M193" s="54"/>
      <c r="N193" s="55"/>
      <c r="P193" s="58"/>
      <c r="Q193" s="59"/>
      <c r="R193" s="54"/>
      <c r="S193" s="55"/>
    </row>
    <row r="194" spans="11:19" x14ac:dyDescent="0.25">
      <c r="K194" s="58"/>
      <c r="L194" s="59"/>
      <c r="M194" s="54"/>
      <c r="N194" s="55"/>
      <c r="P194" s="58"/>
      <c r="Q194" s="59"/>
      <c r="R194" s="54"/>
      <c r="S194" s="55"/>
    </row>
    <row r="195" spans="11:19" x14ac:dyDescent="0.25">
      <c r="K195" s="58"/>
      <c r="L195" s="59"/>
      <c r="M195" s="54"/>
      <c r="N195" s="55"/>
      <c r="P195" s="58"/>
      <c r="Q195" s="59"/>
      <c r="R195" s="54"/>
      <c r="S195" s="55"/>
    </row>
    <row r="196" spans="11:19" x14ac:dyDescent="0.25">
      <c r="K196" s="58"/>
      <c r="L196" s="59"/>
      <c r="M196" s="54"/>
      <c r="N196" s="55"/>
      <c r="P196" s="58"/>
      <c r="Q196" s="59"/>
      <c r="R196" s="54"/>
      <c r="S196" s="55"/>
    </row>
    <row r="197" spans="11:19" x14ac:dyDescent="0.25">
      <c r="K197" s="58"/>
      <c r="L197" s="59"/>
      <c r="M197" s="54"/>
      <c r="N197" s="55"/>
      <c r="P197" s="58"/>
      <c r="Q197" s="59"/>
      <c r="R197" s="54"/>
      <c r="S197" s="55"/>
    </row>
    <row r="198" spans="11:19" x14ac:dyDescent="0.25">
      <c r="K198" s="58"/>
      <c r="L198" s="59"/>
      <c r="M198" s="54"/>
      <c r="N198" s="55"/>
      <c r="P198" s="58"/>
      <c r="Q198" s="59"/>
      <c r="R198" s="54"/>
      <c r="S198" s="55"/>
    </row>
    <row r="199" spans="11:19" x14ac:dyDescent="0.25">
      <c r="K199" s="58"/>
      <c r="L199" s="59"/>
      <c r="M199" s="54"/>
      <c r="N199" s="55"/>
      <c r="P199" s="58"/>
      <c r="Q199" s="59"/>
      <c r="R199" s="54"/>
      <c r="S199" s="55"/>
    </row>
    <row r="200" spans="11:19" x14ac:dyDescent="0.25">
      <c r="K200" s="58"/>
      <c r="L200" s="59"/>
      <c r="M200" s="54"/>
      <c r="N200" s="55"/>
      <c r="P200" s="58"/>
      <c r="Q200" s="59"/>
      <c r="R200" s="54"/>
      <c r="S200" s="55"/>
    </row>
    <row r="201" spans="11:19" x14ac:dyDescent="0.25">
      <c r="K201" s="58"/>
      <c r="L201" s="59"/>
      <c r="M201" s="54"/>
      <c r="N201" s="55"/>
      <c r="P201" s="58"/>
      <c r="Q201" s="59"/>
      <c r="R201" s="54"/>
      <c r="S201" s="55"/>
    </row>
    <row r="202" spans="11:19" x14ac:dyDescent="0.25">
      <c r="K202" s="58"/>
      <c r="L202" s="59"/>
      <c r="M202" s="54"/>
      <c r="N202" s="55"/>
      <c r="P202" s="58"/>
      <c r="Q202" s="59"/>
      <c r="R202" s="54"/>
      <c r="S202" s="55"/>
    </row>
    <row r="203" spans="11:19" x14ac:dyDescent="0.25">
      <c r="K203" s="58"/>
      <c r="L203" s="59"/>
      <c r="M203" s="54"/>
      <c r="N203" s="55"/>
      <c r="P203" s="58"/>
      <c r="Q203" s="59"/>
      <c r="R203" s="54"/>
      <c r="S203" s="55"/>
    </row>
    <row r="204" spans="11:19" x14ac:dyDescent="0.25">
      <c r="K204" s="58"/>
      <c r="L204" s="59"/>
      <c r="M204" s="54"/>
      <c r="N204" s="55"/>
      <c r="P204" s="58"/>
      <c r="Q204" s="59"/>
      <c r="R204" s="54"/>
      <c r="S204" s="55"/>
    </row>
    <row r="205" spans="11:19" x14ac:dyDescent="0.25">
      <c r="K205" s="58"/>
      <c r="L205" s="59"/>
      <c r="M205" s="54"/>
      <c r="N205" s="55"/>
      <c r="P205" s="58"/>
      <c r="Q205" s="59"/>
      <c r="R205" s="54"/>
      <c r="S205" s="55"/>
    </row>
    <row r="206" spans="11:19" x14ac:dyDescent="0.25">
      <c r="K206" s="58"/>
      <c r="L206" s="59"/>
      <c r="M206" s="54"/>
      <c r="N206" s="55"/>
      <c r="P206" s="58"/>
      <c r="Q206" s="59"/>
      <c r="R206" s="54"/>
      <c r="S206" s="55"/>
    </row>
    <row r="207" spans="11:19" x14ac:dyDescent="0.25">
      <c r="K207" s="58"/>
      <c r="L207" s="59"/>
      <c r="M207" s="54"/>
      <c r="N207" s="55"/>
      <c r="P207" s="58"/>
      <c r="Q207" s="59"/>
      <c r="R207" s="54"/>
      <c r="S207" s="55"/>
    </row>
    <row r="208" spans="11:19" x14ac:dyDescent="0.25">
      <c r="K208" s="58"/>
      <c r="L208" s="59"/>
      <c r="M208" s="54"/>
      <c r="N208" s="55"/>
      <c r="P208" s="58"/>
      <c r="Q208" s="59"/>
      <c r="R208" s="54"/>
      <c r="S208" s="55"/>
    </row>
    <row r="209" spans="11:19" x14ac:dyDescent="0.25">
      <c r="K209" s="58"/>
      <c r="L209" s="59"/>
      <c r="M209" s="54"/>
      <c r="N209" s="55"/>
      <c r="P209" s="58"/>
      <c r="Q209" s="59"/>
      <c r="R209" s="54"/>
      <c r="S209" s="55"/>
    </row>
    <row r="210" spans="11:19" x14ac:dyDescent="0.25">
      <c r="K210" s="58"/>
      <c r="L210" s="59"/>
      <c r="M210" s="54"/>
      <c r="N210" s="55"/>
      <c r="P210" s="58"/>
      <c r="Q210" s="59"/>
      <c r="R210" s="54"/>
      <c r="S210" s="55"/>
    </row>
    <row r="211" spans="11:19" x14ac:dyDescent="0.25">
      <c r="K211" s="58"/>
      <c r="L211" s="59"/>
      <c r="M211" s="54"/>
      <c r="N211" s="55"/>
      <c r="P211" s="58"/>
      <c r="Q211" s="59"/>
      <c r="R211" s="54"/>
      <c r="S211" s="55"/>
    </row>
    <row r="212" spans="11:19" x14ac:dyDescent="0.25">
      <c r="K212" s="58"/>
      <c r="L212" s="59"/>
      <c r="M212" s="54"/>
      <c r="N212" s="55"/>
      <c r="P212" s="58"/>
      <c r="Q212" s="59"/>
      <c r="R212" s="54"/>
      <c r="S212" s="55"/>
    </row>
    <row r="213" spans="11:19" x14ac:dyDescent="0.25">
      <c r="K213" s="58"/>
      <c r="L213" s="59"/>
      <c r="M213" s="54"/>
      <c r="N213" s="55"/>
      <c r="P213" s="58"/>
      <c r="Q213" s="59"/>
      <c r="R213" s="54"/>
      <c r="S213" s="55"/>
    </row>
    <row r="214" spans="11:19" x14ac:dyDescent="0.25">
      <c r="K214" s="58"/>
      <c r="L214" s="59"/>
      <c r="M214" s="54"/>
      <c r="N214" s="55"/>
      <c r="P214" s="58"/>
      <c r="Q214" s="59"/>
      <c r="R214" s="54"/>
      <c r="S214" s="55"/>
    </row>
    <row r="215" spans="11:19" x14ac:dyDescent="0.25">
      <c r="K215" s="58"/>
      <c r="L215" s="59"/>
      <c r="M215" s="54"/>
      <c r="N215" s="55"/>
      <c r="P215" s="58"/>
      <c r="Q215" s="59"/>
      <c r="R215" s="54"/>
      <c r="S215" s="55"/>
    </row>
    <row r="216" spans="11:19" x14ac:dyDescent="0.25">
      <c r="K216" s="58"/>
      <c r="L216" s="59"/>
      <c r="M216" s="54"/>
      <c r="N216" s="55"/>
      <c r="P216" s="58"/>
      <c r="Q216" s="59"/>
      <c r="R216" s="54"/>
      <c r="S216" s="55"/>
    </row>
    <row r="217" spans="11:19" x14ac:dyDescent="0.25">
      <c r="K217" s="58"/>
      <c r="L217" s="59"/>
      <c r="M217" s="54"/>
      <c r="N217" s="55"/>
      <c r="P217" s="58"/>
      <c r="Q217" s="59"/>
      <c r="R217" s="54"/>
      <c r="S217" s="55"/>
    </row>
    <row r="218" spans="11:19" x14ac:dyDescent="0.25">
      <c r="K218" s="58"/>
      <c r="L218" s="59"/>
      <c r="M218" s="54"/>
      <c r="N218" s="55"/>
      <c r="P218" s="58"/>
      <c r="Q218" s="59"/>
      <c r="R218" s="54"/>
      <c r="S218" s="55"/>
    </row>
    <row r="219" spans="11:19" x14ac:dyDescent="0.25">
      <c r="K219" s="58"/>
      <c r="L219" s="59"/>
      <c r="M219" s="54"/>
      <c r="N219" s="55"/>
      <c r="P219" s="58"/>
      <c r="Q219" s="59"/>
      <c r="R219" s="54"/>
      <c r="S219" s="55"/>
    </row>
    <row r="220" spans="11:19" x14ac:dyDescent="0.25">
      <c r="K220" s="58"/>
      <c r="L220" s="59"/>
      <c r="M220" s="54"/>
      <c r="N220" s="55"/>
      <c r="P220" s="58"/>
      <c r="Q220" s="59"/>
      <c r="R220" s="54"/>
      <c r="S220" s="55"/>
    </row>
    <row r="221" spans="11:19" x14ac:dyDescent="0.25">
      <c r="K221" s="58"/>
      <c r="L221" s="59"/>
      <c r="M221" s="54"/>
      <c r="N221" s="55"/>
      <c r="P221" s="58"/>
      <c r="Q221" s="59"/>
      <c r="R221" s="54"/>
      <c r="S221" s="55"/>
    </row>
    <row r="222" spans="11:19" x14ac:dyDescent="0.25">
      <c r="K222" s="58"/>
      <c r="L222" s="59"/>
      <c r="M222" s="54"/>
      <c r="N222" s="55"/>
      <c r="P222" s="58"/>
      <c r="Q222" s="59"/>
      <c r="R222" s="54"/>
      <c r="S222" s="55"/>
    </row>
    <row r="223" spans="11:19" x14ac:dyDescent="0.25">
      <c r="K223" s="58"/>
      <c r="L223" s="59"/>
      <c r="M223" s="54"/>
      <c r="N223" s="55"/>
      <c r="P223" s="58"/>
      <c r="Q223" s="59"/>
      <c r="R223" s="54"/>
      <c r="S223" s="55"/>
    </row>
    <row r="224" spans="11:19" x14ac:dyDescent="0.25">
      <c r="K224" s="58"/>
      <c r="L224" s="59"/>
      <c r="M224" s="54"/>
      <c r="N224" s="55"/>
      <c r="P224" s="58"/>
      <c r="Q224" s="59"/>
      <c r="R224" s="54"/>
      <c r="S224" s="55"/>
    </row>
    <row r="225" spans="11:19" x14ac:dyDescent="0.25">
      <c r="K225" s="58"/>
      <c r="L225" s="59"/>
      <c r="M225" s="54"/>
      <c r="N225" s="55"/>
      <c r="P225" s="58"/>
      <c r="Q225" s="59"/>
      <c r="R225" s="54"/>
      <c r="S225" s="55"/>
    </row>
    <row r="226" spans="11:19" x14ac:dyDescent="0.25">
      <c r="K226" s="58"/>
      <c r="L226" s="59"/>
      <c r="M226" s="54"/>
      <c r="N226" s="55"/>
      <c r="P226" s="58"/>
      <c r="Q226" s="59"/>
      <c r="R226" s="54"/>
      <c r="S226" s="55"/>
    </row>
    <row r="227" spans="11:19" x14ac:dyDescent="0.25">
      <c r="K227" s="58"/>
      <c r="L227" s="59"/>
      <c r="M227" s="54"/>
      <c r="N227" s="55"/>
      <c r="P227" s="58"/>
      <c r="Q227" s="59"/>
      <c r="R227" s="54"/>
      <c r="S227" s="55"/>
    </row>
    <row r="228" spans="11:19" x14ac:dyDescent="0.25">
      <c r="K228" s="58"/>
      <c r="L228" s="59"/>
      <c r="M228" s="54"/>
      <c r="N228" s="55"/>
      <c r="P228" s="58"/>
      <c r="Q228" s="59"/>
      <c r="R228" s="54"/>
      <c r="S228" s="55"/>
    </row>
    <row r="229" spans="11:19" x14ac:dyDescent="0.25">
      <c r="K229" s="58"/>
      <c r="L229" s="59"/>
      <c r="M229" s="54"/>
      <c r="N229" s="55"/>
      <c r="P229" s="58"/>
      <c r="Q229" s="59"/>
      <c r="R229" s="54"/>
      <c r="S229" s="55"/>
    </row>
    <row r="230" spans="11:19" x14ac:dyDescent="0.25">
      <c r="K230" s="58"/>
      <c r="L230" s="59"/>
      <c r="M230" s="54"/>
      <c r="N230" s="55"/>
      <c r="P230" s="58"/>
      <c r="Q230" s="59"/>
      <c r="R230" s="54"/>
      <c r="S230" s="55"/>
    </row>
    <row r="231" spans="11:19" x14ac:dyDescent="0.25">
      <c r="K231" s="58"/>
      <c r="L231" s="59"/>
      <c r="M231" s="54"/>
      <c r="N231" s="55"/>
      <c r="P231" s="58"/>
      <c r="Q231" s="59"/>
      <c r="R231" s="54"/>
      <c r="S231" s="55"/>
    </row>
    <row r="232" spans="11:19" x14ac:dyDescent="0.25">
      <c r="K232" s="58"/>
      <c r="L232" s="59"/>
      <c r="M232" s="54"/>
      <c r="N232" s="55"/>
      <c r="P232" s="58"/>
      <c r="Q232" s="59"/>
      <c r="R232" s="54"/>
      <c r="S232" s="55"/>
    </row>
    <row r="233" spans="11:19" x14ac:dyDescent="0.25">
      <c r="K233" s="58"/>
      <c r="L233" s="59"/>
      <c r="M233" s="54"/>
      <c r="N233" s="55"/>
      <c r="P233" s="58"/>
      <c r="Q233" s="59"/>
      <c r="R233" s="54"/>
      <c r="S233" s="55"/>
    </row>
    <row r="234" spans="11:19" x14ac:dyDescent="0.25">
      <c r="K234" s="58"/>
      <c r="L234" s="59"/>
      <c r="M234" s="54"/>
      <c r="N234" s="55"/>
      <c r="P234" s="58"/>
      <c r="Q234" s="59"/>
      <c r="R234" s="54"/>
      <c r="S234" s="55"/>
    </row>
    <row r="235" spans="11:19" x14ac:dyDescent="0.25">
      <c r="K235" s="58"/>
      <c r="L235" s="59"/>
      <c r="M235" s="54"/>
      <c r="N235" s="55"/>
      <c r="P235" s="58"/>
      <c r="Q235" s="59"/>
      <c r="R235" s="54"/>
      <c r="S235" s="55"/>
    </row>
    <row r="236" spans="11:19" x14ac:dyDescent="0.25">
      <c r="K236" s="58"/>
      <c r="L236" s="59"/>
      <c r="M236" s="54"/>
      <c r="N236" s="55"/>
      <c r="P236" s="58"/>
      <c r="Q236" s="59"/>
      <c r="R236" s="54"/>
      <c r="S236" s="55"/>
    </row>
    <row r="237" spans="11:19" x14ac:dyDescent="0.25">
      <c r="K237" s="58"/>
      <c r="L237" s="59"/>
      <c r="M237" s="54"/>
      <c r="N237" s="55"/>
      <c r="P237" s="58"/>
      <c r="Q237" s="59"/>
      <c r="R237" s="54"/>
      <c r="S237" s="55"/>
    </row>
    <row r="238" spans="11:19" x14ac:dyDescent="0.25">
      <c r="K238" s="58"/>
      <c r="L238" s="59"/>
      <c r="M238" s="54"/>
      <c r="N238" s="55"/>
      <c r="P238" s="58"/>
      <c r="Q238" s="59"/>
      <c r="R238" s="54"/>
      <c r="S238" s="55"/>
    </row>
    <row r="239" spans="11:19" x14ac:dyDescent="0.25">
      <c r="K239" s="58"/>
      <c r="L239" s="59"/>
      <c r="M239" s="54"/>
      <c r="N239" s="55"/>
      <c r="P239" s="58"/>
      <c r="Q239" s="59"/>
      <c r="R239" s="54"/>
      <c r="S239" s="55"/>
    </row>
    <row r="240" spans="11:19" x14ac:dyDescent="0.25">
      <c r="K240" s="58"/>
      <c r="L240" s="59"/>
      <c r="M240" s="54"/>
      <c r="N240" s="55"/>
      <c r="P240" s="58"/>
      <c r="Q240" s="59"/>
      <c r="R240" s="54"/>
      <c r="S240" s="55"/>
    </row>
    <row r="241" spans="11:19" x14ac:dyDescent="0.25">
      <c r="K241" s="58"/>
      <c r="L241" s="59"/>
      <c r="M241" s="54"/>
      <c r="N241" s="55"/>
      <c r="P241" s="58"/>
      <c r="Q241" s="59"/>
      <c r="R241" s="54"/>
      <c r="S241" s="55"/>
    </row>
    <row r="242" spans="11:19" x14ac:dyDescent="0.25">
      <c r="K242" s="58"/>
      <c r="L242" s="59"/>
      <c r="M242" s="54"/>
      <c r="N242" s="55"/>
      <c r="P242" s="58"/>
      <c r="Q242" s="59"/>
      <c r="R242" s="54"/>
      <c r="S242" s="55"/>
    </row>
    <row r="243" spans="11:19" x14ac:dyDescent="0.25">
      <c r="K243" s="58"/>
      <c r="L243" s="59"/>
      <c r="M243" s="54"/>
      <c r="N243" s="55"/>
      <c r="P243" s="58"/>
      <c r="Q243" s="59"/>
      <c r="R243" s="54"/>
      <c r="S243" s="55"/>
    </row>
    <row r="244" spans="11:19" x14ac:dyDescent="0.25">
      <c r="K244" s="58"/>
      <c r="L244" s="59"/>
      <c r="M244" s="54"/>
      <c r="N244" s="55"/>
      <c r="P244" s="58"/>
      <c r="Q244" s="59"/>
      <c r="R244" s="54"/>
      <c r="S244" s="55"/>
    </row>
    <row r="245" spans="11:19" x14ac:dyDescent="0.25">
      <c r="K245" s="58"/>
      <c r="L245" s="59"/>
      <c r="M245" s="54"/>
      <c r="N245" s="55"/>
      <c r="P245" s="58"/>
      <c r="Q245" s="59"/>
      <c r="R245" s="54"/>
      <c r="S245" s="55"/>
    </row>
    <row r="246" spans="11:19" x14ac:dyDescent="0.25">
      <c r="K246" s="58"/>
      <c r="L246" s="59"/>
      <c r="M246" s="54"/>
      <c r="N246" s="55"/>
      <c r="P246" s="58"/>
      <c r="Q246" s="59"/>
      <c r="R246" s="54"/>
      <c r="S246" s="55"/>
    </row>
    <row r="247" spans="11:19" x14ac:dyDescent="0.25">
      <c r="K247" s="58"/>
      <c r="L247" s="59"/>
      <c r="M247" s="54"/>
      <c r="N247" s="55"/>
      <c r="P247" s="58"/>
      <c r="Q247" s="59"/>
      <c r="R247" s="54"/>
      <c r="S247" s="55"/>
    </row>
    <row r="248" spans="11:19" x14ac:dyDescent="0.25">
      <c r="K248" s="58"/>
      <c r="L248" s="59"/>
      <c r="M248" s="54"/>
      <c r="N248" s="55"/>
      <c r="P248" s="58"/>
      <c r="Q248" s="59"/>
      <c r="R248" s="54"/>
      <c r="S248" s="55"/>
    </row>
    <row r="249" spans="11:19" x14ac:dyDescent="0.25">
      <c r="K249" s="58"/>
      <c r="L249" s="59"/>
      <c r="M249" s="54"/>
      <c r="N249" s="55"/>
      <c r="P249" s="58"/>
      <c r="Q249" s="59"/>
      <c r="R249" s="54"/>
      <c r="S249" s="55"/>
    </row>
    <row r="250" spans="11:19" x14ac:dyDescent="0.25">
      <c r="K250" s="58"/>
      <c r="L250" s="59"/>
      <c r="M250" s="54"/>
      <c r="N250" s="55"/>
      <c r="P250" s="58"/>
      <c r="Q250" s="59"/>
      <c r="R250" s="54"/>
      <c r="S250" s="55"/>
    </row>
    <row r="251" spans="11:19" x14ac:dyDescent="0.25">
      <c r="K251" s="58"/>
      <c r="L251" s="59"/>
      <c r="M251" s="54"/>
      <c r="N251" s="55"/>
      <c r="P251" s="58"/>
      <c r="Q251" s="59"/>
      <c r="R251" s="54"/>
      <c r="S251" s="55"/>
    </row>
    <row r="252" spans="11:19" x14ac:dyDescent="0.25">
      <c r="K252" s="58"/>
      <c r="L252" s="59"/>
      <c r="M252" s="54"/>
      <c r="N252" s="55"/>
      <c r="P252" s="58"/>
      <c r="Q252" s="59"/>
      <c r="R252" s="54"/>
      <c r="S252" s="55"/>
    </row>
    <row r="253" spans="11:19" x14ac:dyDescent="0.25">
      <c r="K253" s="58"/>
      <c r="L253" s="59"/>
      <c r="M253" s="54"/>
      <c r="N253" s="55"/>
      <c r="P253" s="58"/>
      <c r="Q253" s="59"/>
      <c r="R253" s="54"/>
      <c r="S253" s="55"/>
    </row>
    <row r="254" spans="11:19" x14ac:dyDescent="0.25">
      <c r="K254" s="58"/>
      <c r="L254" s="59"/>
      <c r="M254" s="54"/>
      <c r="N254" s="55"/>
      <c r="P254" s="58"/>
      <c r="Q254" s="59"/>
      <c r="R254" s="54"/>
      <c r="S254" s="55"/>
    </row>
    <row r="255" spans="11:19" x14ac:dyDescent="0.25">
      <c r="K255" s="58"/>
      <c r="L255" s="59"/>
      <c r="M255" s="54"/>
      <c r="N255" s="55"/>
      <c r="P255" s="58"/>
      <c r="Q255" s="59"/>
      <c r="R255" s="54"/>
      <c r="S255" s="55"/>
    </row>
    <row r="256" spans="11:19" x14ac:dyDescent="0.25">
      <c r="K256" s="58"/>
      <c r="L256" s="59"/>
      <c r="M256" s="54"/>
      <c r="N256" s="55"/>
      <c r="P256" s="58"/>
      <c r="Q256" s="59"/>
      <c r="R256" s="54"/>
      <c r="S256" s="55"/>
    </row>
    <row r="257" spans="11:19" x14ac:dyDescent="0.25">
      <c r="K257" s="58"/>
      <c r="L257" s="59"/>
      <c r="M257" s="54"/>
      <c r="N257" s="55"/>
      <c r="P257" s="58"/>
      <c r="Q257" s="59"/>
      <c r="R257" s="54"/>
      <c r="S257" s="55"/>
    </row>
    <row r="258" spans="11:19" x14ac:dyDescent="0.25">
      <c r="K258" s="58"/>
      <c r="L258" s="59"/>
      <c r="M258" s="54"/>
      <c r="N258" s="55"/>
      <c r="P258" s="58"/>
      <c r="Q258" s="59"/>
      <c r="R258" s="54"/>
      <c r="S258" s="55"/>
    </row>
    <row r="259" spans="11:19" x14ac:dyDescent="0.25">
      <c r="K259" s="58"/>
      <c r="L259" s="59"/>
      <c r="M259" s="54"/>
      <c r="N259" s="55"/>
      <c r="P259" s="58"/>
      <c r="Q259" s="59"/>
      <c r="R259" s="54"/>
      <c r="S259" s="55"/>
    </row>
    <row r="260" spans="11:19" x14ac:dyDescent="0.25">
      <c r="K260" s="58"/>
      <c r="L260" s="59"/>
      <c r="M260" s="54"/>
      <c r="N260" s="55"/>
      <c r="P260" s="58"/>
      <c r="Q260" s="59"/>
      <c r="R260" s="54"/>
      <c r="S260" s="55"/>
    </row>
    <row r="261" spans="11:19" x14ac:dyDescent="0.25">
      <c r="K261" s="58"/>
      <c r="L261" s="59"/>
      <c r="M261" s="54"/>
      <c r="N261" s="55"/>
      <c r="P261" s="58"/>
      <c r="Q261" s="59"/>
      <c r="R261" s="54"/>
      <c r="S261" s="55"/>
    </row>
    <row r="262" spans="11:19" x14ac:dyDescent="0.25">
      <c r="K262" s="58"/>
      <c r="L262" s="59"/>
      <c r="M262" s="54"/>
      <c r="N262" s="55"/>
      <c r="P262" s="58"/>
      <c r="Q262" s="59"/>
      <c r="R262" s="54"/>
      <c r="S262" s="55"/>
    </row>
    <row r="263" spans="11:19" x14ac:dyDescent="0.25">
      <c r="K263" s="58"/>
      <c r="L263" s="59"/>
      <c r="M263" s="54"/>
      <c r="N263" s="55"/>
      <c r="P263" s="58"/>
      <c r="Q263" s="59"/>
      <c r="R263" s="54"/>
      <c r="S263" s="55"/>
    </row>
    <row r="264" spans="11:19" x14ac:dyDescent="0.25">
      <c r="K264" s="58"/>
      <c r="L264" s="59"/>
      <c r="M264" s="54"/>
      <c r="N264" s="55"/>
      <c r="P264" s="58"/>
      <c r="Q264" s="59"/>
      <c r="R264" s="54"/>
      <c r="S264" s="55"/>
    </row>
    <row r="265" spans="11:19" x14ac:dyDescent="0.25">
      <c r="K265" s="58"/>
      <c r="L265" s="59"/>
      <c r="M265" s="54"/>
      <c r="N265" s="55"/>
      <c r="P265" s="58"/>
      <c r="Q265" s="59"/>
      <c r="R265" s="54"/>
      <c r="S265" s="55"/>
    </row>
    <row r="266" spans="11:19" x14ac:dyDescent="0.25">
      <c r="K266" s="58"/>
      <c r="L266" s="59"/>
      <c r="M266" s="54"/>
      <c r="N266" s="55"/>
      <c r="P266" s="58"/>
      <c r="Q266" s="59"/>
      <c r="R266" s="54"/>
      <c r="S266" s="55"/>
    </row>
    <row r="267" spans="11:19" x14ac:dyDescent="0.25">
      <c r="K267" s="58"/>
      <c r="L267" s="59"/>
      <c r="M267" s="54"/>
      <c r="N267" s="55"/>
      <c r="P267" s="58"/>
      <c r="Q267" s="59"/>
      <c r="R267" s="54"/>
      <c r="S267" s="55"/>
    </row>
    <row r="268" spans="11:19" x14ac:dyDescent="0.25">
      <c r="K268" s="58"/>
      <c r="L268" s="59"/>
      <c r="M268" s="54"/>
      <c r="N268" s="55"/>
      <c r="P268" s="58"/>
      <c r="Q268" s="59"/>
      <c r="R268" s="54"/>
      <c r="S268" s="55"/>
    </row>
    <row r="269" spans="11:19" x14ac:dyDescent="0.25">
      <c r="K269" s="58"/>
      <c r="L269" s="59"/>
      <c r="M269" s="54"/>
      <c r="N269" s="55"/>
      <c r="P269" s="58"/>
      <c r="Q269" s="59"/>
      <c r="R269" s="54"/>
      <c r="S269" s="55"/>
    </row>
    <row r="270" spans="11:19" x14ac:dyDescent="0.25">
      <c r="K270" s="58"/>
      <c r="L270" s="59"/>
      <c r="M270" s="54"/>
      <c r="N270" s="55"/>
      <c r="P270" s="58"/>
      <c r="Q270" s="59"/>
      <c r="R270" s="54"/>
      <c r="S270" s="55"/>
    </row>
    <row r="271" spans="11:19" x14ac:dyDescent="0.25">
      <c r="K271" s="58"/>
      <c r="L271" s="59"/>
      <c r="M271" s="54"/>
      <c r="N271" s="55"/>
      <c r="P271" s="58"/>
      <c r="Q271" s="59"/>
      <c r="R271" s="54"/>
      <c r="S271" s="55"/>
    </row>
    <row r="272" spans="11:19" x14ac:dyDescent="0.25">
      <c r="K272" s="58"/>
      <c r="L272" s="59"/>
      <c r="M272" s="54"/>
      <c r="N272" s="55"/>
      <c r="P272" s="58"/>
      <c r="Q272" s="59"/>
      <c r="R272" s="54"/>
      <c r="S272" s="55"/>
    </row>
    <row r="273" spans="11:19" x14ac:dyDescent="0.25">
      <c r="K273" s="58"/>
      <c r="L273" s="59"/>
      <c r="M273" s="54"/>
      <c r="N273" s="55"/>
      <c r="P273" s="58"/>
      <c r="Q273" s="59"/>
      <c r="R273" s="54"/>
      <c r="S273" s="55"/>
    </row>
    <row r="274" spans="11:19" x14ac:dyDescent="0.25">
      <c r="K274" s="58"/>
      <c r="L274" s="59"/>
      <c r="M274" s="54"/>
      <c r="N274" s="55"/>
      <c r="P274" s="58"/>
      <c r="Q274" s="59"/>
      <c r="R274" s="54"/>
      <c r="S274" s="55"/>
    </row>
    <row r="275" spans="11:19" x14ac:dyDescent="0.25">
      <c r="K275" s="58"/>
      <c r="L275" s="59"/>
      <c r="M275" s="54"/>
      <c r="N275" s="55"/>
      <c r="P275" s="58"/>
      <c r="Q275" s="59"/>
      <c r="R275" s="54"/>
      <c r="S275" s="55"/>
    </row>
    <row r="276" spans="11:19" x14ac:dyDescent="0.25">
      <c r="K276" s="58"/>
      <c r="L276" s="59"/>
      <c r="M276" s="54"/>
      <c r="N276" s="55"/>
      <c r="P276" s="58"/>
      <c r="Q276" s="59"/>
      <c r="R276" s="54"/>
      <c r="S276" s="55"/>
    </row>
    <row r="277" spans="11:19" x14ac:dyDescent="0.25">
      <c r="K277" s="58"/>
      <c r="L277" s="59"/>
      <c r="M277" s="54"/>
      <c r="N277" s="55"/>
      <c r="P277" s="58"/>
      <c r="Q277" s="59"/>
      <c r="R277" s="54"/>
      <c r="S277" s="55"/>
    </row>
    <row r="278" spans="11:19" x14ac:dyDescent="0.25">
      <c r="K278" s="58"/>
      <c r="L278" s="59"/>
      <c r="M278" s="54"/>
      <c r="N278" s="55"/>
      <c r="P278" s="58"/>
      <c r="Q278" s="59"/>
      <c r="R278" s="54"/>
      <c r="S278" s="55"/>
    </row>
    <row r="279" spans="11:19" x14ac:dyDescent="0.25">
      <c r="K279" s="58"/>
      <c r="L279" s="59"/>
      <c r="M279" s="54"/>
      <c r="N279" s="55"/>
      <c r="P279" s="58"/>
      <c r="Q279" s="59"/>
      <c r="R279" s="54"/>
      <c r="S279" s="55"/>
    </row>
    <row r="280" spans="11:19" x14ac:dyDescent="0.25">
      <c r="K280" s="58"/>
      <c r="L280" s="59"/>
      <c r="M280" s="54"/>
      <c r="N280" s="55"/>
      <c r="P280" s="58"/>
      <c r="Q280" s="59"/>
      <c r="R280" s="54"/>
      <c r="S280" s="55"/>
    </row>
    <row r="281" spans="11:19" x14ac:dyDescent="0.25">
      <c r="K281" s="58"/>
      <c r="L281" s="59"/>
      <c r="M281" s="54"/>
      <c r="N281" s="55"/>
      <c r="P281" s="58"/>
      <c r="Q281" s="59"/>
      <c r="R281" s="54"/>
      <c r="S281" s="55"/>
    </row>
    <row r="282" spans="11:19" x14ac:dyDescent="0.25">
      <c r="K282" s="58"/>
      <c r="L282" s="59"/>
      <c r="M282" s="54"/>
      <c r="N282" s="55"/>
      <c r="P282" s="58"/>
      <c r="Q282" s="59"/>
      <c r="R282" s="54"/>
      <c r="S282" s="55"/>
    </row>
    <row r="283" spans="11:19" x14ac:dyDescent="0.25">
      <c r="K283" s="58"/>
      <c r="L283" s="59"/>
      <c r="M283" s="54"/>
      <c r="N283" s="55"/>
      <c r="P283" s="58"/>
      <c r="Q283" s="59"/>
      <c r="R283" s="54"/>
      <c r="S283" s="55"/>
    </row>
    <row r="284" spans="11:19" x14ac:dyDescent="0.25">
      <c r="K284" s="58"/>
      <c r="L284" s="59"/>
      <c r="M284" s="54"/>
      <c r="N284" s="55"/>
      <c r="P284" s="58"/>
      <c r="Q284" s="59"/>
      <c r="R284" s="54"/>
      <c r="S284" s="55"/>
    </row>
    <row r="285" spans="11:19" x14ac:dyDescent="0.25">
      <c r="K285" s="58"/>
      <c r="L285" s="59"/>
      <c r="M285" s="54"/>
      <c r="N285" s="55"/>
      <c r="P285" s="58"/>
      <c r="Q285" s="59"/>
      <c r="R285" s="54"/>
      <c r="S285" s="55"/>
    </row>
    <row r="286" spans="11:19" x14ac:dyDescent="0.25">
      <c r="K286" s="58"/>
      <c r="L286" s="59"/>
      <c r="M286" s="54"/>
      <c r="N286" s="55"/>
      <c r="P286" s="58"/>
      <c r="Q286" s="59"/>
      <c r="R286" s="54"/>
      <c r="S286" s="55"/>
    </row>
    <row r="287" spans="11:19" x14ac:dyDescent="0.25">
      <c r="K287" s="58"/>
      <c r="L287" s="59"/>
      <c r="M287" s="54"/>
      <c r="N287" s="55"/>
      <c r="P287" s="58"/>
      <c r="Q287" s="59"/>
      <c r="R287" s="54"/>
      <c r="S287" s="55"/>
    </row>
    <row r="288" spans="11:19" x14ac:dyDescent="0.25">
      <c r="K288" s="58"/>
      <c r="L288" s="59"/>
      <c r="M288" s="54"/>
      <c r="N288" s="55"/>
      <c r="P288" s="58"/>
      <c r="Q288" s="59"/>
      <c r="R288" s="54"/>
      <c r="S288" s="55"/>
    </row>
    <row r="289" spans="11:19" x14ac:dyDescent="0.25">
      <c r="K289" s="58"/>
      <c r="L289" s="59"/>
      <c r="M289" s="54"/>
      <c r="N289" s="55"/>
      <c r="P289" s="58"/>
      <c r="Q289" s="59"/>
      <c r="R289" s="54"/>
      <c r="S289" s="55"/>
    </row>
    <row r="290" spans="11:19" x14ac:dyDescent="0.25">
      <c r="K290" s="58"/>
      <c r="L290" s="59"/>
      <c r="M290" s="54"/>
      <c r="N290" s="55"/>
      <c r="P290" s="58"/>
      <c r="Q290" s="59"/>
      <c r="R290" s="54"/>
      <c r="S290" s="55"/>
    </row>
    <row r="291" spans="11:19" x14ac:dyDescent="0.25">
      <c r="K291" s="58"/>
      <c r="L291" s="59"/>
      <c r="M291" s="54"/>
      <c r="N291" s="55"/>
      <c r="P291" s="58"/>
      <c r="Q291" s="59"/>
      <c r="R291" s="54"/>
      <c r="S291" s="55"/>
    </row>
    <row r="292" spans="11:19" x14ac:dyDescent="0.25">
      <c r="K292" s="58"/>
      <c r="L292" s="59"/>
      <c r="M292" s="54"/>
      <c r="N292" s="55"/>
      <c r="P292" s="58"/>
      <c r="Q292" s="59"/>
      <c r="R292" s="54"/>
      <c r="S292" s="55"/>
    </row>
    <row r="293" spans="11:19" x14ac:dyDescent="0.25">
      <c r="K293" s="58"/>
      <c r="L293" s="59"/>
      <c r="M293" s="54"/>
      <c r="N293" s="55"/>
      <c r="P293" s="58"/>
      <c r="Q293" s="59"/>
      <c r="R293" s="54"/>
      <c r="S293" s="55"/>
    </row>
    <row r="294" spans="11:19" x14ac:dyDescent="0.25">
      <c r="K294" s="58"/>
      <c r="L294" s="59"/>
      <c r="M294" s="54"/>
      <c r="N294" s="55"/>
      <c r="P294" s="58"/>
      <c r="Q294" s="59"/>
      <c r="R294" s="54"/>
      <c r="S294" s="55"/>
    </row>
    <row r="295" spans="11:19" x14ac:dyDescent="0.25">
      <c r="K295" s="58"/>
      <c r="L295" s="59"/>
      <c r="M295" s="54"/>
      <c r="N295" s="55"/>
      <c r="P295" s="58"/>
      <c r="Q295" s="59"/>
      <c r="R295" s="54"/>
      <c r="S295" s="55"/>
    </row>
    <row r="296" spans="11:19" x14ac:dyDescent="0.25">
      <c r="K296" s="58"/>
      <c r="L296" s="59"/>
      <c r="M296" s="54"/>
      <c r="N296" s="55"/>
      <c r="P296" s="58"/>
      <c r="Q296" s="59"/>
      <c r="R296" s="54"/>
      <c r="S296" s="55"/>
    </row>
    <row r="297" spans="11:19" x14ac:dyDescent="0.25">
      <c r="K297" s="58"/>
      <c r="L297" s="59"/>
      <c r="M297" s="54"/>
      <c r="N297" s="55"/>
      <c r="P297" s="58"/>
      <c r="Q297" s="59"/>
      <c r="R297" s="54"/>
      <c r="S297" s="55"/>
    </row>
    <row r="298" spans="11:19" x14ac:dyDescent="0.25">
      <c r="K298" s="58"/>
      <c r="L298" s="59"/>
      <c r="M298" s="54"/>
      <c r="N298" s="55"/>
      <c r="P298" s="58"/>
      <c r="Q298" s="59"/>
      <c r="R298" s="54"/>
      <c r="S298" s="55"/>
    </row>
    <row r="299" spans="11:19" x14ac:dyDescent="0.25">
      <c r="K299" s="58"/>
      <c r="L299" s="59"/>
      <c r="M299" s="54"/>
      <c r="N299" s="55"/>
      <c r="P299" s="58"/>
      <c r="Q299" s="59"/>
      <c r="R299" s="54"/>
      <c r="S299" s="55"/>
    </row>
    <row r="300" spans="11:19" x14ac:dyDescent="0.25">
      <c r="K300" s="58"/>
      <c r="L300" s="59"/>
      <c r="M300" s="54"/>
      <c r="N300" s="55"/>
      <c r="P300" s="58"/>
      <c r="Q300" s="59"/>
      <c r="R300" s="54"/>
      <c r="S300" s="55"/>
    </row>
    <row r="301" spans="11:19" x14ac:dyDescent="0.25">
      <c r="K301" s="58"/>
      <c r="L301" s="59"/>
      <c r="M301" s="54"/>
      <c r="N301" s="55"/>
      <c r="P301" s="58"/>
      <c r="Q301" s="59"/>
      <c r="R301" s="54"/>
      <c r="S301" s="55"/>
    </row>
    <row r="302" spans="11:19" x14ac:dyDescent="0.25">
      <c r="K302" s="58"/>
      <c r="L302" s="59"/>
      <c r="M302" s="54"/>
      <c r="N302" s="55"/>
      <c r="P302" s="58"/>
      <c r="Q302" s="59"/>
      <c r="R302" s="54"/>
      <c r="S302" s="55"/>
    </row>
    <row r="303" spans="11:19" x14ac:dyDescent="0.25">
      <c r="K303" s="58"/>
      <c r="L303" s="59"/>
      <c r="M303" s="54"/>
      <c r="N303" s="55"/>
      <c r="P303" s="58"/>
      <c r="Q303" s="59"/>
      <c r="R303" s="54"/>
      <c r="S303" s="55"/>
    </row>
    <row r="304" spans="11:19" x14ac:dyDescent="0.25">
      <c r="K304" s="58"/>
      <c r="L304" s="59"/>
      <c r="M304" s="54"/>
      <c r="N304" s="55"/>
      <c r="P304" s="58"/>
      <c r="Q304" s="59"/>
      <c r="R304" s="54"/>
      <c r="S304" s="55"/>
    </row>
    <row r="305" spans="11:19" x14ac:dyDescent="0.25">
      <c r="K305" s="58"/>
      <c r="L305" s="59"/>
      <c r="M305" s="54"/>
      <c r="N305" s="55"/>
      <c r="P305" s="58"/>
      <c r="Q305" s="59"/>
      <c r="R305" s="54"/>
      <c r="S305" s="55"/>
    </row>
    <row r="306" spans="11:19" x14ac:dyDescent="0.25">
      <c r="K306" s="58"/>
      <c r="L306" s="59"/>
      <c r="M306" s="54"/>
      <c r="N306" s="55"/>
      <c r="P306" s="58"/>
      <c r="Q306" s="59"/>
      <c r="R306" s="54"/>
      <c r="S306" s="55"/>
    </row>
    <row r="307" spans="11:19" x14ac:dyDescent="0.25">
      <c r="K307" s="58"/>
      <c r="L307" s="59"/>
      <c r="M307" s="54"/>
      <c r="N307" s="55"/>
      <c r="P307" s="58"/>
      <c r="Q307" s="59"/>
      <c r="R307" s="54"/>
      <c r="S307" s="55"/>
    </row>
    <row r="308" spans="11:19" x14ac:dyDescent="0.25">
      <c r="K308" s="58"/>
      <c r="L308" s="59"/>
      <c r="M308" s="54"/>
      <c r="N308" s="55"/>
      <c r="P308" s="58"/>
      <c r="Q308" s="59"/>
      <c r="R308" s="54"/>
      <c r="S308" s="55"/>
    </row>
    <row r="309" spans="11:19" x14ac:dyDescent="0.25">
      <c r="K309" s="58"/>
      <c r="L309" s="59"/>
      <c r="M309" s="54"/>
      <c r="N309" s="55"/>
      <c r="P309" s="58"/>
      <c r="Q309" s="59"/>
      <c r="R309" s="54"/>
      <c r="S309" s="55"/>
    </row>
    <row r="310" spans="11:19" x14ac:dyDescent="0.25">
      <c r="K310" s="58"/>
      <c r="L310" s="59"/>
      <c r="M310" s="54"/>
      <c r="N310" s="55"/>
      <c r="P310" s="58"/>
      <c r="Q310" s="59"/>
      <c r="R310" s="54"/>
      <c r="S310" s="55"/>
    </row>
    <row r="311" spans="11:19" x14ac:dyDescent="0.25">
      <c r="K311" s="58"/>
      <c r="L311" s="59"/>
      <c r="M311" s="54"/>
      <c r="N311" s="55"/>
      <c r="P311" s="58"/>
      <c r="Q311" s="59"/>
      <c r="R311" s="54"/>
      <c r="S311" s="55"/>
    </row>
    <row r="312" spans="11:19" x14ac:dyDescent="0.25">
      <c r="K312" s="58"/>
      <c r="L312" s="59"/>
      <c r="M312" s="54"/>
      <c r="N312" s="55"/>
      <c r="P312" s="58"/>
      <c r="Q312" s="59"/>
      <c r="R312" s="54"/>
      <c r="S312" s="55"/>
    </row>
    <row r="313" spans="11:19" x14ac:dyDescent="0.25">
      <c r="K313" s="58"/>
      <c r="L313" s="59"/>
      <c r="M313" s="54"/>
      <c r="N313" s="55"/>
      <c r="P313" s="58"/>
      <c r="Q313" s="59"/>
      <c r="R313" s="54"/>
      <c r="S313" s="55"/>
    </row>
    <row r="314" spans="11:19" x14ac:dyDescent="0.25">
      <c r="K314" s="58"/>
      <c r="L314" s="59"/>
      <c r="M314" s="54"/>
      <c r="N314" s="55"/>
      <c r="P314" s="58"/>
      <c r="Q314" s="59"/>
      <c r="R314" s="54"/>
      <c r="S314" s="55"/>
    </row>
    <row r="315" spans="11:19" x14ac:dyDescent="0.25">
      <c r="K315" s="58"/>
      <c r="L315" s="59"/>
      <c r="M315" s="54"/>
      <c r="N315" s="55"/>
      <c r="P315" s="58"/>
      <c r="Q315" s="59"/>
      <c r="R315" s="54"/>
      <c r="S315" s="55"/>
    </row>
    <row r="316" spans="11:19" x14ac:dyDescent="0.25">
      <c r="K316" s="58"/>
      <c r="L316" s="59"/>
      <c r="M316" s="54"/>
      <c r="N316" s="55"/>
      <c r="P316" s="58"/>
      <c r="Q316" s="59"/>
      <c r="R316" s="54"/>
      <c r="S316" s="55"/>
    </row>
    <row r="317" spans="11:19" x14ac:dyDescent="0.25">
      <c r="K317" s="58"/>
      <c r="L317" s="59"/>
      <c r="M317" s="54"/>
      <c r="N317" s="55"/>
      <c r="P317" s="58"/>
      <c r="Q317" s="59"/>
      <c r="R317" s="54"/>
      <c r="S317" s="55"/>
    </row>
    <row r="318" spans="11:19" x14ac:dyDescent="0.25">
      <c r="K318" s="58"/>
      <c r="L318" s="59"/>
      <c r="M318" s="54"/>
      <c r="N318" s="55"/>
      <c r="P318" s="58"/>
      <c r="Q318" s="59"/>
      <c r="R318" s="54"/>
      <c r="S318" s="55"/>
    </row>
    <row r="319" spans="11:19" x14ac:dyDescent="0.25">
      <c r="K319" s="58"/>
      <c r="L319" s="59"/>
      <c r="M319" s="54"/>
      <c r="N319" s="55"/>
      <c r="P319" s="58"/>
      <c r="Q319" s="59"/>
      <c r="R319" s="54"/>
      <c r="S319" s="55"/>
    </row>
    <row r="320" spans="11:19" x14ac:dyDescent="0.25">
      <c r="K320" s="58"/>
      <c r="L320" s="59"/>
      <c r="M320" s="54"/>
      <c r="N320" s="55"/>
      <c r="P320" s="58"/>
      <c r="Q320" s="59"/>
      <c r="R320" s="54"/>
      <c r="S320" s="55"/>
    </row>
    <row r="321" spans="11:19" x14ac:dyDescent="0.25">
      <c r="K321" s="58"/>
      <c r="L321" s="59"/>
      <c r="M321" s="54"/>
      <c r="N321" s="55"/>
      <c r="P321" s="58"/>
      <c r="Q321" s="59"/>
      <c r="R321" s="54"/>
      <c r="S321" s="55"/>
    </row>
    <row r="322" spans="11:19" x14ac:dyDescent="0.25">
      <c r="K322" s="58"/>
      <c r="L322" s="59"/>
      <c r="M322" s="54"/>
      <c r="N322" s="55"/>
      <c r="P322" s="58"/>
      <c r="Q322" s="59"/>
      <c r="R322" s="54"/>
      <c r="S322" s="55"/>
    </row>
    <row r="323" spans="11:19" x14ac:dyDescent="0.25">
      <c r="K323" s="58"/>
      <c r="L323" s="59"/>
      <c r="M323" s="54"/>
      <c r="N323" s="55"/>
      <c r="P323" s="58"/>
      <c r="Q323" s="59"/>
      <c r="R323" s="54"/>
      <c r="S323" s="55"/>
    </row>
    <row r="324" spans="11:19" x14ac:dyDescent="0.25">
      <c r="K324" s="58"/>
      <c r="L324" s="59"/>
      <c r="M324" s="54"/>
      <c r="N324" s="55"/>
      <c r="P324" s="58"/>
      <c r="Q324" s="59"/>
      <c r="R324" s="54"/>
      <c r="S324" s="55"/>
    </row>
    <row r="325" spans="11:19" x14ac:dyDescent="0.25">
      <c r="K325" s="58"/>
      <c r="L325" s="59"/>
      <c r="M325" s="54"/>
      <c r="N325" s="55"/>
      <c r="P325" s="58"/>
      <c r="Q325" s="59"/>
      <c r="R325" s="54"/>
      <c r="S325" s="55"/>
    </row>
    <row r="326" spans="11:19" x14ac:dyDescent="0.25">
      <c r="K326" s="58"/>
      <c r="L326" s="59"/>
      <c r="M326" s="54"/>
      <c r="N326" s="55"/>
      <c r="P326" s="58"/>
      <c r="Q326" s="59"/>
      <c r="R326" s="54"/>
      <c r="S326" s="55"/>
    </row>
    <row r="327" spans="11:19" x14ac:dyDescent="0.25">
      <c r="K327" s="58"/>
      <c r="L327" s="59"/>
      <c r="M327" s="54"/>
      <c r="N327" s="55"/>
      <c r="P327" s="58"/>
      <c r="Q327" s="59"/>
      <c r="R327" s="54"/>
      <c r="S327" s="55"/>
    </row>
    <row r="328" spans="11:19" x14ac:dyDescent="0.25">
      <c r="K328" s="58"/>
      <c r="L328" s="59"/>
      <c r="M328" s="54"/>
      <c r="N328" s="55"/>
      <c r="P328" s="58"/>
      <c r="Q328" s="59"/>
      <c r="R328" s="54"/>
      <c r="S328" s="55"/>
    </row>
    <row r="329" spans="11:19" x14ac:dyDescent="0.25">
      <c r="K329" s="58"/>
      <c r="L329" s="59"/>
      <c r="M329" s="54"/>
      <c r="N329" s="55"/>
      <c r="P329" s="58"/>
      <c r="Q329" s="59"/>
      <c r="R329" s="54"/>
      <c r="S329" s="55"/>
    </row>
    <row r="330" spans="11:19" x14ac:dyDescent="0.25">
      <c r="K330" s="58"/>
      <c r="L330" s="59"/>
      <c r="M330" s="54"/>
      <c r="N330" s="55"/>
      <c r="P330" s="58"/>
      <c r="Q330" s="59"/>
      <c r="R330" s="54"/>
      <c r="S330" s="55"/>
    </row>
    <row r="331" spans="11:19" x14ac:dyDescent="0.25">
      <c r="K331" s="58"/>
      <c r="L331" s="59"/>
      <c r="M331" s="54"/>
      <c r="N331" s="55"/>
      <c r="P331" s="58"/>
      <c r="Q331" s="59"/>
      <c r="R331" s="54"/>
      <c r="S331" s="55"/>
    </row>
    <row r="332" spans="11:19" x14ac:dyDescent="0.25">
      <c r="K332" s="58"/>
      <c r="L332" s="59"/>
      <c r="M332" s="54"/>
      <c r="N332" s="55"/>
      <c r="P332" s="58"/>
      <c r="Q332" s="59"/>
      <c r="R332" s="54"/>
      <c r="S332" s="55"/>
    </row>
    <row r="333" spans="11:19" x14ac:dyDescent="0.25">
      <c r="K333" s="58"/>
      <c r="L333" s="59"/>
      <c r="M333" s="54"/>
      <c r="N333" s="55"/>
      <c r="P333" s="58"/>
      <c r="Q333" s="59"/>
      <c r="R333" s="54"/>
      <c r="S333" s="55"/>
    </row>
    <row r="334" spans="11:19" x14ac:dyDescent="0.25">
      <c r="K334" s="58"/>
      <c r="L334" s="59"/>
      <c r="M334" s="54"/>
      <c r="N334" s="55"/>
      <c r="P334" s="58"/>
      <c r="Q334" s="59"/>
      <c r="R334" s="54"/>
      <c r="S334" s="55"/>
    </row>
    <row r="335" spans="11:19" x14ac:dyDescent="0.25">
      <c r="K335" s="58"/>
      <c r="L335" s="59"/>
      <c r="M335" s="54"/>
      <c r="N335" s="55"/>
      <c r="P335" s="58"/>
      <c r="Q335" s="59"/>
      <c r="R335" s="54"/>
      <c r="S335" s="55"/>
    </row>
    <row r="336" spans="11:19" x14ac:dyDescent="0.25">
      <c r="K336" s="58"/>
      <c r="L336" s="59"/>
      <c r="M336" s="54"/>
      <c r="N336" s="55"/>
      <c r="P336" s="58"/>
      <c r="Q336" s="59"/>
      <c r="R336" s="54"/>
      <c r="S336" s="55"/>
    </row>
    <row r="337" spans="11:19" x14ac:dyDescent="0.25">
      <c r="K337" s="58"/>
      <c r="L337" s="59"/>
      <c r="M337" s="54"/>
      <c r="N337" s="55"/>
      <c r="P337" s="58"/>
      <c r="Q337" s="59"/>
      <c r="R337" s="54"/>
      <c r="S337" s="55"/>
    </row>
    <row r="338" spans="11:19" x14ac:dyDescent="0.25">
      <c r="K338" s="58"/>
      <c r="L338" s="59"/>
      <c r="M338" s="54"/>
      <c r="N338" s="55"/>
      <c r="P338" s="58"/>
      <c r="Q338" s="59"/>
      <c r="R338" s="54"/>
      <c r="S338" s="55"/>
    </row>
    <row r="339" spans="11:19" x14ac:dyDescent="0.25">
      <c r="K339" s="58"/>
      <c r="L339" s="59"/>
      <c r="M339" s="54"/>
      <c r="N339" s="55"/>
      <c r="P339" s="58"/>
      <c r="Q339" s="59"/>
      <c r="R339" s="54"/>
      <c r="S339" s="55"/>
    </row>
    <row r="340" spans="11:19" x14ac:dyDescent="0.25">
      <c r="K340" s="58"/>
      <c r="L340" s="59"/>
      <c r="M340" s="54"/>
      <c r="N340" s="55"/>
      <c r="P340" s="58"/>
      <c r="Q340" s="59"/>
      <c r="R340" s="54"/>
      <c r="S340" s="55"/>
    </row>
    <row r="341" spans="11:19" x14ac:dyDescent="0.25">
      <c r="K341" s="58"/>
      <c r="L341" s="59"/>
      <c r="M341" s="54"/>
      <c r="N341" s="55"/>
      <c r="P341" s="58"/>
      <c r="Q341" s="59"/>
      <c r="R341" s="54"/>
      <c r="S341" s="55"/>
    </row>
    <row r="342" spans="11:19" x14ac:dyDescent="0.25">
      <c r="K342" s="58"/>
      <c r="L342" s="59"/>
      <c r="M342" s="54"/>
      <c r="N342" s="55"/>
      <c r="P342" s="58"/>
      <c r="Q342" s="59"/>
      <c r="R342" s="54"/>
      <c r="S342" s="55"/>
    </row>
    <row r="343" spans="11:19" x14ac:dyDescent="0.25">
      <c r="K343" s="58"/>
      <c r="L343" s="59"/>
      <c r="M343" s="54"/>
      <c r="N343" s="55"/>
      <c r="P343" s="58"/>
      <c r="Q343" s="59"/>
      <c r="R343" s="54"/>
      <c r="S343" s="55"/>
    </row>
    <row r="344" spans="11:19" x14ac:dyDescent="0.25">
      <c r="K344" s="58"/>
      <c r="L344" s="59"/>
      <c r="M344" s="54"/>
      <c r="N344" s="55"/>
      <c r="P344" s="58"/>
      <c r="Q344" s="59"/>
      <c r="R344" s="54"/>
      <c r="S344" s="55"/>
    </row>
    <row r="345" spans="11:19" x14ac:dyDescent="0.25">
      <c r="K345" s="58"/>
      <c r="L345" s="59"/>
      <c r="M345" s="54"/>
      <c r="N345" s="55"/>
      <c r="P345" s="58"/>
      <c r="Q345" s="59"/>
      <c r="R345" s="54"/>
      <c r="S345" s="55"/>
    </row>
    <row r="346" spans="11:19" x14ac:dyDescent="0.25">
      <c r="K346" s="58"/>
      <c r="L346" s="59"/>
      <c r="M346" s="54"/>
      <c r="N346" s="55"/>
      <c r="P346" s="58"/>
      <c r="Q346" s="59"/>
      <c r="R346" s="54"/>
      <c r="S346" s="55"/>
    </row>
    <row r="347" spans="11:19" x14ac:dyDescent="0.25">
      <c r="K347" s="58"/>
      <c r="L347" s="59"/>
      <c r="M347" s="54"/>
      <c r="N347" s="55"/>
      <c r="P347" s="58"/>
      <c r="Q347" s="59"/>
      <c r="R347" s="54"/>
      <c r="S347" s="55"/>
    </row>
    <row r="348" spans="11:19" ht="15.75" thickBot="1" x14ac:dyDescent="0.3">
      <c r="K348" s="60"/>
      <c r="L348" s="61"/>
      <c r="M348" s="56"/>
      <c r="N348" s="57"/>
      <c r="P348" s="60"/>
      <c r="Q348" s="61"/>
      <c r="R348" s="56"/>
      <c r="S348" s="57"/>
    </row>
  </sheetData>
  <mergeCells count="4">
    <mergeCell ref="A8:D8"/>
    <mergeCell ref="F8:I8"/>
    <mergeCell ref="K8:N8"/>
    <mergeCell ref="P8:S8"/>
  </mergeCells>
  <conditionalFormatting sqref="G3">
    <cfRule type="cellIs" dxfId="99" priority="5" operator="greaterThan">
      <formula>$J$4</formula>
    </cfRule>
  </conditionalFormatting>
  <conditionalFormatting sqref="T5">
    <cfRule type="cellIs" dxfId="98" priority="1" operator="greaterThan">
      <formula>$T$6</formula>
    </cfRule>
    <cfRule type="cellIs" dxfId="97" priority="4" operator="lessThan">
      <formula>$T$6</formula>
    </cfRule>
  </conditionalFormatting>
  <conditionalFormatting sqref="T6">
    <cfRule type="cellIs" dxfId="96" priority="2" operator="greaterThan">
      <formula>$T$5</formula>
    </cfRule>
    <cfRule type="cellIs" dxfId="95" priority="3" operator="lessThan">
      <formula>$T$5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77ECA7-DBED-45F5-AA87-9A77DBCA8971}">
  <sheetPr codeName="Sheet33"/>
  <dimension ref="A1:T348"/>
  <sheetViews>
    <sheetView zoomScale="90" zoomScaleNormal="90" workbookViewId="0">
      <pane ySplit="9" topLeftCell="A10" activePane="bottomLeft" state="frozen"/>
      <selection pane="bottomLeft" activeCell="E37" sqref="E37"/>
    </sheetView>
  </sheetViews>
  <sheetFormatPr baseColWidth="10" defaultColWidth="9.140625" defaultRowHeight="15" x14ac:dyDescent="0.25"/>
  <cols>
    <col min="2" max="2" width="11.85546875" bestFit="1" customWidth="1"/>
    <col min="3" max="3" width="17.140625" bestFit="1" customWidth="1"/>
    <col min="4" max="4" width="14.5703125" customWidth="1"/>
    <col min="5" max="7" width="14.5703125" bestFit="1" customWidth="1"/>
    <col min="8" max="8" width="18.7109375" bestFit="1" customWidth="1"/>
    <col min="9" max="9" width="16.28515625" bestFit="1" customWidth="1"/>
    <col min="10" max="10" width="14" bestFit="1" customWidth="1"/>
    <col min="12" max="12" width="11.85546875" bestFit="1" customWidth="1"/>
    <col min="13" max="13" width="17.140625" bestFit="1" customWidth="1"/>
    <col min="14" max="14" width="14.42578125" bestFit="1" customWidth="1"/>
    <col min="15" max="15" width="8.7109375" customWidth="1"/>
    <col min="17" max="17" width="14.85546875" bestFit="1" customWidth="1"/>
    <col min="18" max="18" width="17.140625" bestFit="1" customWidth="1"/>
    <col min="19" max="19" width="14.85546875" bestFit="1" customWidth="1"/>
    <col min="20" max="20" width="12.42578125" bestFit="1" customWidth="1"/>
    <col min="22" max="23" width="14.5703125" bestFit="1" customWidth="1"/>
    <col min="24" max="24" width="15.85546875" bestFit="1" customWidth="1"/>
    <col min="26" max="26" width="15.85546875" bestFit="1" customWidth="1"/>
  </cols>
  <sheetData>
    <row r="1" spans="1:20" ht="15.75" thickBot="1" x14ac:dyDescent="0.3">
      <c r="C1" s="1" t="s">
        <v>0</v>
      </c>
      <c r="D1" s="2" t="s">
        <v>1</v>
      </c>
      <c r="E1" s="1" t="s">
        <v>2</v>
      </c>
      <c r="F1" s="2" t="s">
        <v>3</v>
      </c>
      <c r="G1" s="63" t="s">
        <v>4</v>
      </c>
      <c r="H1" s="81" t="s">
        <v>24</v>
      </c>
      <c r="I1" s="66" t="s">
        <v>5</v>
      </c>
      <c r="J1" s="3">
        <v>368</v>
      </c>
      <c r="M1" s="1" t="s">
        <v>5</v>
      </c>
      <c r="N1" s="4" t="s">
        <v>6</v>
      </c>
      <c r="P1" t="s">
        <v>0</v>
      </c>
      <c r="Q1">
        <f>SUM(E10:E54)</f>
        <v>4.5</v>
      </c>
      <c r="R1" t="s">
        <v>2</v>
      </c>
      <c r="S1">
        <f>(M3/M2)*Q1</f>
        <v>3.0000000000000004</v>
      </c>
      <c r="T1">
        <f>S1-2</f>
        <v>1.0000000000000004</v>
      </c>
    </row>
    <row r="2" spans="1:20" ht="15.75" thickBot="1" x14ac:dyDescent="0.3">
      <c r="B2" s="5" t="s">
        <v>7</v>
      </c>
      <c r="C2" s="6">
        <f>SUMPRODUCT(C10:C118,E10:E118)</f>
        <v>3154211.5</v>
      </c>
      <c r="D2" s="7">
        <f>SUMPRODUCT(H10:H118,J10:J118)</f>
        <v>0</v>
      </c>
      <c r="E2" s="6">
        <f>SUMPRODUCT(M10:M348,O10:O348)</f>
        <v>2456298</v>
      </c>
      <c r="F2" s="7">
        <f>SUMPRODUCT(R10:R348,T10:T348)</f>
        <v>0</v>
      </c>
      <c r="G2" s="64">
        <f>C2+D2+E2+F2</f>
        <v>5610509.5</v>
      </c>
      <c r="H2" s="82">
        <v>24786935</v>
      </c>
      <c r="I2" s="67" t="s">
        <v>6</v>
      </c>
      <c r="J2" s="8">
        <v>334</v>
      </c>
      <c r="L2" s="5" t="s">
        <v>8</v>
      </c>
      <c r="M2" s="9">
        <v>0.6</v>
      </c>
      <c r="N2" s="10">
        <v>0.25</v>
      </c>
      <c r="P2" t="s">
        <v>3</v>
      </c>
      <c r="Q2">
        <f>SUM(T10:T64)</f>
        <v>0</v>
      </c>
      <c r="R2" t="s">
        <v>1</v>
      </c>
      <c r="S2">
        <f>(N2/N3)*Q2</f>
        <v>0</v>
      </c>
    </row>
    <row r="3" spans="1:20" ht="15.75" thickBot="1" x14ac:dyDescent="0.3">
      <c r="B3" s="11" t="s">
        <v>9</v>
      </c>
      <c r="C3" s="12">
        <f>SUMPRODUCT(B10:B118,E10:E118)</f>
        <v>136.46739130434781</v>
      </c>
      <c r="D3" s="13">
        <f>SUMPRODUCT(G10:G118,J10:J118)</f>
        <v>0</v>
      </c>
      <c r="E3" s="12">
        <f>SUMPRODUCT(L10:L348,O10:O348)</f>
        <v>90.978260869565219</v>
      </c>
      <c r="F3" s="13">
        <f>SUMPRODUCT(Q10:Q348,T10:T348)</f>
        <v>0</v>
      </c>
      <c r="G3" s="65">
        <f>SUM(C3:F3)</f>
        <v>227.44565217391303</v>
      </c>
      <c r="H3" s="80">
        <f>(H2-G2)/G2</f>
        <v>3.4179472470370116</v>
      </c>
      <c r="I3" s="67" t="s">
        <v>10</v>
      </c>
      <c r="J3" s="8">
        <f>11160</f>
        <v>11160</v>
      </c>
      <c r="L3" s="14" t="s">
        <v>11</v>
      </c>
      <c r="M3" s="15">
        <v>0.4</v>
      </c>
      <c r="N3" s="16">
        <v>0.75</v>
      </c>
      <c r="P3" t="s">
        <v>0</v>
      </c>
      <c r="Q3">
        <v>1</v>
      </c>
      <c r="R3" t="s">
        <v>2</v>
      </c>
      <c r="S3">
        <f>(M3/M2)*Q3</f>
        <v>0.66666666666666674</v>
      </c>
    </row>
    <row r="4" spans="1:20" ht="15.75" thickBot="1" x14ac:dyDescent="0.3">
      <c r="B4" s="14" t="s">
        <v>12</v>
      </c>
      <c r="C4" s="17">
        <f>SUM(E10:E118)*J3</f>
        <v>50220</v>
      </c>
      <c r="D4" s="18">
        <f>SUM(J10:J118)*J3</f>
        <v>0</v>
      </c>
      <c r="E4" s="17">
        <f>SUM(O10:O348)*J3</f>
        <v>33480</v>
      </c>
      <c r="F4" s="18">
        <f>SUM(T10:T348)*J3</f>
        <v>0</v>
      </c>
      <c r="G4" s="19">
        <f>SUM(C4:F4)</f>
        <v>83700</v>
      </c>
      <c r="H4" s="20"/>
      <c r="I4" s="21" t="s">
        <v>13</v>
      </c>
      <c r="J4" s="22">
        <v>100000</v>
      </c>
      <c r="L4" s="5" t="s">
        <v>14</v>
      </c>
      <c r="M4" s="76">
        <f>C4/(C4+E4)</f>
        <v>0.6</v>
      </c>
      <c r="N4" s="77" t="e">
        <f>D4/(D4+F4)</f>
        <v>#DIV/0!</v>
      </c>
      <c r="O4" s="23"/>
      <c r="P4" t="s">
        <v>3</v>
      </c>
      <c r="Q4">
        <v>1</v>
      </c>
      <c r="R4" t="s">
        <v>1</v>
      </c>
      <c r="S4">
        <f>(N2/N3)*Q4</f>
        <v>0.33333333333333331</v>
      </c>
    </row>
    <row r="5" spans="1:20" ht="15.75" thickBot="1" x14ac:dyDescent="0.3">
      <c r="B5" s="24" t="s">
        <v>15</v>
      </c>
      <c r="C5" s="25">
        <v>217620</v>
      </c>
      <c r="D5" s="26">
        <v>74400</v>
      </c>
      <c r="E5" s="27">
        <v>145080</v>
      </c>
      <c r="F5" s="26">
        <v>223200</v>
      </c>
      <c r="G5" s="28">
        <f>SUM(C5:F5)</f>
        <v>660300</v>
      </c>
      <c r="H5" s="20"/>
      <c r="I5" s="20"/>
      <c r="L5" s="29" t="s">
        <v>16</v>
      </c>
      <c r="M5" s="78">
        <f>E4/(C4+E4)</f>
        <v>0.4</v>
      </c>
      <c r="N5" s="79" t="e">
        <f>F4/(D4+F4)</f>
        <v>#DIV/0!</v>
      </c>
      <c r="O5" s="23"/>
      <c r="P5" t="s">
        <v>0</v>
      </c>
      <c r="Q5" s="88">
        <v>18926.378494623656</v>
      </c>
      <c r="R5" t="s">
        <v>2</v>
      </c>
      <c r="S5" s="88">
        <v>25610.590681003585</v>
      </c>
      <c r="T5">
        <f>Q5*Q3+S5*S3</f>
        <v>36000.105615292719</v>
      </c>
    </row>
    <row r="6" spans="1:20" ht="15.75" thickBot="1" x14ac:dyDescent="0.3">
      <c r="B6" s="24" t="s">
        <v>17</v>
      </c>
      <c r="C6" s="27">
        <f>C5-C4</f>
        <v>167400</v>
      </c>
      <c r="D6" s="30">
        <f>D5-D4</f>
        <v>74400</v>
      </c>
      <c r="E6" s="27">
        <f>E5-E4</f>
        <v>111600</v>
      </c>
      <c r="F6" s="30">
        <f>F5-F4</f>
        <v>223200</v>
      </c>
      <c r="H6" s="20"/>
      <c r="I6" s="20"/>
      <c r="J6" s="62"/>
      <c r="N6" s="23"/>
      <c r="O6" s="23"/>
      <c r="P6" t="s">
        <v>3</v>
      </c>
      <c r="Q6" s="88">
        <v>24785.014695340502</v>
      </c>
      <c r="R6" t="s">
        <v>1</v>
      </c>
      <c r="S6" s="88">
        <v>25114.615232974909</v>
      </c>
      <c r="T6">
        <f>Q6*Q4+S6*S4</f>
        <v>33156.55310633214</v>
      </c>
    </row>
    <row r="7" spans="1:20" ht="15.75" thickBot="1" x14ac:dyDescent="0.3"/>
    <row r="8" spans="1:20" ht="15.75" thickBot="1" x14ac:dyDescent="0.3">
      <c r="A8" s="113" t="s">
        <v>18</v>
      </c>
      <c r="B8" s="114"/>
      <c r="C8" s="114"/>
      <c r="D8" s="115"/>
      <c r="E8" s="31"/>
      <c r="F8" s="113" t="s">
        <v>19</v>
      </c>
      <c r="G8" s="114"/>
      <c r="H8" s="114"/>
      <c r="I8" s="115"/>
      <c r="J8" s="31"/>
      <c r="K8" s="113" t="s">
        <v>20</v>
      </c>
      <c r="L8" s="114"/>
      <c r="M8" s="114"/>
      <c r="N8" s="115"/>
      <c r="O8" s="31"/>
      <c r="P8" s="113" t="s">
        <v>21</v>
      </c>
      <c r="Q8" s="114"/>
      <c r="R8" s="114"/>
      <c r="S8" s="115"/>
    </row>
    <row r="9" spans="1:20" ht="15.75" thickBot="1" x14ac:dyDescent="0.3">
      <c r="A9" s="32" t="s">
        <v>22</v>
      </c>
      <c r="B9" s="33" t="s">
        <v>9</v>
      </c>
      <c r="C9" s="33" t="s">
        <v>7</v>
      </c>
      <c r="D9" s="34" t="s">
        <v>23</v>
      </c>
      <c r="E9" s="31"/>
      <c r="F9" s="32" t="s">
        <v>22</v>
      </c>
      <c r="G9" s="33" t="s">
        <v>9</v>
      </c>
      <c r="H9" s="33" t="s">
        <v>7</v>
      </c>
      <c r="I9" s="34" t="s">
        <v>23</v>
      </c>
      <c r="J9" s="31"/>
      <c r="K9" s="32" t="s">
        <v>22</v>
      </c>
      <c r="L9" s="33" t="s">
        <v>9</v>
      </c>
      <c r="M9" s="33" t="s">
        <v>7</v>
      </c>
      <c r="N9" s="34" t="s">
        <v>23</v>
      </c>
      <c r="O9" s="31"/>
      <c r="P9" s="35" t="s">
        <v>22</v>
      </c>
      <c r="Q9" s="36" t="s">
        <v>9</v>
      </c>
      <c r="R9" s="36" t="s">
        <v>7</v>
      </c>
      <c r="S9" s="37" t="s">
        <v>23</v>
      </c>
    </row>
    <row r="10" spans="1:20" x14ac:dyDescent="0.25">
      <c r="A10" s="38">
        <v>15</v>
      </c>
      <c r="B10" s="39">
        <f>$J$3/$J$1</f>
        <v>30.326086956521738</v>
      </c>
      <c r="C10" s="40">
        <v>823261</v>
      </c>
      <c r="D10" s="41">
        <f>C10/B10</f>
        <v>27146.957706093192</v>
      </c>
      <c r="E10">
        <v>1</v>
      </c>
      <c r="F10" s="86">
        <v>9</v>
      </c>
      <c r="G10" s="68">
        <f>$J$3/$J$2</f>
        <v>33.41317365269461</v>
      </c>
      <c r="H10" s="87">
        <v>839159</v>
      </c>
      <c r="I10" s="69">
        <f>H10/G10</f>
        <v>25114.615232974909</v>
      </c>
      <c r="K10" s="38">
        <v>99</v>
      </c>
      <c r="L10" s="39">
        <f>$J$3/$J$1</f>
        <v>30.326086956521738</v>
      </c>
      <c r="M10" s="40">
        <v>891762</v>
      </c>
      <c r="N10" s="41">
        <f>M10/L10</f>
        <v>29405.772043010755</v>
      </c>
      <c r="O10">
        <v>1</v>
      </c>
      <c r="P10" s="86">
        <v>31</v>
      </c>
      <c r="Q10" s="68">
        <f>$J$3/$J$2</f>
        <v>33.41317365269461</v>
      </c>
      <c r="R10" s="87">
        <v>828146</v>
      </c>
      <c r="S10" s="69">
        <f>R10/Q10</f>
        <v>24785.014695340502</v>
      </c>
    </row>
    <row r="11" spans="1:20" x14ac:dyDescent="0.25">
      <c r="A11" s="46">
        <v>4</v>
      </c>
      <c r="B11" s="39">
        <f t="shared" ref="B11:B54" si="0">$J$3/$J$1</f>
        <v>30.326086956521738</v>
      </c>
      <c r="C11" s="47">
        <v>748702</v>
      </c>
      <c r="D11" s="41">
        <f t="shared" ref="D11:D54" si="1">C11/B11</f>
        <v>24688.381362007171</v>
      </c>
      <c r="E11">
        <v>1</v>
      </c>
      <c r="F11" s="58">
        <v>1</v>
      </c>
      <c r="G11" s="68">
        <f t="shared" ref="G11:G54" si="2">$J$3/$J$2</f>
        <v>33.41317365269461</v>
      </c>
      <c r="H11" s="54">
        <v>816679</v>
      </c>
      <c r="I11" s="69">
        <f t="shared" ref="I11:I54" si="3">H11/G11</f>
        <v>24441.826702508963</v>
      </c>
      <c r="K11" s="46">
        <v>22</v>
      </c>
      <c r="L11" s="39">
        <f t="shared" ref="L11:L64" si="4">$J$3/$J$1</f>
        <v>30.326086956521738</v>
      </c>
      <c r="M11" s="47">
        <v>787867</v>
      </c>
      <c r="N11" s="41">
        <f t="shared" ref="N11:N64" si="5">M11/L11</f>
        <v>25979.843727598567</v>
      </c>
      <c r="O11">
        <v>1</v>
      </c>
      <c r="P11" s="58">
        <v>95</v>
      </c>
      <c r="Q11" s="68">
        <f t="shared" ref="Q11:Q64" si="6">$J$3/$J$2</f>
        <v>33.41317365269461</v>
      </c>
      <c r="R11" s="54">
        <v>778683</v>
      </c>
      <c r="S11" s="69">
        <f t="shared" ref="S11:S64" si="7">R11/Q11</f>
        <v>23304.670430107526</v>
      </c>
    </row>
    <row r="12" spans="1:20" x14ac:dyDescent="0.25">
      <c r="A12" s="46">
        <v>75</v>
      </c>
      <c r="B12" s="39">
        <f t="shared" si="0"/>
        <v>30.326086956521738</v>
      </c>
      <c r="C12" s="47">
        <v>700923</v>
      </c>
      <c r="D12" s="41">
        <f t="shared" si="1"/>
        <v>23112.873118279571</v>
      </c>
      <c r="E12">
        <v>1</v>
      </c>
      <c r="F12" s="58">
        <v>3</v>
      </c>
      <c r="G12" s="68">
        <f t="shared" si="2"/>
        <v>33.41317365269461</v>
      </c>
      <c r="H12" s="54">
        <v>637399</v>
      </c>
      <c r="I12" s="69">
        <f t="shared" si="3"/>
        <v>19076.278315412186</v>
      </c>
      <c r="K12" s="46">
        <v>83</v>
      </c>
      <c r="L12" s="39">
        <f t="shared" si="4"/>
        <v>30.326086956521738</v>
      </c>
      <c r="M12" s="47">
        <v>776669</v>
      </c>
      <c r="N12" s="41">
        <f t="shared" si="5"/>
        <v>25610.590681003585</v>
      </c>
      <c r="O12">
        <v>1</v>
      </c>
      <c r="P12" s="58">
        <v>32</v>
      </c>
      <c r="Q12" s="68">
        <f t="shared" si="6"/>
        <v>33.41317365269461</v>
      </c>
      <c r="R12" s="54">
        <v>742165</v>
      </c>
      <c r="S12" s="69">
        <f t="shared" si="7"/>
        <v>22211.748207885306</v>
      </c>
    </row>
    <row r="13" spans="1:20" x14ac:dyDescent="0.25">
      <c r="A13" s="46">
        <v>61</v>
      </c>
      <c r="B13" s="39">
        <f t="shared" si="0"/>
        <v>30.326086956521738</v>
      </c>
      <c r="C13" s="47">
        <v>594344</v>
      </c>
      <c r="D13" s="41">
        <f t="shared" si="1"/>
        <v>19598.440143369175</v>
      </c>
      <c r="E13">
        <v>1</v>
      </c>
      <c r="F13" s="58">
        <v>89</v>
      </c>
      <c r="G13" s="68">
        <f t="shared" si="2"/>
        <v>33.41317365269461</v>
      </c>
      <c r="H13" s="54">
        <v>626952</v>
      </c>
      <c r="I13" s="69">
        <f t="shared" si="3"/>
        <v>18763.617204301077</v>
      </c>
      <c r="K13" s="58">
        <v>57</v>
      </c>
      <c r="L13" s="68">
        <f t="shared" si="4"/>
        <v>30.326086956521738</v>
      </c>
      <c r="M13" s="54">
        <v>764937</v>
      </c>
      <c r="N13" s="69">
        <f t="shared" si="5"/>
        <v>25223.729032258067</v>
      </c>
      <c r="P13" s="58">
        <v>86</v>
      </c>
      <c r="Q13" s="68">
        <f t="shared" si="6"/>
        <v>33.41317365269461</v>
      </c>
      <c r="R13" s="54">
        <v>708838</v>
      </c>
      <c r="S13" s="69">
        <f t="shared" si="7"/>
        <v>21214.327240143371</v>
      </c>
    </row>
    <row r="14" spans="1:20" x14ac:dyDescent="0.25">
      <c r="A14" s="99">
        <v>2</v>
      </c>
      <c r="B14" s="100">
        <f t="shared" si="0"/>
        <v>30.326086956521738</v>
      </c>
      <c r="C14" s="101">
        <v>573963</v>
      </c>
      <c r="D14" s="102">
        <f t="shared" si="1"/>
        <v>18926.378494623656</v>
      </c>
      <c r="E14">
        <v>0.5</v>
      </c>
      <c r="F14" s="58">
        <v>74</v>
      </c>
      <c r="G14" s="68">
        <f t="shared" si="2"/>
        <v>33.41317365269461</v>
      </c>
      <c r="H14" s="54">
        <v>528188</v>
      </c>
      <c r="I14" s="69">
        <f t="shared" si="3"/>
        <v>15807.7770609319</v>
      </c>
      <c r="K14" s="58">
        <v>33</v>
      </c>
      <c r="L14" s="68">
        <f t="shared" si="4"/>
        <v>30.326086956521738</v>
      </c>
      <c r="M14" s="54">
        <v>739492</v>
      </c>
      <c r="N14" s="69">
        <f t="shared" si="5"/>
        <v>24384.682437275987</v>
      </c>
      <c r="P14" s="58">
        <v>44</v>
      </c>
      <c r="Q14" s="68">
        <f t="shared" si="6"/>
        <v>33.41317365269461</v>
      </c>
      <c r="R14" s="54">
        <v>644475</v>
      </c>
      <c r="S14" s="69">
        <f t="shared" si="7"/>
        <v>19288.051075268817</v>
      </c>
    </row>
    <row r="15" spans="1:20" x14ac:dyDescent="0.25">
      <c r="A15" s="58">
        <v>66</v>
      </c>
      <c r="B15" s="68">
        <f t="shared" si="0"/>
        <v>30.326086956521738</v>
      </c>
      <c r="C15" s="54">
        <v>543888</v>
      </c>
      <c r="D15" s="69">
        <f t="shared" si="1"/>
        <v>17934.65806451613</v>
      </c>
      <c r="F15" s="58">
        <v>7</v>
      </c>
      <c r="G15" s="68">
        <f t="shared" si="2"/>
        <v>33.41317365269461</v>
      </c>
      <c r="H15" s="54">
        <v>517706</v>
      </c>
      <c r="I15" s="69">
        <f t="shared" si="3"/>
        <v>15494.068458781363</v>
      </c>
      <c r="K15" s="58">
        <v>34</v>
      </c>
      <c r="L15" s="68">
        <f t="shared" si="4"/>
        <v>30.326086956521738</v>
      </c>
      <c r="M15" s="54">
        <v>706466</v>
      </c>
      <c r="N15" s="69">
        <f t="shared" si="5"/>
        <v>23295.653046594984</v>
      </c>
      <c r="P15" s="58">
        <v>43</v>
      </c>
      <c r="Q15" s="68">
        <f t="shared" si="6"/>
        <v>33.41317365269461</v>
      </c>
      <c r="R15" s="54">
        <v>600711</v>
      </c>
      <c r="S15" s="69">
        <f t="shared" si="7"/>
        <v>17978.268279569893</v>
      </c>
    </row>
    <row r="16" spans="1:20" x14ac:dyDescent="0.25">
      <c r="A16" s="58">
        <v>9</v>
      </c>
      <c r="B16" s="68">
        <f t="shared" si="0"/>
        <v>30.326086956521738</v>
      </c>
      <c r="C16" s="54">
        <v>458407</v>
      </c>
      <c r="D16" s="69">
        <f t="shared" si="1"/>
        <v>15115.929749103943</v>
      </c>
      <c r="F16" s="58">
        <v>16</v>
      </c>
      <c r="G16" s="68">
        <f t="shared" si="2"/>
        <v>33.41317365269461</v>
      </c>
      <c r="H16" s="54">
        <v>471825</v>
      </c>
      <c r="I16" s="69">
        <f t="shared" si="3"/>
        <v>14120.927419354839</v>
      </c>
      <c r="K16" s="58">
        <v>54</v>
      </c>
      <c r="L16" s="68">
        <f t="shared" si="4"/>
        <v>30.326086956521738</v>
      </c>
      <c r="M16" s="54">
        <v>704680</v>
      </c>
      <c r="N16" s="69">
        <f t="shared" si="5"/>
        <v>23236.759856630826</v>
      </c>
      <c r="P16" s="58">
        <v>54</v>
      </c>
      <c r="Q16" s="68">
        <f t="shared" si="6"/>
        <v>33.41317365269461</v>
      </c>
      <c r="R16" s="54">
        <v>600526</v>
      </c>
      <c r="S16" s="69">
        <f t="shared" si="7"/>
        <v>17972.73154121864</v>
      </c>
    </row>
    <row r="17" spans="1:20" x14ac:dyDescent="0.25">
      <c r="A17" s="58">
        <v>6</v>
      </c>
      <c r="B17" s="68">
        <f t="shared" si="0"/>
        <v>30.326086956521738</v>
      </c>
      <c r="C17" s="54">
        <v>413342</v>
      </c>
      <c r="D17" s="69">
        <f t="shared" si="1"/>
        <v>13629.915412186379</v>
      </c>
      <c r="F17" s="58">
        <v>20</v>
      </c>
      <c r="G17" s="68">
        <f t="shared" si="2"/>
        <v>33.41317365269461</v>
      </c>
      <c r="H17" s="54">
        <v>465526</v>
      </c>
      <c r="I17" s="69">
        <f t="shared" si="3"/>
        <v>13932.408960573477</v>
      </c>
      <c r="K17" s="58">
        <v>46</v>
      </c>
      <c r="L17" s="68">
        <f t="shared" si="4"/>
        <v>30.326086956521738</v>
      </c>
      <c r="M17" s="54">
        <v>647685</v>
      </c>
      <c r="N17" s="69">
        <f t="shared" si="5"/>
        <v>21357.354838709678</v>
      </c>
      <c r="P17" s="58">
        <v>33</v>
      </c>
      <c r="Q17" s="68">
        <f t="shared" si="6"/>
        <v>33.41317365269461</v>
      </c>
      <c r="R17" s="54">
        <v>533105</v>
      </c>
      <c r="S17" s="69">
        <f t="shared" si="7"/>
        <v>15954.934587813621</v>
      </c>
    </row>
    <row r="18" spans="1:20" x14ac:dyDescent="0.25">
      <c r="A18" s="58">
        <v>90</v>
      </c>
      <c r="B18" s="68">
        <f t="shared" si="0"/>
        <v>30.326086956521738</v>
      </c>
      <c r="C18" s="54">
        <v>390167</v>
      </c>
      <c r="D18" s="69">
        <f t="shared" si="1"/>
        <v>12865.721863799283</v>
      </c>
      <c r="F18" s="58">
        <v>71</v>
      </c>
      <c r="G18" s="68">
        <f t="shared" si="2"/>
        <v>33.41317365269461</v>
      </c>
      <c r="H18" s="54">
        <v>459240</v>
      </c>
      <c r="I18" s="69">
        <f t="shared" si="3"/>
        <v>13744.279569892473</v>
      </c>
      <c r="K18" s="58">
        <v>35</v>
      </c>
      <c r="L18" s="68">
        <f t="shared" si="4"/>
        <v>30.326086956521738</v>
      </c>
      <c r="M18" s="54">
        <v>520964</v>
      </c>
      <c r="N18" s="69">
        <f t="shared" si="5"/>
        <v>17178.741218637992</v>
      </c>
      <c r="P18" s="58">
        <v>29</v>
      </c>
      <c r="Q18" s="68">
        <f t="shared" si="6"/>
        <v>33.41317365269461</v>
      </c>
      <c r="R18" s="54">
        <v>466819</v>
      </c>
      <c r="S18" s="69">
        <f t="shared" si="7"/>
        <v>13971.106272401434</v>
      </c>
    </row>
    <row r="19" spans="1:20" x14ac:dyDescent="0.25">
      <c r="A19" s="58">
        <v>10</v>
      </c>
      <c r="B19" s="68">
        <f t="shared" si="0"/>
        <v>30.326086956521738</v>
      </c>
      <c r="C19" s="54">
        <v>374487</v>
      </c>
      <c r="D19" s="69">
        <f t="shared" si="1"/>
        <v>12348.675268817206</v>
      </c>
      <c r="F19" s="58">
        <v>73</v>
      </c>
      <c r="G19" s="68">
        <f t="shared" si="2"/>
        <v>33.41317365269461</v>
      </c>
      <c r="H19" s="54">
        <v>435675</v>
      </c>
      <c r="I19" s="69">
        <f t="shared" si="3"/>
        <v>13039.018817204302</v>
      </c>
      <c r="K19" s="58">
        <v>28</v>
      </c>
      <c r="L19" s="68">
        <f t="shared" si="4"/>
        <v>30.326086956521738</v>
      </c>
      <c r="M19" s="54">
        <v>485282</v>
      </c>
      <c r="N19" s="69">
        <f t="shared" si="5"/>
        <v>16002.130465949822</v>
      </c>
      <c r="P19" s="58">
        <v>39</v>
      </c>
      <c r="Q19" s="68">
        <f t="shared" si="6"/>
        <v>33.41317365269461</v>
      </c>
      <c r="R19" s="54">
        <v>443533</v>
      </c>
      <c r="S19" s="69">
        <f t="shared" si="7"/>
        <v>13274.195519713261</v>
      </c>
    </row>
    <row r="20" spans="1:20" x14ac:dyDescent="0.25">
      <c r="A20" s="58">
        <v>72</v>
      </c>
      <c r="B20" s="68">
        <f t="shared" si="0"/>
        <v>30.326086956521738</v>
      </c>
      <c r="C20" s="54">
        <v>339217</v>
      </c>
      <c r="D20" s="69">
        <f t="shared" si="1"/>
        <v>11185.65017921147</v>
      </c>
      <c r="F20" s="95">
        <v>4</v>
      </c>
      <c r="G20" s="96">
        <f t="shared" si="2"/>
        <v>33.41317365269461</v>
      </c>
      <c r="H20" s="97">
        <v>435251</v>
      </c>
      <c r="I20" s="98">
        <f t="shared" si="3"/>
        <v>13026.329211469534</v>
      </c>
      <c r="J20">
        <v>0</v>
      </c>
      <c r="K20" s="58">
        <v>25</v>
      </c>
      <c r="L20" s="68">
        <f t="shared" si="4"/>
        <v>30.326086956521738</v>
      </c>
      <c r="M20" s="54">
        <v>428682</v>
      </c>
      <c r="N20" s="69">
        <f t="shared" si="5"/>
        <v>14135.750537634409</v>
      </c>
      <c r="P20" s="58">
        <v>85</v>
      </c>
      <c r="Q20" s="68">
        <f t="shared" si="6"/>
        <v>33.41317365269461</v>
      </c>
      <c r="R20" s="54">
        <v>400656</v>
      </c>
      <c r="S20" s="69">
        <f t="shared" si="7"/>
        <v>11990.959139784947</v>
      </c>
    </row>
    <row r="21" spans="1:20" x14ac:dyDescent="0.25">
      <c r="A21" s="58">
        <v>63</v>
      </c>
      <c r="B21" s="68">
        <f t="shared" si="0"/>
        <v>30.326086956521738</v>
      </c>
      <c r="C21" s="54">
        <v>148379</v>
      </c>
      <c r="D21" s="69">
        <f t="shared" si="1"/>
        <v>4892.7842293906815</v>
      </c>
      <c r="F21" s="58">
        <v>58</v>
      </c>
      <c r="G21" s="68">
        <f t="shared" si="2"/>
        <v>33.41317365269461</v>
      </c>
      <c r="H21" s="54">
        <v>425212</v>
      </c>
      <c r="I21" s="69">
        <f t="shared" si="3"/>
        <v>12725.878853046595</v>
      </c>
      <c r="K21" s="58">
        <v>53</v>
      </c>
      <c r="L21" s="68">
        <f t="shared" si="4"/>
        <v>30.326086956521738</v>
      </c>
      <c r="M21" s="54">
        <v>427876</v>
      </c>
      <c r="N21" s="69">
        <f t="shared" si="5"/>
        <v>14109.17275985663</v>
      </c>
      <c r="P21" s="58">
        <v>51</v>
      </c>
      <c r="Q21" s="68">
        <f t="shared" si="6"/>
        <v>33.41317365269461</v>
      </c>
      <c r="R21" s="54">
        <v>295735</v>
      </c>
      <c r="S21" s="69">
        <f t="shared" si="7"/>
        <v>8850.8503584229402</v>
      </c>
    </row>
    <row r="22" spans="1:20" x14ac:dyDescent="0.25">
      <c r="A22" s="58">
        <v>5</v>
      </c>
      <c r="B22" s="68">
        <f t="shared" si="0"/>
        <v>30.326086956521738</v>
      </c>
      <c r="C22" s="54">
        <v>135603</v>
      </c>
      <c r="D22" s="69">
        <f t="shared" si="1"/>
        <v>4471.4967741935488</v>
      </c>
      <c r="F22" s="58">
        <v>69</v>
      </c>
      <c r="G22" s="68">
        <f t="shared" si="2"/>
        <v>33.41317365269461</v>
      </c>
      <c r="H22" s="54">
        <v>301059</v>
      </c>
      <c r="I22" s="69">
        <f t="shared" si="3"/>
        <v>9010.188709677419</v>
      </c>
      <c r="K22" s="58">
        <v>30</v>
      </c>
      <c r="L22" s="68">
        <f t="shared" si="4"/>
        <v>30.326086956521738</v>
      </c>
      <c r="M22" s="54">
        <v>412457</v>
      </c>
      <c r="N22" s="69">
        <f t="shared" si="5"/>
        <v>13600.732616487456</v>
      </c>
      <c r="P22" s="58">
        <v>84</v>
      </c>
      <c r="Q22" s="68">
        <f t="shared" si="6"/>
        <v>33.41317365269461</v>
      </c>
      <c r="R22" s="54">
        <v>277116</v>
      </c>
      <c r="S22" s="69">
        <f t="shared" si="7"/>
        <v>8293.6150537634403</v>
      </c>
    </row>
    <row r="23" spans="1:20" x14ac:dyDescent="0.25">
      <c r="A23" s="58">
        <v>89</v>
      </c>
      <c r="B23" s="68">
        <f t="shared" si="0"/>
        <v>30.326086956521738</v>
      </c>
      <c r="C23" s="54">
        <v>43767</v>
      </c>
      <c r="D23" s="69">
        <f t="shared" si="1"/>
        <v>1443.2129032258065</v>
      </c>
      <c r="F23" s="58">
        <v>91</v>
      </c>
      <c r="G23" s="68">
        <f t="shared" si="2"/>
        <v>33.41317365269461</v>
      </c>
      <c r="H23" s="54">
        <v>248437</v>
      </c>
      <c r="I23" s="69">
        <f t="shared" si="3"/>
        <v>7435.3008960573479</v>
      </c>
      <c r="K23" s="58">
        <v>45</v>
      </c>
      <c r="L23" s="68">
        <f t="shared" si="4"/>
        <v>30.326086956521738</v>
      </c>
      <c r="M23" s="54">
        <v>411553</v>
      </c>
      <c r="N23" s="69">
        <f t="shared" si="5"/>
        <v>13570.923297491039</v>
      </c>
      <c r="P23" s="58">
        <v>100</v>
      </c>
      <c r="Q23" s="68">
        <f t="shared" si="6"/>
        <v>33.41317365269461</v>
      </c>
      <c r="R23" s="54">
        <v>196154</v>
      </c>
      <c r="S23" s="69">
        <f t="shared" si="7"/>
        <v>5870.5587813620077</v>
      </c>
    </row>
    <row r="24" spans="1:20" x14ac:dyDescent="0.25">
      <c r="A24" s="58">
        <v>8</v>
      </c>
      <c r="B24" s="68">
        <f t="shared" si="0"/>
        <v>30.326086956521738</v>
      </c>
      <c r="C24" s="54">
        <v>-31569</v>
      </c>
      <c r="D24" s="69">
        <f t="shared" si="1"/>
        <v>-1040.9849462365592</v>
      </c>
      <c r="F24" s="95">
        <v>75</v>
      </c>
      <c r="G24" s="96">
        <f t="shared" si="2"/>
        <v>33.41317365269461</v>
      </c>
      <c r="H24" s="97">
        <v>241104</v>
      </c>
      <c r="I24" s="98">
        <f t="shared" si="3"/>
        <v>7215.8365591397851</v>
      </c>
      <c r="J24">
        <v>0</v>
      </c>
      <c r="K24" s="58">
        <v>43</v>
      </c>
      <c r="L24" s="68">
        <f t="shared" si="4"/>
        <v>30.326086956521738</v>
      </c>
      <c r="M24" s="54">
        <v>287718</v>
      </c>
      <c r="N24" s="69">
        <f t="shared" si="5"/>
        <v>9487.4752688172048</v>
      </c>
      <c r="P24" s="58">
        <v>56</v>
      </c>
      <c r="Q24" s="68">
        <f t="shared" si="6"/>
        <v>33.41317365269461</v>
      </c>
      <c r="R24" s="54">
        <v>175558</v>
      </c>
      <c r="S24" s="69">
        <f t="shared" si="7"/>
        <v>5254.1551971326162</v>
      </c>
    </row>
    <row r="25" spans="1:20" x14ac:dyDescent="0.25">
      <c r="A25" s="58">
        <v>62</v>
      </c>
      <c r="B25" s="68">
        <f t="shared" si="0"/>
        <v>30.326086956521738</v>
      </c>
      <c r="C25" s="54">
        <v>-50310</v>
      </c>
      <c r="D25" s="69">
        <f t="shared" si="1"/>
        <v>-1658.9677419354839</v>
      </c>
      <c r="F25" s="58">
        <v>21</v>
      </c>
      <c r="G25" s="68">
        <f t="shared" si="2"/>
        <v>33.41317365269461</v>
      </c>
      <c r="H25" s="54">
        <v>182068</v>
      </c>
      <c r="I25" s="69">
        <f t="shared" si="3"/>
        <v>5448.9885304659501</v>
      </c>
      <c r="K25" s="58">
        <v>47</v>
      </c>
      <c r="L25" s="68">
        <f t="shared" si="4"/>
        <v>30.326086956521738</v>
      </c>
      <c r="M25" s="54">
        <v>244892</v>
      </c>
      <c r="N25" s="69">
        <f t="shared" si="5"/>
        <v>8075.2917562724015</v>
      </c>
      <c r="P25" s="58">
        <v>24</v>
      </c>
      <c r="Q25" s="68">
        <f t="shared" si="6"/>
        <v>33.41317365269461</v>
      </c>
      <c r="R25" s="54">
        <v>71007</v>
      </c>
      <c r="S25" s="69">
        <f t="shared" si="7"/>
        <v>2125.1198924731184</v>
      </c>
    </row>
    <row r="26" spans="1:20" x14ac:dyDescent="0.25">
      <c r="A26" s="58">
        <v>20</v>
      </c>
      <c r="B26" s="68">
        <f t="shared" si="0"/>
        <v>30.326086956521738</v>
      </c>
      <c r="C26" s="54">
        <v>-55320</v>
      </c>
      <c r="D26" s="69">
        <f t="shared" si="1"/>
        <v>-1824.1720430107528</v>
      </c>
      <c r="F26" s="58">
        <v>59</v>
      </c>
      <c r="G26" s="68">
        <f t="shared" si="2"/>
        <v>33.41317365269461</v>
      </c>
      <c r="H26" s="54">
        <v>167225</v>
      </c>
      <c r="I26" s="69">
        <f t="shared" si="3"/>
        <v>5004.7625448028675</v>
      </c>
      <c r="K26" s="58">
        <v>27</v>
      </c>
      <c r="L26" s="68">
        <f t="shared" si="4"/>
        <v>30.326086956521738</v>
      </c>
      <c r="M26" s="54">
        <v>217246</v>
      </c>
      <c r="N26" s="69">
        <f t="shared" si="5"/>
        <v>7163.6673835125448</v>
      </c>
      <c r="P26" s="58">
        <v>94</v>
      </c>
      <c r="Q26" s="68">
        <f t="shared" si="6"/>
        <v>33.41317365269461</v>
      </c>
      <c r="R26" s="54">
        <v>48569</v>
      </c>
      <c r="S26" s="69">
        <f t="shared" si="7"/>
        <v>1453.5883512544804</v>
      </c>
    </row>
    <row r="27" spans="1:20" x14ac:dyDescent="0.25">
      <c r="A27" s="58">
        <v>14</v>
      </c>
      <c r="B27" s="68">
        <f t="shared" si="0"/>
        <v>30.326086956521738</v>
      </c>
      <c r="C27" s="54">
        <v>-99929</v>
      </c>
      <c r="D27" s="69">
        <f t="shared" si="1"/>
        <v>-3295.1498207885306</v>
      </c>
      <c r="F27" s="58">
        <v>63</v>
      </c>
      <c r="G27" s="68">
        <f t="shared" si="2"/>
        <v>33.41317365269461</v>
      </c>
      <c r="H27" s="54">
        <v>-59023</v>
      </c>
      <c r="I27" s="69">
        <f t="shared" si="3"/>
        <v>-1766.4589605734768</v>
      </c>
      <c r="K27" s="58">
        <v>98</v>
      </c>
      <c r="L27" s="68">
        <f t="shared" si="4"/>
        <v>30.326086956521738</v>
      </c>
      <c r="M27" s="54">
        <v>186371</v>
      </c>
      <c r="N27" s="69">
        <f t="shared" si="5"/>
        <v>6145.5670250896055</v>
      </c>
      <c r="P27" s="58">
        <v>98</v>
      </c>
      <c r="Q27" s="68">
        <f t="shared" si="6"/>
        <v>33.41317365269461</v>
      </c>
      <c r="R27" s="54">
        <v>42432</v>
      </c>
      <c r="S27" s="69">
        <f t="shared" si="7"/>
        <v>1269.9182795698925</v>
      </c>
    </row>
    <row r="28" spans="1:20" x14ac:dyDescent="0.25">
      <c r="A28" s="58">
        <v>59</v>
      </c>
      <c r="B28" s="68">
        <f t="shared" si="0"/>
        <v>30.326086956521738</v>
      </c>
      <c r="C28" s="54">
        <v>-120499</v>
      </c>
      <c r="D28" s="69">
        <f t="shared" si="1"/>
        <v>-3973.4437275985665</v>
      </c>
      <c r="F28" s="58">
        <v>70</v>
      </c>
      <c r="G28" s="68">
        <f t="shared" si="2"/>
        <v>33.41317365269461</v>
      </c>
      <c r="H28" s="54">
        <v>-82956</v>
      </c>
      <c r="I28" s="69">
        <f t="shared" si="3"/>
        <v>-2482.7333333333336</v>
      </c>
      <c r="K28" s="58">
        <v>82</v>
      </c>
      <c r="L28" s="68">
        <f t="shared" si="4"/>
        <v>30.326086956521738</v>
      </c>
      <c r="M28" s="54">
        <v>157735</v>
      </c>
      <c r="N28" s="69">
        <f t="shared" si="5"/>
        <v>5201.2974910394269</v>
      </c>
      <c r="P28" s="58">
        <v>79</v>
      </c>
      <c r="Q28" s="68">
        <f t="shared" si="6"/>
        <v>33.41317365269461</v>
      </c>
      <c r="R28" s="54">
        <v>-17472</v>
      </c>
      <c r="S28" s="69">
        <f t="shared" si="7"/>
        <v>-522.9075268817204</v>
      </c>
    </row>
    <row r="29" spans="1:20" x14ac:dyDescent="0.25">
      <c r="A29" s="58">
        <v>11</v>
      </c>
      <c r="B29" s="68">
        <f t="shared" si="0"/>
        <v>30.326086956521738</v>
      </c>
      <c r="C29" s="54">
        <v>-150180</v>
      </c>
      <c r="D29" s="69">
        <f t="shared" si="1"/>
        <v>-4952.1720430107525</v>
      </c>
      <c r="F29" s="58">
        <v>64</v>
      </c>
      <c r="G29" s="68">
        <f t="shared" si="2"/>
        <v>33.41317365269461</v>
      </c>
      <c r="H29" s="54">
        <v>-163863</v>
      </c>
      <c r="I29" s="69">
        <f t="shared" si="3"/>
        <v>-4904.1435483870973</v>
      </c>
      <c r="K29" s="58">
        <v>39</v>
      </c>
      <c r="L29" s="68">
        <f t="shared" si="4"/>
        <v>30.326086956521738</v>
      </c>
      <c r="M29" s="54">
        <v>75371</v>
      </c>
      <c r="N29" s="69">
        <f t="shared" si="5"/>
        <v>2485.3519713261649</v>
      </c>
      <c r="P29" s="58">
        <v>30</v>
      </c>
      <c r="Q29" s="68">
        <f t="shared" si="6"/>
        <v>33.41317365269461</v>
      </c>
      <c r="R29" s="54">
        <v>-18899</v>
      </c>
      <c r="S29" s="69">
        <f t="shared" si="7"/>
        <v>-565.61523297491044</v>
      </c>
    </row>
    <row r="30" spans="1:20" x14ac:dyDescent="0.25">
      <c r="A30" s="58">
        <v>19</v>
      </c>
      <c r="B30" s="68">
        <f t="shared" si="0"/>
        <v>30.326086956521738</v>
      </c>
      <c r="C30" s="54">
        <v>-212225</v>
      </c>
      <c r="D30" s="69">
        <f t="shared" si="1"/>
        <v>-6998.1003584229393</v>
      </c>
      <c r="F30" s="58">
        <v>8</v>
      </c>
      <c r="G30" s="68">
        <f t="shared" si="2"/>
        <v>33.41317365269461</v>
      </c>
      <c r="H30" s="54">
        <v>-187009</v>
      </c>
      <c r="I30" s="69">
        <f t="shared" si="3"/>
        <v>-5596.8643369175625</v>
      </c>
      <c r="K30" s="58">
        <v>79</v>
      </c>
      <c r="L30" s="68">
        <f t="shared" si="4"/>
        <v>30.326086956521738</v>
      </c>
      <c r="M30" s="54">
        <v>42924</v>
      </c>
      <c r="N30" s="69">
        <f t="shared" si="5"/>
        <v>1415.4150537634409</v>
      </c>
      <c r="P30" s="95">
        <v>99</v>
      </c>
      <c r="Q30" s="96">
        <f t="shared" si="6"/>
        <v>33.41317365269461</v>
      </c>
      <c r="R30" s="97">
        <v>-53380</v>
      </c>
      <c r="S30" s="98">
        <f t="shared" si="7"/>
        <v>-1597.573476702509</v>
      </c>
      <c r="T30">
        <v>0</v>
      </c>
    </row>
    <row r="31" spans="1:20" x14ac:dyDescent="0.25">
      <c r="A31" s="58">
        <v>7</v>
      </c>
      <c r="B31" s="68">
        <f t="shared" si="0"/>
        <v>30.326086956521738</v>
      </c>
      <c r="C31" s="54">
        <v>-425925</v>
      </c>
      <c r="D31" s="69">
        <f t="shared" si="1"/>
        <v>-14044.83870967742</v>
      </c>
      <c r="F31" s="95">
        <v>61</v>
      </c>
      <c r="G31" s="96">
        <f t="shared" si="2"/>
        <v>33.41317365269461</v>
      </c>
      <c r="H31" s="97">
        <v>-223907</v>
      </c>
      <c r="I31" s="98">
        <f t="shared" si="3"/>
        <v>-6701.159318996416</v>
      </c>
      <c r="J31">
        <v>0</v>
      </c>
      <c r="K31" s="58">
        <v>49</v>
      </c>
      <c r="L31" s="68">
        <f t="shared" si="4"/>
        <v>30.326086956521738</v>
      </c>
      <c r="M31" s="54">
        <v>-35135</v>
      </c>
      <c r="N31" s="69">
        <f t="shared" si="5"/>
        <v>-1158.573476702509</v>
      </c>
      <c r="P31" s="58">
        <v>76</v>
      </c>
      <c r="Q31" s="68">
        <f t="shared" si="6"/>
        <v>33.41317365269461</v>
      </c>
      <c r="R31" s="54">
        <v>-134133</v>
      </c>
      <c r="S31" s="69">
        <f t="shared" si="7"/>
        <v>-4014.3747311827956</v>
      </c>
    </row>
    <row r="32" spans="1:20" x14ac:dyDescent="0.25">
      <c r="A32" s="58">
        <v>88</v>
      </c>
      <c r="B32" s="68">
        <f t="shared" si="0"/>
        <v>30.326086956521738</v>
      </c>
      <c r="C32" s="54">
        <v>-426293</v>
      </c>
      <c r="D32" s="69">
        <f t="shared" si="1"/>
        <v>-14056.973476702509</v>
      </c>
      <c r="F32" s="58">
        <v>92</v>
      </c>
      <c r="G32" s="68">
        <f t="shared" si="2"/>
        <v>33.41317365269461</v>
      </c>
      <c r="H32" s="54">
        <v>-299484</v>
      </c>
      <c r="I32" s="69">
        <f t="shared" si="3"/>
        <v>-8963.0516129032258</v>
      </c>
      <c r="K32" s="58">
        <v>86</v>
      </c>
      <c r="L32" s="68">
        <f t="shared" si="4"/>
        <v>30.326086956521738</v>
      </c>
      <c r="M32" s="54">
        <v>-36114</v>
      </c>
      <c r="N32" s="69">
        <f t="shared" si="5"/>
        <v>-1190.8559139784948</v>
      </c>
      <c r="P32" s="58">
        <v>27</v>
      </c>
      <c r="Q32" s="68">
        <f t="shared" si="6"/>
        <v>33.41317365269461</v>
      </c>
      <c r="R32" s="54">
        <v>-237585</v>
      </c>
      <c r="S32" s="69">
        <f t="shared" si="7"/>
        <v>-7110.5188172043008</v>
      </c>
    </row>
    <row r="33" spans="1:20" x14ac:dyDescent="0.25">
      <c r="A33" s="58">
        <v>1</v>
      </c>
      <c r="B33" s="68">
        <f t="shared" si="0"/>
        <v>30.326086956521738</v>
      </c>
      <c r="C33" s="54">
        <v>-436549</v>
      </c>
      <c r="D33" s="69">
        <f t="shared" si="1"/>
        <v>-14395.164157706093</v>
      </c>
      <c r="F33" s="58">
        <v>93</v>
      </c>
      <c r="G33" s="68">
        <f t="shared" si="2"/>
        <v>33.41317365269461</v>
      </c>
      <c r="H33" s="54">
        <v>-392062</v>
      </c>
      <c r="I33" s="69">
        <f t="shared" si="3"/>
        <v>-11733.755197132617</v>
      </c>
      <c r="K33" s="58">
        <v>95</v>
      </c>
      <c r="L33" s="68">
        <f t="shared" si="4"/>
        <v>30.326086956521738</v>
      </c>
      <c r="M33" s="54">
        <v>-117870</v>
      </c>
      <c r="N33" s="69">
        <f t="shared" si="5"/>
        <v>-3886.7526881720432</v>
      </c>
      <c r="P33" s="58">
        <v>49</v>
      </c>
      <c r="Q33" s="68">
        <f t="shared" si="6"/>
        <v>33.41317365269461</v>
      </c>
      <c r="R33" s="54">
        <v>-320509</v>
      </c>
      <c r="S33" s="69">
        <f t="shared" si="7"/>
        <v>-9592.2944444444438</v>
      </c>
    </row>
    <row r="34" spans="1:20" x14ac:dyDescent="0.25">
      <c r="A34" s="58">
        <v>16</v>
      </c>
      <c r="B34" s="68">
        <f t="shared" si="0"/>
        <v>30.326086956521738</v>
      </c>
      <c r="C34" s="54">
        <v>-516654</v>
      </c>
      <c r="D34" s="69">
        <f t="shared" si="1"/>
        <v>-17036.619354838709</v>
      </c>
      <c r="F34" s="58">
        <v>17</v>
      </c>
      <c r="G34" s="68">
        <f t="shared" si="2"/>
        <v>33.41317365269461</v>
      </c>
      <c r="H34" s="54">
        <v>-421127</v>
      </c>
      <c r="I34" s="69">
        <f t="shared" si="3"/>
        <v>-12603.621684587813</v>
      </c>
      <c r="K34" s="58">
        <v>42</v>
      </c>
      <c r="L34" s="68">
        <f t="shared" si="4"/>
        <v>30.326086956521738</v>
      </c>
      <c r="M34" s="54">
        <v>-137859</v>
      </c>
      <c r="N34" s="69">
        <f t="shared" si="5"/>
        <v>-4545.8881720430109</v>
      </c>
      <c r="P34" s="58">
        <v>47</v>
      </c>
      <c r="Q34" s="68">
        <f t="shared" si="6"/>
        <v>33.41317365269461</v>
      </c>
      <c r="R34" s="54">
        <v>-338573</v>
      </c>
      <c r="S34" s="69">
        <f t="shared" si="7"/>
        <v>-10132.919534050179</v>
      </c>
    </row>
    <row r="35" spans="1:20" x14ac:dyDescent="0.25">
      <c r="A35" s="58">
        <v>73</v>
      </c>
      <c r="B35" s="68">
        <f t="shared" si="0"/>
        <v>30.326086956521738</v>
      </c>
      <c r="C35" s="54">
        <v>-526062</v>
      </c>
      <c r="D35" s="69">
        <f t="shared" si="1"/>
        <v>-17346.847311827958</v>
      </c>
      <c r="F35" s="58">
        <v>5</v>
      </c>
      <c r="G35" s="68">
        <f t="shared" si="2"/>
        <v>33.41317365269461</v>
      </c>
      <c r="H35" s="54">
        <v>-473972</v>
      </c>
      <c r="I35" s="69">
        <f t="shared" si="3"/>
        <v>-14185.183512544803</v>
      </c>
      <c r="K35" s="58">
        <v>50</v>
      </c>
      <c r="L35" s="68">
        <f t="shared" si="4"/>
        <v>30.326086956521738</v>
      </c>
      <c r="M35" s="54">
        <v>-141217</v>
      </c>
      <c r="N35" s="69">
        <f t="shared" si="5"/>
        <v>-4656.6179211469534</v>
      </c>
      <c r="P35" s="58">
        <v>34</v>
      </c>
      <c r="Q35" s="68">
        <f t="shared" si="6"/>
        <v>33.41317365269461</v>
      </c>
      <c r="R35" s="54">
        <v>-343537</v>
      </c>
      <c r="S35" s="69">
        <f t="shared" si="7"/>
        <v>-10281.483691756273</v>
      </c>
    </row>
    <row r="36" spans="1:20" x14ac:dyDescent="0.25">
      <c r="A36" s="58">
        <v>69</v>
      </c>
      <c r="B36" s="68">
        <f t="shared" si="0"/>
        <v>30.326086956521738</v>
      </c>
      <c r="C36" s="54">
        <v>-582190</v>
      </c>
      <c r="D36" s="69">
        <f t="shared" si="1"/>
        <v>-19197.663082437277</v>
      </c>
      <c r="F36" s="58">
        <v>67</v>
      </c>
      <c r="G36" s="68">
        <f t="shared" si="2"/>
        <v>33.41317365269461</v>
      </c>
      <c r="H36" s="54">
        <v>-479440</v>
      </c>
      <c r="I36" s="69">
        <f t="shared" si="3"/>
        <v>-14348.831541218638</v>
      </c>
      <c r="K36" s="58">
        <v>24</v>
      </c>
      <c r="L36" s="68">
        <f t="shared" si="4"/>
        <v>30.326086956521738</v>
      </c>
      <c r="M36" s="54">
        <v>-265494</v>
      </c>
      <c r="N36" s="69">
        <f t="shared" si="5"/>
        <v>-8754.6408602150532</v>
      </c>
      <c r="P36" s="58">
        <v>26</v>
      </c>
      <c r="Q36" s="68">
        <f t="shared" si="6"/>
        <v>33.41317365269461</v>
      </c>
      <c r="R36" s="54">
        <v>-410208</v>
      </c>
      <c r="S36" s="69">
        <f t="shared" si="7"/>
        <v>-12276.834408602152</v>
      </c>
    </row>
    <row r="37" spans="1:20" x14ac:dyDescent="0.25">
      <c r="A37" s="58">
        <v>17</v>
      </c>
      <c r="B37" s="68">
        <f t="shared" si="0"/>
        <v>30.326086956521738</v>
      </c>
      <c r="C37" s="54">
        <v>-710390</v>
      </c>
      <c r="D37" s="69">
        <f t="shared" si="1"/>
        <v>-23425.046594982079</v>
      </c>
      <c r="F37" s="58">
        <v>65</v>
      </c>
      <c r="G37" s="68">
        <f t="shared" si="2"/>
        <v>33.41317365269461</v>
      </c>
      <c r="H37" s="54">
        <v>-681880</v>
      </c>
      <c r="I37" s="69">
        <f t="shared" si="3"/>
        <v>-20407.519713261649</v>
      </c>
      <c r="K37" s="58">
        <v>44</v>
      </c>
      <c r="L37" s="68">
        <f t="shared" si="4"/>
        <v>30.326086956521738</v>
      </c>
      <c r="M37" s="54">
        <v>-279807</v>
      </c>
      <c r="N37" s="69">
        <f t="shared" si="5"/>
        <v>-9226.6107526881715</v>
      </c>
      <c r="P37" s="58">
        <v>55</v>
      </c>
      <c r="Q37" s="68">
        <f t="shared" si="6"/>
        <v>33.41317365269461</v>
      </c>
      <c r="R37" s="54">
        <v>-412943</v>
      </c>
      <c r="S37" s="69">
        <f t="shared" si="7"/>
        <v>-12358.688351254481</v>
      </c>
    </row>
    <row r="38" spans="1:20" x14ac:dyDescent="0.25">
      <c r="A38" s="58">
        <v>12</v>
      </c>
      <c r="B38" s="68">
        <f t="shared" si="0"/>
        <v>30.326086956521738</v>
      </c>
      <c r="C38" s="54">
        <v>-753136</v>
      </c>
      <c r="D38" s="69">
        <f t="shared" si="1"/>
        <v>-24834.592114695341</v>
      </c>
      <c r="F38" s="95">
        <v>15</v>
      </c>
      <c r="G38" s="96">
        <f t="shared" si="2"/>
        <v>33.41317365269461</v>
      </c>
      <c r="H38" s="97">
        <v>-737370</v>
      </c>
      <c r="I38" s="98">
        <f t="shared" si="3"/>
        <v>-22068.241935483871</v>
      </c>
      <c r="J38">
        <v>0</v>
      </c>
      <c r="K38" s="58">
        <v>78</v>
      </c>
      <c r="L38" s="68">
        <f t="shared" si="4"/>
        <v>30.326086956521738</v>
      </c>
      <c r="M38" s="54">
        <v>-450754</v>
      </c>
      <c r="N38" s="69">
        <f t="shared" si="5"/>
        <v>-14863.572759856632</v>
      </c>
      <c r="P38" s="95">
        <v>22</v>
      </c>
      <c r="Q38" s="96">
        <f t="shared" si="6"/>
        <v>33.41317365269461</v>
      </c>
      <c r="R38" s="97">
        <v>-443480</v>
      </c>
      <c r="S38" s="98">
        <f t="shared" si="7"/>
        <v>-13272.609318996416</v>
      </c>
      <c r="T38">
        <v>0</v>
      </c>
    </row>
    <row r="39" spans="1:20" x14ac:dyDescent="0.25">
      <c r="A39" s="58">
        <v>58</v>
      </c>
      <c r="B39" s="68">
        <f t="shared" si="0"/>
        <v>30.326086956521738</v>
      </c>
      <c r="C39" s="54">
        <v>-793953</v>
      </c>
      <c r="D39" s="69">
        <f t="shared" si="1"/>
        <v>-26180.529032258066</v>
      </c>
      <c r="F39" s="58">
        <v>6</v>
      </c>
      <c r="G39" s="68">
        <f t="shared" si="2"/>
        <v>33.41317365269461</v>
      </c>
      <c r="H39" s="54">
        <v>-760719</v>
      </c>
      <c r="I39" s="69">
        <f t="shared" si="3"/>
        <v>-22767.038172043012</v>
      </c>
      <c r="K39" s="58">
        <v>81</v>
      </c>
      <c r="L39" s="68">
        <f t="shared" si="4"/>
        <v>30.326086956521738</v>
      </c>
      <c r="M39" s="54">
        <v>-460974</v>
      </c>
      <c r="N39" s="69">
        <f t="shared" si="5"/>
        <v>-15200.576344086023</v>
      </c>
      <c r="P39" s="58">
        <v>97</v>
      </c>
      <c r="Q39" s="68">
        <f t="shared" si="6"/>
        <v>33.41317365269461</v>
      </c>
      <c r="R39" s="54">
        <v>-474669</v>
      </c>
      <c r="S39" s="69">
        <f t="shared" si="7"/>
        <v>-14206.043548387097</v>
      </c>
    </row>
    <row r="40" spans="1:20" x14ac:dyDescent="0.25">
      <c r="A40" s="58">
        <v>68</v>
      </c>
      <c r="B40" s="68">
        <f t="shared" si="0"/>
        <v>30.326086956521738</v>
      </c>
      <c r="C40" s="54">
        <v>-803861</v>
      </c>
      <c r="D40" s="69">
        <f t="shared" si="1"/>
        <v>-26507.244444444445</v>
      </c>
      <c r="F40" s="58">
        <v>18</v>
      </c>
      <c r="G40" s="68">
        <f t="shared" si="2"/>
        <v>33.41317365269461</v>
      </c>
      <c r="H40" s="54">
        <v>-824942</v>
      </c>
      <c r="I40" s="69">
        <f t="shared" si="3"/>
        <v>-24689.124372759856</v>
      </c>
      <c r="K40" s="58">
        <v>48</v>
      </c>
      <c r="L40" s="68">
        <f t="shared" si="4"/>
        <v>30.326086956521738</v>
      </c>
      <c r="M40" s="54">
        <v>-522318</v>
      </c>
      <c r="N40" s="69">
        <f t="shared" si="5"/>
        <v>-17223.389247311829</v>
      </c>
      <c r="P40" s="58">
        <v>57</v>
      </c>
      <c r="Q40" s="68">
        <f t="shared" si="6"/>
        <v>33.41317365269461</v>
      </c>
      <c r="R40" s="54">
        <v>-519769</v>
      </c>
      <c r="S40" s="69">
        <f t="shared" si="7"/>
        <v>-15555.810573476703</v>
      </c>
    </row>
    <row r="41" spans="1:20" x14ac:dyDescent="0.25">
      <c r="A41" s="58">
        <v>60</v>
      </c>
      <c r="B41" s="68">
        <f t="shared" si="0"/>
        <v>30.326086956521738</v>
      </c>
      <c r="C41" s="54">
        <v>-850901</v>
      </c>
      <c r="D41" s="69">
        <f t="shared" si="1"/>
        <v>-28058.384229390682</v>
      </c>
      <c r="F41" s="58">
        <v>11</v>
      </c>
      <c r="G41" s="68">
        <f t="shared" si="2"/>
        <v>33.41317365269461</v>
      </c>
      <c r="H41" s="54">
        <v>-906527</v>
      </c>
      <c r="I41" s="69">
        <f t="shared" si="3"/>
        <v>-27130.825985663083</v>
      </c>
      <c r="K41" s="58">
        <v>87</v>
      </c>
      <c r="L41" s="68">
        <f t="shared" si="4"/>
        <v>30.326086956521738</v>
      </c>
      <c r="M41" s="54">
        <v>-542332</v>
      </c>
      <c r="N41" s="69">
        <f t="shared" si="5"/>
        <v>-17883.349103942652</v>
      </c>
      <c r="P41" s="58">
        <v>35</v>
      </c>
      <c r="Q41" s="68">
        <f t="shared" si="6"/>
        <v>33.41317365269461</v>
      </c>
      <c r="R41" s="54">
        <v>-552149</v>
      </c>
      <c r="S41" s="69">
        <f t="shared" si="7"/>
        <v>-16524.889426523299</v>
      </c>
    </row>
    <row r="42" spans="1:20" x14ac:dyDescent="0.25">
      <c r="A42" s="58">
        <v>74</v>
      </c>
      <c r="B42" s="68">
        <f t="shared" si="0"/>
        <v>30.326086956521738</v>
      </c>
      <c r="C42" s="54">
        <v>-871942</v>
      </c>
      <c r="D42" s="69">
        <f t="shared" si="1"/>
        <v>-28752.209318996418</v>
      </c>
      <c r="F42" s="58">
        <v>14</v>
      </c>
      <c r="G42" s="68">
        <f t="shared" si="2"/>
        <v>33.41317365269461</v>
      </c>
      <c r="H42" s="54">
        <v>-923878</v>
      </c>
      <c r="I42" s="69">
        <f t="shared" si="3"/>
        <v>-27650.112186379931</v>
      </c>
      <c r="K42" s="58">
        <v>41</v>
      </c>
      <c r="L42" s="68">
        <f t="shared" si="4"/>
        <v>30.326086956521738</v>
      </c>
      <c r="M42" s="54">
        <v>-545075</v>
      </c>
      <c r="N42" s="69">
        <f t="shared" si="5"/>
        <v>-17973.799283154123</v>
      </c>
      <c r="P42" s="58">
        <v>81</v>
      </c>
      <c r="Q42" s="68">
        <f t="shared" si="6"/>
        <v>33.41317365269461</v>
      </c>
      <c r="R42" s="54">
        <v>-553719</v>
      </c>
      <c r="S42" s="69">
        <f t="shared" si="7"/>
        <v>-16571.876881720429</v>
      </c>
    </row>
    <row r="43" spans="1:20" x14ac:dyDescent="0.25">
      <c r="A43" s="58">
        <v>71</v>
      </c>
      <c r="B43" s="68">
        <f t="shared" si="0"/>
        <v>30.326086956521738</v>
      </c>
      <c r="C43" s="54">
        <v>-879757</v>
      </c>
      <c r="D43" s="69">
        <f t="shared" si="1"/>
        <v>-29009.908243727601</v>
      </c>
      <c r="F43" s="58">
        <v>90</v>
      </c>
      <c r="G43" s="68">
        <f t="shared" si="2"/>
        <v>33.41317365269461</v>
      </c>
      <c r="H43" s="54">
        <v>-944796</v>
      </c>
      <c r="I43" s="69">
        <f t="shared" si="3"/>
        <v>-28276.152688172042</v>
      </c>
      <c r="K43" s="58">
        <v>23</v>
      </c>
      <c r="L43" s="68">
        <f t="shared" si="4"/>
        <v>30.326086956521738</v>
      </c>
      <c r="M43" s="54">
        <v>-550483</v>
      </c>
      <c r="N43" s="69">
        <f t="shared" si="5"/>
        <v>-18152.127598566309</v>
      </c>
      <c r="P43" s="58">
        <v>25</v>
      </c>
      <c r="Q43" s="68">
        <f t="shared" si="6"/>
        <v>33.41317365269461</v>
      </c>
      <c r="R43" s="54">
        <v>-602771</v>
      </c>
      <c r="S43" s="69">
        <f t="shared" si="7"/>
        <v>-18039.920609318997</v>
      </c>
    </row>
    <row r="44" spans="1:20" x14ac:dyDescent="0.25">
      <c r="A44" s="58">
        <v>13</v>
      </c>
      <c r="B44" s="68">
        <f t="shared" si="0"/>
        <v>30.326086956521738</v>
      </c>
      <c r="C44" s="54">
        <v>-1072053</v>
      </c>
      <c r="D44" s="69">
        <f t="shared" si="1"/>
        <v>-35350.851612903229</v>
      </c>
      <c r="F44" s="58">
        <v>88</v>
      </c>
      <c r="G44" s="68">
        <f t="shared" si="2"/>
        <v>33.41317365269461</v>
      </c>
      <c r="H44" s="54">
        <v>-964689</v>
      </c>
      <c r="I44" s="69">
        <f t="shared" si="3"/>
        <v>-28871.516666666666</v>
      </c>
      <c r="K44" s="58">
        <v>55</v>
      </c>
      <c r="L44" s="68">
        <f t="shared" si="4"/>
        <v>30.326086956521738</v>
      </c>
      <c r="M44" s="54">
        <v>-592287</v>
      </c>
      <c r="N44" s="69">
        <f t="shared" si="5"/>
        <v>-19530.610752688171</v>
      </c>
      <c r="P44" s="58">
        <v>23</v>
      </c>
      <c r="Q44" s="68">
        <f t="shared" si="6"/>
        <v>33.41317365269461</v>
      </c>
      <c r="R44" s="54">
        <v>-625997</v>
      </c>
      <c r="S44" s="69">
        <f t="shared" si="7"/>
        <v>-18735.035663082439</v>
      </c>
    </row>
    <row r="45" spans="1:20" x14ac:dyDescent="0.25">
      <c r="A45" s="58">
        <v>92</v>
      </c>
      <c r="B45" s="68">
        <f t="shared" si="0"/>
        <v>30.326086956521738</v>
      </c>
      <c r="C45" s="54">
        <v>-1105120</v>
      </c>
      <c r="D45" s="69">
        <f t="shared" si="1"/>
        <v>-36441.232974910396</v>
      </c>
      <c r="F45" s="58">
        <v>10</v>
      </c>
      <c r="G45" s="68">
        <f t="shared" si="2"/>
        <v>33.41317365269461</v>
      </c>
      <c r="H45" s="54">
        <v>-1019506</v>
      </c>
      <c r="I45" s="69">
        <f t="shared" si="3"/>
        <v>-30512.097132616487</v>
      </c>
      <c r="K45" s="58">
        <v>31</v>
      </c>
      <c r="L45" s="68">
        <f t="shared" si="4"/>
        <v>30.326086956521738</v>
      </c>
      <c r="M45" s="54">
        <v>-620072</v>
      </c>
      <c r="N45" s="69">
        <f t="shared" si="5"/>
        <v>-20446.818637992834</v>
      </c>
      <c r="P45" s="58">
        <v>78</v>
      </c>
      <c r="Q45" s="68">
        <f t="shared" si="6"/>
        <v>33.41317365269461</v>
      </c>
      <c r="R45" s="54">
        <v>-732192</v>
      </c>
      <c r="S45" s="69">
        <f t="shared" si="7"/>
        <v>-21913.273118279569</v>
      </c>
    </row>
    <row r="46" spans="1:20" x14ac:dyDescent="0.25">
      <c r="A46" s="58">
        <v>21</v>
      </c>
      <c r="B46" s="68">
        <f t="shared" si="0"/>
        <v>30.326086956521738</v>
      </c>
      <c r="C46" s="54">
        <v>-1124143</v>
      </c>
      <c r="D46" s="69">
        <f t="shared" si="1"/>
        <v>-37068.514695340506</v>
      </c>
      <c r="F46" s="99">
        <v>2</v>
      </c>
      <c r="G46" s="100">
        <f t="shared" si="2"/>
        <v>33.41317365269461</v>
      </c>
      <c r="H46" s="101">
        <v>-1048073</v>
      </c>
      <c r="I46" s="102">
        <f t="shared" si="3"/>
        <v>-31367.059318996417</v>
      </c>
      <c r="K46" s="58">
        <v>40</v>
      </c>
      <c r="L46" s="68">
        <f t="shared" si="4"/>
        <v>30.326086956521738</v>
      </c>
      <c r="M46" s="54">
        <v>-658386</v>
      </c>
      <c r="N46" s="69">
        <f t="shared" si="5"/>
        <v>-21710.219354838711</v>
      </c>
      <c r="P46" s="58">
        <v>41</v>
      </c>
      <c r="Q46" s="68">
        <f t="shared" si="6"/>
        <v>33.41317365269461</v>
      </c>
      <c r="R46" s="54">
        <v>-890843</v>
      </c>
      <c r="S46" s="69">
        <f t="shared" si="7"/>
        <v>-26661.430286738352</v>
      </c>
    </row>
    <row r="47" spans="1:20" x14ac:dyDescent="0.25">
      <c r="A47" s="58">
        <v>64</v>
      </c>
      <c r="B47" s="68">
        <f t="shared" si="0"/>
        <v>30.326086956521738</v>
      </c>
      <c r="C47" s="54">
        <v>-1198677</v>
      </c>
      <c r="D47" s="69">
        <f t="shared" si="1"/>
        <v>-39526.26666666667</v>
      </c>
      <c r="F47" s="58">
        <v>12</v>
      </c>
      <c r="G47" s="68">
        <f t="shared" si="2"/>
        <v>33.41317365269461</v>
      </c>
      <c r="H47" s="54">
        <v>-1098022</v>
      </c>
      <c r="I47" s="69">
        <f t="shared" si="3"/>
        <v>-32861.948745519716</v>
      </c>
      <c r="K47" s="58">
        <v>97</v>
      </c>
      <c r="L47" s="68">
        <f t="shared" si="4"/>
        <v>30.326086956521738</v>
      </c>
      <c r="M47" s="54">
        <v>-661431</v>
      </c>
      <c r="N47" s="69">
        <f t="shared" si="5"/>
        <v>-21810.627956989247</v>
      </c>
      <c r="P47" s="58">
        <v>48</v>
      </c>
      <c r="Q47" s="68">
        <f t="shared" si="6"/>
        <v>33.41317365269461</v>
      </c>
      <c r="R47" s="54">
        <v>-914243</v>
      </c>
      <c r="S47" s="69">
        <f t="shared" si="7"/>
        <v>-27361.752867383515</v>
      </c>
    </row>
    <row r="48" spans="1:20" x14ac:dyDescent="0.25">
      <c r="A48" s="58">
        <v>3</v>
      </c>
      <c r="B48" s="68">
        <f t="shared" si="0"/>
        <v>30.326086956521738</v>
      </c>
      <c r="C48" s="54">
        <v>-1231829</v>
      </c>
      <c r="D48" s="69">
        <f t="shared" si="1"/>
        <v>-40619.450896057351</v>
      </c>
      <c r="F48" s="58">
        <v>72</v>
      </c>
      <c r="G48" s="68">
        <f t="shared" si="2"/>
        <v>33.41317365269461</v>
      </c>
      <c r="H48" s="54">
        <v>-1168137</v>
      </c>
      <c r="I48" s="69">
        <f t="shared" si="3"/>
        <v>-34960.372580645162</v>
      </c>
      <c r="K48" s="58">
        <v>56</v>
      </c>
      <c r="L48" s="68">
        <f t="shared" si="4"/>
        <v>30.326086956521738</v>
      </c>
      <c r="M48" s="54">
        <v>-736742</v>
      </c>
      <c r="N48" s="69">
        <f t="shared" si="5"/>
        <v>-24294.001433691756</v>
      </c>
      <c r="P48" s="58">
        <v>96</v>
      </c>
      <c r="Q48" s="68">
        <f t="shared" si="6"/>
        <v>33.41317365269461</v>
      </c>
      <c r="R48" s="54">
        <v>-944950</v>
      </c>
      <c r="S48" s="69">
        <f t="shared" si="7"/>
        <v>-28280.76164874552</v>
      </c>
    </row>
    <row r="49" spans="1:20" x14ac:dyDescent="0.25">
      <c r="A49" s="58">
        <v>70</v>
      </c>
      <c r="B49" s="68">
        <f t="shared" si="0"/>
        <v>30.326086956521738</v>
      </c>
      <c r="C49" s="54">
        <v>-1290356</v>
      </c>
      <c r="D49" s="69">
        <f t="shared" si="1"/>
        <v>-42549.373476702509</v>
      </c>
      <c r="F49" s="58">
        <v>62</v>
      </c>
      <c r="G49" s="68">
        <f t="shared" si="2"/>
        <v>33.41317365269461</v>
      </c>
      <c r="H49" s="54">
        <v>-1177761</v>
      </c>
      <c r="I49" s="69">
        <f t="shared" si="3"/>
        <v>-35248.402688172042</v>
      </c>
      <c r="K49" s="58">
        <v>85</v>
      </c>
      <c r="L49" s="68">
        <f t="shared" si="4"/>
        <v>30.326086956521738</v>
      </c>
      <c r="M49" s="54">
        <v>-789944</v>
      </c>
      <c r="N49" s="69">
        <f t="shared" si="5"/>
        <v>-26048.332616487456</v>
      </c>
      <c r="P49" s="58">
        <v>82</v>
      </c>
      <c r="Q49" s="68">
        <f t="shared" si="6"/>
        <v>33.41317365269461</v>
      </c>
      <c r="R49" s="54">
        <v>-954865</v>
      </c>
      <c r="S49" s="69">
        <f t="shared" si="7"/>
        <v>-28577.500896057347</v>
      </c>
    </row>
    <row r="50" spans="1:20" x14ac:dyDescent="0.25">
      <c r="A50" s="58">
        <v>65</v>
      </c>
      <c r="B50" s="68">
        <f t="shared" si="0"/>
        <v>30.326086956521738</v>
      </c>
      <c r="C50" s="54">
        <v>-1335361</v>
      </c>
      <c r="D50" s="69">
        <f t="shared" si="1"/>
        <v>-44033.409318996419</v>
      </c>
      <c r="F50" s="58">
        <v>19</v>
      </c>
      <c r="G50" s="68">
        <f t="shared" si="2"/>
        <v>33.41317365269461</v>
      </c>
      <c r="H50" s="54">
        <v>-1251057</v>
      </c>
      <c r="I50" s="69">
        <f t="shared" si="3"/>
        <v>-37442.028494623657</v>
      </c>
      <c r="K50" s="58">
        <v>26</v>
      </c>
      <c r="L50" s="68">
        <f t="shared" si="4"/>
        <v>30.326086956521738</v>
      </c>
      <c r="M50" s="54">
        <v>-946136</v>
      </c>
      <c r="N50" s="69">
        <f t="shared" si="5"/>
        <v>-31198.749820788533</v>
      </c>
      <c r="P50" s="58">
        <v>50</v>
      </c>
      <c r="Q50" s="68">
        <f t="shared" si="6"/>
        <v>33.41317365269461</v>
      </c>
      <c r="R50" s="54">
        <v>-1011749</v>
      </c>
      <c r="S50" s="69">
        <f t="shared" si="7"/>
        <v>-30279.943189964157</v>
      </c>
    </row>
    <row r="51" spans="1:20" x14ac:dyDescent="0.25">
      <c r="A51" s="58">
        <v>18</v>
      </c>
      <c r="B51" s="68">
        <f t="shared" si="0"/>
        <v>30.326086956521738</v>
      </c>
      <c r="C51" s="54">
        <v>-1388548</v>
      </c>
      <c r="D51" s="69">
        <f t="shared" si="1"/>
        <v>-45787.2458781362</v>
      </c>
      <c r="F51" s="58">
        <v>68</v>
      </c>
      <c r="G51" s="68">
        <f t="shared" si="2"/>
        <v>33.41317365269461</v>
      </c>
      <c r="H51" s="54">
        <v>-1292553</v>
      </c>
      <c r="I51" s="69">
        <f t="shared" si="3"/>
        <v>-38683.933870967739</v>
      </c>
      <c r="K51" s="58">
        <v>84</v>
      </c>
      <c r="L51" s="68">
        <f t="shared" si="4"/>
        <v>30.326086956521738</v>
      </c>
      <c r="M51" s="54">
        <v>-948146</v>
      </c>
      <c r="N51" s="69">
        <f t="shared" si="5"/>
        <v>-31265.029390681004</v>
      </c>
      <c r="P51" s="58">
        <v>40</v>
      </c>
      <c r="Q51" s="68">
        <f t="shared" si="6"/>
        <v>33.41317365269461</v>
      </c>
      <c r="R51" s="54">
        <v>-1028317</v>
      </c>
      <c r="S51" s="69">
        <f t="shared" si="7"/>
        <v>-30775.795519713261</v>
      </c>
    </row>
    <row r="52" spans="1:20" x14ac:dyDescent="0.25">
      <c r="A52" s="58">
        <v>91</v>
      </c>
      <c r="B52" s="68">
        <f t="shared" si="0"/>
        <v>30.326086956521738</v>
      </c>
      <c r="C52" s="54">
        <v>-1477388</v>
      </c>
      <c r="D52" s="69">
        <f t="shared" si="1"/>
        <v>-48716.736917562725</v>
      </c>
      <c r="F52" s="58">
        <v>60</v>
      </c>
      <c r="G52" s="68">
        <f t="shared" si="2"/>
        <v>33.41317365269461</v>
      </c>
      <c r="H52" s="54">
        <v>-1363928</v>
      </c>
      <c r="I52" s="69">
        <f t="shared" si="3"/>
        <v>-40820.067383512549</v>
      </c>
      <c r="K52" s="58">
        <v>37</v>
      </c>
      <c r="L52" s="68">
        <f t="shared" si="4"/>
        <v>30.326086956521738</v>
      </c>
      <c r="M52" s="54">
        <v>-1123636</v>
      </c>
      <c r="N52" s="69">
        <f t="shared" si="5"/>
        <v>-37051.796415770608</v>
      </c>
      <c r="P52" s="58">
        <v>45</v>
      </c>
      <c r="Q52" s="68">
        <f t="shared" si="6"/>
        <v>33.41317365269461</v>
      </c>
      <c r="R52" s="54">
        <v>-1108132</v>
      </c>
      <c r="S52" s="69">
        <f t="shared" si="7"/>
        <v>-33164.524014336916</v>
      </c>
    </row>
    <row r="53" spans="1:20" x14ac:dyDescent="0.25">
      <c r="A53" s="58">
        <v>67</v>
      </c>
      <c r="B53" s="68">
        <f t="shared" si="0"/>
        <v>30.326086956521738</v>
      </c>
      <c r="C53" s="54">
        <v>-1558535</v>
      </c>
      <c r="D53" s="69">
        <f t="shared" si="1"/>
        <v>-51392.551971326167</v>
      </c>
      <c r="F53" s="58">
        <v>66</v>
      </c>
      <c r="G53" s="68">
        <f t="shared" si="2"/>
        <v>33.41317365269461</v>
      </c>
      <c r="H53" s="54">
        <v>-1541082</v>
      </c>
      <c r="I53" s="69">
        <f t="shared" si="3"/>
        <v>-46121.988172043013</v>
      </c>
      <c r="K53" s="58">
        <v>77</v>
      </c>
      <c r="L53" s="68">
        <f t="shared" si="4"/>
        <v>30.326086956521738</v>
      </c>
      <c r="M53" s="54">
        <v>-1136517</v>
      </c>
      <c r="N53" s="69">
        <f t="shared" si="5"/>
        <v>-37476.546236559137</v>
      </c>
      <c r="P53" s="58">
        <v>37</v>
      </c>
      <c r="Q53" s="68">
        <f t="shared" si="6"/>
        <v>33.41317365269461</v>
      </c>
      <c r="R53" s="54">
        <v>-1231599</v>
      </c>
      <c r="S53" s="69">
        <f t="shared" si="7"/>
        <v>-36859.683333333334</v>
      </c>
    </row>
    <row r="54" spans="1:20" x14ac:dyDescent="0.25">
      <c r="A54" s="58">
        <v>93</v>
      </c>
      <c r="B54" s="68">
        <f t="shared" si="0"/>
        <v>30.326086956521738</v>
      </c>
      <c r="C54" s="54">
        <v>-1560391</v>
      </c>
      <c r="D54" s="69">
        <f t="shared" si="1"/>
        <v>-51453.753405017924</v>
      </c>
      <c r="F54" s="58">
        <v>13</v>
      </c>
      <c r="G54" s="68">
        <f t="shared" si="2"/>
        <v>33.41317365269461</v>
      </c>
      <c r="H54" s="54">
        <v>-1570807</v>
      </c>
      <c r="I54" s="69">
        <f t="shared" si="3"/>
        <v>-47011.607347670251</v>
      </c>
      <c r="K54" s="58">
        <v>94</v>
      </c>
      <c r="L54" s="68">
        <f t="shared" si="4"/>
        <v>30.326086956521738</v>
      </c>
      <c r="M54" s="54">
        <v>-1189690</v>
      </c>
      <c r="N54" s="69">
        <f t="shared" si="5"/>
        <v>-39229.921146953406</v>
      </c>
      <c r="P54" s="58">
        <v>80</v>
      </c>
      <c r="Q54" s="68">
        <f t="shared" si="6"/>
        <v>33.41317365269461</v>
      </c>
      <c r="R54" s="54">
        <v>-1261366</v>
      </c>
      <c r="S54" s="69">
        <f t="shared" si="7"/>
        <v>-37750.559498207884</v>
      </c>
    </row>
    <row r="55" spans="1:20" x14ac:dyDescent="0.25">
      <c r="A55" s="58"/>
      <c r="B55" s="59"/>
      <c r="C55" s="54"/>
      <c r="D55" s="55"/>
      <c r="F55" s="58"/>
      <c r="G55" s="59"/>
      <c r="H55" s="54"/>
      <c r="I55" s="55"/>
      <c r="K55" s="58">
        <v>32</v>
      </c>
      <c r="L55" s="68">
        <f t="shared" si="4"/>
        <v>30.326086956521738</v>
      </c>
      <c r="M55" s="54">
        <v>-1238968</v>
      </c>
      <c r="N55" s="69">
        <f t="shared" si="5"/>
        <v>-40854.858781362011</v>
      </c>
      <c r="P55" s="58">
        <v>52</v>
      </c>
      <c r="Q55" s="68">
        <f t="shared" si="6"/>
        <v>33.41317365269461</v>
      </c>
      <c r="R55" s="54">
        <v>-1306284</v>
      </c>
      <c r="S55" s="69">
        <f t="shared" si="7"/>
        <v>-39094.879569892473</v>
      </c>
    </row>
    <row r="56" spans="1:20" x14ac:dyDescent="0.25">
      <c r="A56" s="58"/>
      <c r="B56" s="59"/>
      <c r="C56" s="54"/>
      <c r="D56" s="55"/>
      <c r="F56" s="58"/>
      <c r="G56" s="59"/>
      <c r="H56" s="54"/>
      <c r="I56" s="55"/>
      <c r="K56" s="58">
        <v>36</v>
      </c>
      <c r="L56" s="68">
        <f t="shared" si="4"/>
        <v>30.326086956521738</v>
      </c>
      <c r="M56" s="54">
        <v>-1281241</v>
      </c>
      <c r="N56" s="69">
        <f t="shared" si="5"/>
        <v>-42248.807168458785</v>
      </c>
      <c r="P56" s="58">
        <v>38</v>
      </c>
      <c r="Q56" s="68">
        <f t="shared" si="6"/>
        <v>33.41317365269461</v>
      </c>
      <c r="R56" s="54">
        <v>-1308829</v>
      </c>
      <c r="S56" s="69">
        <f t="shared" si="7"/>
        <v>-39171.047132616492</v>
      </c>
    </row>
    <row r="57" spans="1:20" x14ac:dyDescent="0.25">
      <c r="A57" s="58"/>
      <c r="B57" s="59"/>
      <c r="C57" s="54"/>
      <c r="D57" s="55"/>
      <c r="F57" s="58"/>
      <c r="G57" s="59"/>
      <c r="H57" s="54"/>
      <c r="I57" s="55"/>
      <c r="K57" s="58">
        <v>29</v>
      </c>
      <c r="L57" s="68">
        <f t="shared" si="4"/>
        <v>30.326086956521738</v>
      </c>
      <c r="M57" s="54">
        <v>-1329121</v>
      </c>
      <c r="N57" s="69">
        <f t="shared" si="5"/>
        <v>-43827.645878136202</v>
      </c>
      <c r="P57" s="58">
        <v>46</v>
      </c>
      <c r="Q57" s="68">
        <f t="shared" si="6"/>
        <v>33.41317365269461</v>
      </c>
      <c r="R57" s="54">
        <v>-1311822</v>
      </c>
      <c r="S57" s="69">
        <f t="shared" si="7"/>
        <v>-39260.622580645162</v>
      </c>
    </row>
    <row r="58" spans="1:20" x14ac:dyDescent="0.25">
      <c r="A58" s="58"/>
      <c r="B58" s="59"/>
      <c r="C58" s="54"/>
      <c r="D58" s="55"/>
      <c r="F58" s="58"/>
      <c r="G58" s="59"/>
      <c r="H58" s="54"/>
      <c r="I58" s="55"/>
      <c r="K58" s="58">
        <v>80</v>
      </c>
      <c r="L58" s="68">
        <f t="shared" si="4"/>
        <v>30.326086956521738</v>
      </c>
      <c r="M58" s="54">
        <v>-1382584</v>
      </c>
      <c r="N58" s="69">
        <f t="shared" si="5"/>
        <v>-45590.583512544807</v>
      </c>
      <c r="P58" s="58">
        <v>53</v>
      </c>
      <c r="Q58" s="68">
        <f t="shared" si="6"/>
        <v>33.41317365269461</v>
      </c>
      <c r="R58" s="54">
        <v>-1316172</v>
      </c>
      <c r="S58" s="69">
        <f t="shared" si="7"/>
        <v>-39390.810752688172</v>
      </c>
    </row>
    <row r="59" spans="1:20" x14ac:dyDescent="0.25">
      <c r="A59" s="58"/>
      <c r="B59" s="59"/>
      <c r="C59" s="54"/>
      <c r="D59" s="55"/>
      <c r="F59" s="58"/>
      <c r="G59" s="59"/>
      <c r="H59" s="54"/>
      <c r="I59" s="55"/>
      <c r="K59" s="58">
        <v>38</v>
      </c>
      <c r="L59" s="68">
        <f t="shared" si="4"/>
        <v>30.326086956521738</v>
      </c>
      <c r="M59" s="54">
        <v>-1454904</v>
      </c>
      <c r="N59" s="69">
        <f t="shared" si="5"/>
        <v>-47975.329032258065</v>
      </c>
      <c r="P59" s="58">
        <v>87</v>
      </c>
      <c r="Q59" s="68">
        <f t="shared" si="6"/>
        <v>33.41317365269461</v>
      </c>
      <c r="R59" s="54">
        <v>-1394051</v>
      </c>
      <c r="S59" s="69">
        <f t="shared" si="7"/>
        <v>-41721.598028673834</v>
      </c>
    </row>
    <row r="60" spans="1:20" x14ac:dyDescent="0.25">
      <c r="A60" s="58"/>
      <c r="B60" s="59"/>
      <c r="C60" s="54"/>
      <c r="D60" s="55"/>
      <c r="F60" s="58"/>
      <c r="G60" s="59"/>
      <c r="H60" s="54"/>
      <c r="I60" s="55"/>
      <c r="K60" s="58">
        <v>96</v>
      </c>
      <c r="L60" s="68">
        <f t="shared" si="4"/>
        <v>30.326086956521738</v>
      </c>
      <c r="M60" s="54">
        <v>-1495940</v>
      </c>
      <c r="N60" s="69">
        <f t="shared" si="5"/>
        <v>-49328.487455197137</v>
      </c>
      <c r="P60" s="58">
        <v>36</v>
      </c>
      <c r="Q60" s="68">
        <f t="shared" si="6"/>
        <v>33.41317365269461</v>
      </c>
      <c r="R60" s="54">
        <v>-1395762</v>
      </c>
      <c r="S60" s="69">
        <f t="shared" si="7"/>
        <v>-41772.805376344084</v>
      </c>
    </row>
    <row r="61" spans="1:20" x14ac:dyDescent="0.25">
      <c r="A61" s="58"/>
      <c r="B61" s="59"/>
      <c r="C61" s="54"/>
      <c r="D61" s="55"/>
      <c r="F61" s="58"/>
      <c r="G61" s="59"/>
      <c r="H61" s="54"/>
      <c r="I61" s="55"/>
      <c r="K61" s="58">
        <v>76</v>
      </c>
      <c r="L61" s="68">
        <f t="shared" si="4"/>
        <v>30.326086956521738</v>
      </c>
      <c r="M61" s="54">
        <v>-1505954</v>
      </c>
      <c r="N61" s="69">
        <f t="shared" si="5"/>
        <v>-49658.698207885303</v>
      </c>
      <c r="P61" s="58">
        <v>42</v>
      </c>
      <c r="Q61" s="68">
        <f t="shared" si="6"/>
        <v>33.41317365269461</v>
      </c>
      <c r="R61" s="54">
        <v>-1449513</v>
      </c>
      <c r="S61" s="69">
        <f t="shared" si="7"/>
        <v>-43381.48225806452</v>
      </c>
    </row>
    <row r="62" spans="1:20" x14ac:dyDescent="0.25">
      <c r="A62" s="58"/>
      <c r="B62" s="59"/>
      <c r="C62" s="54"/>
      <c r="D62" s="55"/>
      <c r="F62" s="58"/>
      <c r="G62" s="59"/>
      <c r="H62" s="54"/>
      <c r="I62" s="55"/>
      <c r="K62" s="58">
        <v>52</v>
      </c>
      <c r="L62" s="68">
        <f t="shared" si="4"/>
        <v>30.326086956521738</v>
      </c>
      <c r="M62" s="54">
        <v>-1572435</v>
      </c>
      <c r="N62" s="69">
        <f t="shared" si="5"/>
        <v>-51850.903225806454</v>
      </c>
      <c r="P62" s="58">
        <v>28</v>
      </c>
      <c r="Q62" s="68">
        <f t="shared" si="6"/>
        <v>33.41317365269461</v>
      </c>
      <c r="R62" s="54">
        <v>-1475625</v>
      </c>
      <c r="S62" s="69">
        <f t="shared" si="7"/>
        <v>-44162.970430107525</v>
      </c>
    </row>
    <row r="63" spans="1:20" x14ac:dyDescent="0.25">
      <c r="A63" s="58"/>
      <c r="B63" s="59"/>
      <c r="C63" s="54"/>
      <c r="D63" s="55"/>
      <c r="F63" s="58"/>
      <c r="G63" s="59"/>
      <c r="H63" s="54"/>
      <c r="I63" s="55"/>
      <c r="K63" s="58">
        <v>100</v>
      </c>
      <c r="L63" s="68">
        <f t="shared" si="4"/>
        <v>30.326086956521738</v>
      </c>
      <c r="M63" s="54">
        <v>-1597710</v>
      </c>
      <c r="N63" s="69">
        <f t="shared" si="5"/>
        <v>-52684.344086021505</v>
      </c>
      <c r="P63" s="95">
        <v>83</v>
      </c>
      <c r="Q63" s="96">
        <f t="shared" si="6"/>
        <v>33.41317365269461</v>
      </c>
      <c r="R63" s="97">
        <v>-1533913</v>
      </c>
      <c r="S63" s="98">
        <f t="shared" si="7"/>
        <v>-45907.432078853046</v>
      </c>
      <c r="T63">
        <v>0</v>
      </c>
    </row>
    <row r="64" spans="1:20" x14ac:dyDescent="0.25">
      <c r="A64" s="58"/>
      <c r="B64" s="59"/>
      <c r="C64" s="54"/>
      <c r="D64" s="55"/>
      <c r="F64" s="58"/>
      <c r="G64" s="59"/>
      <c r="H64" s="54"/>
      <c r="I64" s="55"/>
      <c r="K64" s="58">
        <v>51</v>
      </c>
      <c r="L64" s="68">
        <f t="shared" si="4"/>
        <v>30.326086956521738</v>
      </c>
      <c r="M64" s="54">
        <v>-1602000</v>
      </c>
      <c r="N64" s="69">
        <f t="shared" si="5"/>
        <v>-52825.806451612902</v>
      </c>
      <c r="P64" s="58">
        <v>77</v>
      </c>
      <c r="Q64" s="68">
        <f t="shared" si="6"/>
        <v>33.41317365269461</v>
      </c>
      <c r="R64" s="54">
        <v>-1545855</v>
      </c>
      <c r="S64" s="69">
        <f t="shared" si="7"/>
        <v>-46264.836021505376</v>
      </c>
    </row>
    <row r="65" spans="1:19" x14ac:dyDescent="0.25">
      <c r="A65" s="58"/>
      <c r="B65" s="59"/>
      <c r="C65" s="54"/>
      <c r="D65" s="55"/>
      <c r="F65" s="58"/>
      <c r="G65" s="59"/>
      <c r="H65" s="54"/>
      <c r="I65" s="55"/>
      <c r="K65" s="58"/>
      <c r="L65" s="59"/>
      <c r="M65" s="54"/>
      <c r="N65" s="55"/>
      <c r="P65" s="58"/>
      <c r="Q65" s="59"/>
      <c r="R65" s="54"/>
      <c r="S65" s="55"/>
    </row>
    <row r="66" spans="1:19" x14ac:dyDescent="0.25">
      <c r="A66" s="58"/>
      <c r="B66" s="59"/>
      <c r="C66" s="54"/>
      <c r="D66" s="55"/>
      <c r="F66" s="58"/>
      <c r="G66" s="59"/>
      <c r="H66" s="54"/>
      <c r="I66" s="55"/>
      <c r="K66" s="58"/>
      <c r="L66" s="59"/>
      <c r="M66" s="54"/>
      <c r="N66" s="55"/>
      <c r="P66" s="58"/>
      <c r="Q66" s="59"/>
      <c r="R66" s="54"/>
      <c r="S66" s="55"/>
    </row>
    <row r="67" spans="1:19" x14ac:dyDescent="0.25">
      <c r="A67" s="58"/>
      <c r="B67" s="59"/>
      <c r="C67" s="54"/>
      <c r="D67" s="55"/>
      <c r="F67" s="58"/>
      <c r="G67" s="59"/>
      <c r="H67" s="54"/>
      <c r="I67" s="55"/>
      <c r="K67" s="58"/>
      <c r="L67" s="59"/>
      <c r="M67" s="54"/>
      <c r="N67" s="55"/>
      <c r="P67" s="58"/>
      <c r="Q67" s="59"/>
      <c r="R67" s="54"/>
      <c r="S67" s="55"/>
    </row>
    <row r="68" spans="1:19" x14ac:dyDescent="0.25">
      <c r="A68" s="58"/>
      <c r="B68" s="59"/>
      <c r="C68" s="54"/>
      <c r="D68" s="55"/>
      <c r="F68" s="58"/>
      <c r="G68" s="59"/>
      <c r="H68" s="54"/>
      <c r="I68" s="55"/>
      <c r="K68" s="58"/>
      <c r="L68" s="59"/>
      <c r="M68" s="54"/>
      <c r="N68" s="55"/>
      <c r="P68" s="58"/>
      <c r="Q68" s="59"/>
      <c r="R68" s="54"/>
      <c r="S68" s="55"/>
    </row>
    <row r="69" spans="1:19" x14ac:dyDescent="0.25">
      <c r="A69" s="58"/>
      <c r="B69" s="59"/>
      <c r="C69" s="54"/>
      <c r="D69" s="55"/>
      <c r="F69" s="58"/>
      <c r="G69" s="59"/>
      <c r="H69" s="54"/>
      <c r="I69" s="55"/>
      <c r="K69" s="58"/>
      <c r="L69" s="59"/>
      <c r="M69" s="54"/>
      <c r="N69" s="55"/>
      <c r="P69" s="58"/>
      <c r="Q69" s="59"/>
      <c r="R69" s="54"/>
      <c r="S69" s="55"/>
    </row>
    <row r="70" spans="1:19" x14ac:dyDescent="0.25">
      <c r="A70" s="58"/>
      <c r="B70" s="59"/>
      <c r="C70" s="54"/>
      <c r="D70" s="55"/>
      <c r="F70" s="58"/>
      <c r="G70" s="59"/>
      <c r="H70" s="54"/>
      <c r="I70" s="55"/>
      <c r="K70" s="58"/>
      <c r="L70" s="59"/>
      <c r="M70" s="54"/>
      <c r="N70" s="55"/>
      <c r="P70" s="58"/>
      <c r="Q70" s="59"/>
      <c r="R70" s="54"/>
      <c r="S70" s="55"/>
    </row>
    <row r="71" spans="1:19" x14ac:dyDescent="0.25">
      <c r="A71" s="58"/>
      <c r="B71" s="59"/>
      <c r="C71" s="54"/>
      <c r="D71" s="55"/>
      <c r="F71" s="58"/>
      <c r="G71" s="59"/>
      <c r="H71" s="54"/>
      <c r="I71" s="55"/>
      <c r="K71" s="58"/>
      <c r="L71" s="59"/>
      <c r="M71" s="54"/>
      <c r="N71" s="55"/>
      <c r="P71" s="58"/>
      <c r="Q71" s="59"/>
      <c r="R71" s="54"/>
      <c r="S71" s="55"/>
    </row>
    <row r="72" spans="1:19" x14ac:dyDescent="0.25">
      <c r="A72" s="58"/>
      <c r="B72" s="59"/>
      <c r="C72" s="54"/>
      <c r="D72" s="55"/>
      <c r="F72" s="58"/>
      <c r="G72" s="59"/>
      <c r="H72" s="54"/>
      <c r="I72" s="55"/>
      <c r="K72" s="58"/>
      <c r="L72" s="59"/>
      <c r="M72" s="54"/>
      <c r="N72" s="55"/>
      <c r="P72" s="58"/>
      <c r="Q72" s="59"/>
      <c r="R72" s="54"/>
      <c r="S72" s="55"/>
    </row>
    <row r="73" spans="1:19" x14ac:dyDescent="0.25">
      <c r="A73" s="58"/>
      <c r="B73" s="59"/>
      <c r="C73" s="54"/>
      <c r="D73" s="55"/>
      <c r="F73" s="58"/>
      <c r="G73" s="59"/>
      <c r="H73" s="54"/>
      <c r="I73" s="55"/>
      <c r="K73" s="58"/>
      <c r="L73" s="59"/>
      <c r="M73" s="54"/>
      <c r="N73" s="55"/>
      <c r="P73" s="58"/>
      <c r="Q73" s="59"/>
      <c r="R73" s="54"/>
      <c r="S73" s="55"/>
    </row>
    <row r="74" spans="1:19" x14ac:dyDescent="0.25">
      <c r="A74" s="58"/>
      <c r="B74" s="59"/>
      <c r="C74" s="54"/>
      <c r="D74" s="55"/>
      <c r="F74" s="58"/>
      <c r="G74" s="59"/>
      <c r="H74" s="54"/>
      <c r="I74" s="55"/>
      <c r="K74" s="58"/>
      <c r="L74" s="59"/>
      <c r="M74" s="54"/>
      <c r="N74" s="55"/>
      <c r="P74" s="58"/>
      <c r="Q74" s="59"/>
      <c r="R74" s="54"/>
      <c r="S74" s="55"/>
    </row>
    <row r="75" spans="1:19" x14ac:dyDescent="0.25">
      <c r="A75" s="58"/>
      <c r="B75" s="59"/>
      <c r="C75" s="54"/>
      <c r="D75" s="55"/>
      <c r="F75" s="58"/>
      <c r="G75" s="59"/>
      <c r="H75" s="54"/>
      <c r="I75" s="55"/>
      <c r="K75" s="58"/>
      <c r="L75" s="59"/>
      <c r="M75" s="54"/>
      <c r="N75" s="55"/>
      <c r="P75" s="58"/>
      <c r="Q75" s="59"/>
      <c r="R75" s="54"/>
      <c r="S75" s="55"/>
    </row>
    <row r="76" spans="1:19" x14ac:dyDescent="0.25">
      <c r="A76" s="58"/>
      <c r="B76" s="59"/>
      <c r="C76" s="54"/>
      <c r="D76" s="55"/>
      <c r="F76" s="58"/>
      <c r="G76" s="59"/>
      <c r="H76" s="54"/>
      <c r="I76" s="55"/>
      <c r="K76" s="58"/>
      <c r="L76" s="59"/>
      <c r="M76" s="54"/>
      <c r="N76" s="55"/>
      <c r="P76" s="58"/>
      <c r="Q76" s="59"/>
      <c r="R76" s="54"/>
      <c r="S76" s="55"/>
    </row>
    <row r="77" spans="1:19" x14ac:dyDescent="0.25">
      <c r="A77" s="58"/>
      <c r="B77" s="59"/>
      <c r="C77" s="54"/>
      <c r="D77" s="55"/>
      <c r="F77" s="58"/>
      <c r="G77" s="59"/>
      <c r="H77" s="54"/>
      <c r="I77" s="55"/>
      <c r="K77" s="58"/>
      <c r="L77" s="59"/>
      <c r="M77" s="54"/>
      <c r="N77" s="55"/>
      <c r="P77" s="58"/>
      <c r="Q77" s="59"/>
      <c r="R77" s="54"/>
      <c r="S77" s="55"/>
    </row>
    <row r="78" spans="1:19" x14ac:dyDescent="0.25">
      <c r="A78" s="58"/>
      <c r="B78" s="59"/>
      <c r="C78" s="54"/>
      <c r="D78" s="55"/>
      <c r="F78" s="58"/>
      <c r="G78" s="59"/>
      <c r="H78" s="54"/>
      <c r="I78" s="55"/>
      <c r="K78" s="58"/>
      <c r="L78" s="59"/>
      <c r="M78" s="54"/>
      <c r="N78" s="55"/>
      <c r="P78" s="58"/>
      <c r="Q78" s="59"/>
      <c r="R78" s="54"/>
      <c r="S78" s="55"/>
    </row>
    <row r="79" spans="1:19" x14ac:dyDescent="0.25">
      <c r="A79" s="58"/>
      <c r="B79" s="59"/>
      <c r="C79" s="54"/>
      <c r="D79" s="55"/>
      <c r="F79" s="58"/>
      <c r="G79" s="59"/>
      <c r="H79" s="54"/>
      <c r="I79" s="55"/>
      <c r="K79" s="58"/>
      <c r="L79" s="59"/>
      <c r="M79" s="54"/>
      <c r="N79" s="55"/>
      <c r="P79" s="58"/>
      <c r="Q79" s="59"/>
      <c r="R79" s="54"/>
      <c r="S79" s="55"/>
    </row>
    <row r="80" spans="1:19" x14ac:dyDescent="0.25">
      <c r="A80" s="58"/>
      <c r="B80" s="59"/>
      <c r="C80" s="54"/>
      <c r="D80" s="55"/>
      <c r="F80" s="58"/>
      <c r="G80" s="59"/>
      <c r="H80" s="54"/>
      <c r="I80" s="55"/>
      <c r="K80" s="58"/>
      <c r="L80" s="59"/>
      <c r="M80" s="54"/>
      <c r="N80" s="55"/>
      <c r="P80" s="58"/>
      <c r="Q80" s="59"/>
      <c r="R80" s="54"/>
      <c r="S80" s="55"/>
    </row>
    <row r="81" spans="1:19" x14ac:dyDescent="0.25">
      <c r="A81" s="58"/>
      <c r="B81" s="59"/>
      <c r="C81" s="54"/>
      <c r="D81" s="55"/>
      <c r="F81" s="58"/>
      <c r="G81" s="59"/>
      <c r="H81" s="54"/>
      <c r="I81" s="55"/>
      <c r="K81" s="58"/>
      <c r="L81" s="59"/>
      <c r="M81" s="54"/>
      <c r="N81" s="55"/>
      <c r="P81" s="58"/>
      <c r="Q81" s="59"/>
      <c r="R81" s="54"/>
      <c r="S81" s="55"/>
    </row>
    <row r="82" spans="1:19" x14ac:dyDescent="0.25">
      <c r="A82" s="58"/>
      <c r="B82" s="59"/>
      <c r="C82" s="54"/>
      <c r="D82" s="55"/>
      <c r="F82" s="58"/>
      <c r="G82" s="59"/>
      <c r="H82" s="54"/>
      <c r="I82" s="55"/>
      <c r="K82" s="58"/>
      <c r="L82" s="59"/>
      <c r="M82" s="54"/>
      <c r="N82" s="55"/>
      <c r="P82" s="58"/>
      <c r="Q82" s="59"/>
      <c r="R82" s="54"/>
      <c r="S82" s="55"/>
    </row>
    <row r="83" spans="1:19" x14ac:dyDescent="0.25">
      <c r="A83" s="58"/>
      <c r="B83" s="59"/>
      <c r="C83" s="54"/>
      <c r="D83" s="55"/>
      <c r="F83" s="58"/>
      <c r="G83" s="59"/>
      <c r="H83" s="54"/>
      <c r="I83" s="55"/>
      <c r="K83" s="58"/>
      <c r="L83" s="59"/>
      <c r="M83" s="54"/>
      <c r="N83" s="55"/>
      <c r="P83" s="58"/>
      <c r="Q83" s="59"/>
      <c r="R83" s="54"/>
      <c r="S83" s="55"/>
    </row>
    <row r="84" spans="1:19" x14ac:dyDescent="0.25">
      <c r="A84" s="58"/>
      <c r="B84" s="59"/>
      <c r="C84" s="54"/>
      <c r="D84" s="55"/>
      <c r="F84" s="58"/>
      <c r="G84" s="59"/>
      <c r="H84" s="54"/>
      <c r="I84" s="55"/>
      <c r="K84" s="58"/>
      <c r="L84" s="59"/>
      <c r="M84" s="54"/>
      <c r="N84" s="55"/>
      <c r="P84" s="58"/>
      <c r="Q84" s="59"/>
      <c r="R84" s="54"/>
      <c r="S84" s="55"/>
    </row>
    <row r="85" spans="1:19" x14ac:dyDescent="0.25">
      <c r="A85" s="58"/>
      <c r="B85" s="59"/>
      <c r="C85" s="54"/>
      <c r="D85" s="55"/>
      <c r="F85" s="58"/>
      <c r="G85" s="59"/>
      <c r="H85" s="54"/>
      <c r="I85" s="55"/>
      <c r="K85" s="58"/>
      <c r="L85" s="59"/>
      <c r="M85" s="54"/>
      <c r="N85" s="55"/>
      <c r="P85" s="58"/>
      <c r="Q85" s="59"/>
      <c r="R85" s="54"/>
      <c r="S85" s="55"/>
    </row>
    <row r="86" spans="1:19" x14ac:dyDescent="0.25">
      <c r="A86" s="58"/>
      <c r="B86" s="59"/>
      <c r="C86" s="54"/>
      <c r="D86" s="55"/>
      <c r="F86" s="58"/>
      <c r="G86" s="59"/>
      <c r="H86" s="54"/>
      <c r="I86" s="55"/>
      <c r="K86" s="58"/>
      <c r="L86" s="59"/>
      <c r="M86" s="54"/>
      <c r="N86" s="55"/>
      <c r="P86" s="58"/>
      <c r="Q86" s="59"/>
      <c r="R86" s="54"/>
      <c r="S86" s="55"/>
    </row>
    <row r="87" spans="1:19" x14ac:dyDescent="0.25">
      <c r="A87" s="58"/>
      <c r="B87" s="59"/>
      <c r="C87" s="54"/>
      <c r="D87" s="55"/>
      <c r="F87" s="58"/>
      <c r="G87" s="59"/>
      <c r="H87" s="54"/>
      <c r="I87" s="55"/>
      <c r="K87" s="58"/>
      <c r="L87" s="59"/>
      <c r="M87" s="54"/>
      <c r="N87" s="55"/>
      <c r="P87" s="58"/>
      <c r="Q87" s="59"/>
      <c r="R87" s="54"/>
      <c r="S87" s="55"/>
    </row>
    <row r="88" spans="1:19" x14ac:dyDescent="0.25">
      <c r="A88" s="58"/>
      <c r="B88" s="59"/>
      <c r="C88" s="54"/>
      <c r="D88" s="55"/>
      <c r="F88" s="58"/>
      <c r="G88" s="59"/>
      <c r="H88" s="54"/>
      <c r="I88" s="55"/>
      <c r="K88" s="58"/>
      <c r="L88" s="59"/>
      <c r="M88" s="54"/>
      <c r="N88" s="55"/>
      <c r="P88" s="58"/>
      <c r="Q88" s="59"/>
      <c r="R88" s="54"/>
      <c r="S88" s="55"/>
    </row>
    <row r="89" spans="1:19" x14ac:dyDescent="0.25">
      <c r="A89" s="58"/>
      <c r="B89" s="59"/>
      <c r="C89" s="54"/>
      <c r="D89" s="55"/>
      <c r="F89" s="58"/>
      <c r="G89" s="59"/>
      <c r="H89" s="54"/>
      <c r="I89" s="55"/>
      <c r="K89" s="58"/>
      <c r="L89" s="59"/>
      <c r="M89" s="54"/>
      <c r="N89" s="55"/>
      <c r="P89" s="58"/>
      <c r="Q89" s="59"/>
      <c r="R89" s="54"/>
      <c r="S89" s="55"/>
    </row>
    <row r="90" spans="1:19" x14ac:dyDescent="0.25">
      <c r="A90" s="58"/>
      <c r="B90" s="59"/>
      <c r="C90" s="54"/>
      <c r="D90" s="55"/>
      <c r="F90" s="58"/>
      <c r="G90" s="59"/>
      <c r="H90" s="54"/>
      <c r="I90" s="55"/>
      <c r="K90" s="58"/>
      <c r="L90" s="59"/>
      <c r="M90" s="54"/>
      <c r="N90" s="55"/>
      <c r="P90" s="58"/>
      <c r="Q90" s="59"/>
      <c r="R90" s="54"/>
      <c r="S90" s="55"/>
    </row>
    <row r="91" spans="1:19" x14ac:dyDescent="0.25">
      <c r="A91" s="58"/>
      <c r="B91" s="59"/>
      <c r="C91" s="54"/>
      <c r="D91" s="55"/>
      <c r="F91" s="58"/>
      <c r="G91" s="59"/>
      <c r="H91" s="54"/>
      <c r="I91" s="55"/>
      <c r="K91" s="58"/>
      <c r="L91" s="59"/>
      <c r="M91" s="54"/>
      <c r="N91" s="55"/>
      <c r="P91" s="58"/>
      <c r="Q91" s="59"/>
      <c r="R91" s="54"/>
      <c r="S91" s="55"/>
    </row>
    <row r="92" spans="1:19" x14ac:dyDescent="0.25">
      <c r="A92" s="58"/>
      <c r="B92" s="59"/>
      <c r="C92" s="54"/>
      <c r="D92" s="55"/>
      <c r="F92" s="58"/>
      <c r="G92" s="59"/>
      <c r="H92" s="54"/>
      <c r="I92" s="55"/>
      <c r="K92" s="58"/>
      <c r="L92" s="59"/>
      <c r="M92" s="54"/>
      <c r="N92" s="55"/>
      <c r="P92" s="58"/>
      <c r="Q92" s="59"/>
      <c r="R92" s="54"/>
      <c r="S92" s="55"/>
    </row>
    <row r="93" spans="1:19" x14ac:dyDescent="0.25">
      <c r="A93" s="58"/>
      <c r="B93" s="59"/>
      <c r="C93" s="54"/>
      <c r="D93" s="55"/>
      <c r="F93" s="58"/>
      <c r="G93" s="59"/>
      <c r="H93" s="54"/>
      <c r="I93" s="55"/>
      <c r="K93" s="58"/>
      <c r="L93" s="59"/>
      <c r="M93" s="54"/>
      <c r="N93" s="55"/>
      <c r="P93" s="58"/>
      <c r="Q93" s="59"/>
      <c r="R93" s="54"/>
      <c r="S93" s="55"/>
    </row>
    <row r="94" spans="1:19" x14ac:dyDescent="0.25">
      <c r="A94" s="58"/>
      <c r="B94" s="59"/>
      <c r="C94" s="54"/>
      <c r="D94" s="55"/>
      <c r="F94" s="58"/>
      <c r="G94" s="59"/>
      <c r="H94" s="54"/>
      <c r="I94" s="55"/>
      <c r="K94" s="58"/>
      <c r="L94" s="59"/>
      <c r="M94" s="54"/>
      <c r="N94" s="55"/>
      <c r="P94" s="58"/>
      <c r="Q94" s="59"/>
      <c r="R94" s="54"/>
      <c r="S94" s="55"/>
    </row>
    <row r="95" spans="1:19" x14ac:dyDescent="0.25">
      <c r="A95" s="58"/>
      <c r="B95" s="59"/>
      <c r="C95" s="54"/>
      <c r="D95" s="55"/>
      <c r="F95" s="58"/>
      <c r="G95" s="59"/>
      <c r="H95" s="54"/>
      <c r="I95" s="55"/>
      <c r="K95" s="58"/>
      <c r="L95" s="59"/>
      <c r="M95" s="54"/>
      <c r="N95" s="55"/>
      <c r="P95" s="58"/>
      <c r="Q95" s="59"/>
      <c r="R95" s="54"/>
      <c r="S95" s="55"/>
    </row>
    <row r="96" spans="1:19" x14ac:dyDescent="0.25">
      <c r="A96" s="58"/>
      <c r="B96" s="59"/>
      <c r="C96" s="54"/>
      <c r="D96" s="55"/>
      <c r="F96" s="58"/>
      <c r="G96" s="59"/>
      <c r="H96" s="54"/>
      <c r="I96" s="55"/>
      <c r="K96" s="58"/>
      <c r="L96" s="59"/>
      <c r="M96" s="54"/>
      <c r="N96" s="55"/>
      <c r="P96" s="58"/>
      <c r="Q96" s="59"/>
      <c r="R96" s="54"/>
      <c r="S96" s="55"/>
    </row>
    <row r="97" spans="1:19" x14ac:dyDescent="0.25">
      <c r="A97" s="58"/>
      <c r="B97" s="59"/>
      <c r="C97" s="54"/>
      <c r="D97" s="55"/>
      <c r="F97" s="58"/>
      <c r="G97" s="59"/>
      <c r="H97" s="54"/>
      <c r="I97" s="55"/>
      <c r="K97" s="58"/>
      <c r="L97" s="59"/>
      <c r="M97" s="54"/>
      <c r="N97" s="55"/>
      <c r="P97" s="58"/>
      <c r="Q97" s="59"/>
      <c r="R97" s="54"/>
      <c r="S97" s="55"/>
    </row>
    <row r="98" spans="1:19" x14ac:dyDescent="0.25">
      <c r="A98" s="58"/>
      <c r="B98" s="59"/>
      <c r="C98" s="54"/>
      <c r="D98" s="55"/>
      <c r="F98" s="58"/>
      <c r="G98" s="59"/>
      <c r="H98" s="54"/>
      <c r="I98" s="55"/>
      <c r="K98" s="58"/>
      <c r="L98" s="59"/>
      <c r="M98" s="54"/>
      <c r="N98" s="55"/>
      <c r="P98" s="58"/>
      <c r="Q98" s="59"/>
      <c r="R98" s="54"/>
      <c r="S98" s="55"/>
    </row>
    <row r="99" spans="1:19" x14ac:dyDescent="0.25">
      <c r="A99" s="58"/>
      <c r="B99" s="59"/>
      <c r="C99" s="54"/>
      <c r="D99" s="55"/>
      <c r="F99" s="58"/>
      <c r="G99" s="59"/>
      <c r="H99" s="54"/>
      <c r="I99" s="55"/>
      <c r="K99" s="58"/>
      <c r="L99" s="59"/>
      <c r="M99" s="54"/>
      <c r="N99" s="55"/>
      <c r="P99" s="58"/>
      <c r="Q99" s="59"/>
      <c r="R99" s="54"/>
      <c r="S99" s="55"/>
    </row>
    <row r="100" spans="1:19" x14ac:dyDescent="0.25">
      <c r="A100" s="58"/>
      <c r="B100" s="59"/>
      <c r="C100" s="54"/>
      <c r="D100" s="55"/>
      <c r="F100" s="58"/>
      <c r="G100" s="59"/>
      <c r="H100" s="54"/>
      <c r="I100" s="55"/>
      <c r="K100" s="58"/>
      <c r="L100" s="59"/>
      <c r="M100" s="54"/>
      <c r="N100" s="55"/>
      <c r="P100" s="58"/>
      <c r="Q100" s="59"/>
      <c r="R100" s="54"/>
      <c r="S100" s="55"/>
    </row>
    <row r="101" spans="1:19" x14ac:dyDescent="0.25">
      <c r="A101" s="58"/>
      <c r="B101" s="59"/>
      <c r="C101" s="54"/>
      <c r="D101" s="55"/>
      <c r="F101" s="58"/>
      <c r="G101" s="59"/>
      <c r="H101" s="54"/>
      <c r="I101" s="55"/>
      <c r="K101" s="58"/>
      <c r="L101" s="59"/>
      <c r="M101" s="54"/>
      <c r="N101" s="55"/>
      <c r="P101" s="58"/>
      <c r="Q101" s="59"/>
      <c r="R101" s="54"/>
      <c r="S101" s="55"/>
    </row>
    <row r="102" spans="1:19" x14ac:dyDescent="0.25">
      <c r="A102" s="58"/>
      <c r="B102" s="59"/>
      <c r="C102" s="54"/>
      <c r="D102" s="55"/>
      <c r="F102" s="58"/>
      <c r="G102" s="59"/>
      <c r="H102" s="54"/>
      <c r="I102" s="55"/>
      <c r="K102" s="58"/>
      <c r="L102" s="59"/>
      <c r="M102" s="54"/>
      <c r="N102" s="55"/>
      <c r="P102" s="58"/>
      <c r="Q102" s="59"/>
      <c r="R102" s="54"/>
      <c r="S102" s="55"/>
    </row>
    <row r="103" spans="1:19" x14ac:dyDescent="0.25">
      <c r="A103" s="58"/>
      <c r="B103" s="59"/>
      <c r="C103" s="54"/>
      <c r="D103" s="55"/>
      <c r="F103" s="58"/>
      <c r="G103" s="59"/>
      <c r="H103" s="54"/>
      <c r="I103" s="55"/>
      <c r="K103" s="58"/>
      <c r="L103" s="59"/>
      <c r="M103" s="54"/>
      <c r="N103" s="55"/>
      <c r="P103" s="58"/>
      <c r="Q103" s="59"/>
      <c r="R103" s="54"/>
      <c r="S103" s="55"/>
    </row>
    <row r="104" spans="1:19" x14ac:dyDescent="0.25">
      <c r="A104" s="58"/>
      <c r="B104" s="59"/>
      <c r="C104" s="54"/>
      <c r="D104" s="55"/>
      <c r="F104" s="58"/>
      <c r="G104" s="59"/>
      <c r="H104" s="54"/>
      <c r="I104" s="55"/>
      <c r="K104" s="58"/>
      <c r="L104" s="59"/>
      <c r="M104" s="54"/>
      <c r="N104" s="55"/>
      <c r="P104" s="58"/>
      <c r="Q104" s="59"/>
      <c r="R104" s="54"/>
      <c r="S104" s="55"/>
    </row>
    <row r="105" spans="1:19" x14ac:dyDescent="0.25">
      <c r="A105" s="58"/>
      <c r="B105" s="59"/>
      <c r="C105" s="54"/>
      <c r="D105" s="55"/>
      <c r="F105" s="58"/>
      <c r="G105" s="59"/>
      <c r="H105" s="54"/>
      <c r="I105" s="55"/>
      <c r="K105" s="58"/>
      <c r="L105" s="59"/>
      <c r="M105" s="54"/>
      <c r="N105" s="55"/>
      <c r="P105" s="58"/>
      <c r="Q105" s="59"/>
      <c r="R105" s="54"/>
      <c r="S105" s="55"/>
    </row>
    <row r="106" spans="1:19" x14ac:dyDescent="0.25">
      <c r="A106" s="58"/>
      <c r="B106" s="59"/>
      <c r="C106" s="54"/>
      <c r="D106" s="55"/>
      <c r="F106" s="58"/>
      <c r="G106" s="59"/>
      <c r="H106" s="54"/>
      <c r="I106" s="55"/>
      <c r="K106" s="58"/>
      <c r="L106" s="59"/>
      <c r="M106" s="54"/>
      <c r="N106" s="55"/>
      <c r="P106" s="58"/>
      <c r="Q106" s="59"/>
      <c r="R106" s="54"/>
      <c r="S106" s="55"/>
    </row>
    <row r="107" spans="1:19" x14ac:dyDescent="0.25">
      <c r="A107" s="58"/>
      <c r="B107" s="59"/>
      <c r="C107" s="54"/>
      <c r="D107" s="55"/>
      <c r="F107" s="58"/>
      <c r="G107" s="59"/>
      <c r="H107" s="54"/>
      <c r="I107" s="55"/>
      <c r="K107" s="58"/>
      <c r="L107" s="59"/>
      <c r="M107" s="54"/>
      <c r="N107" s="55"/>
      <c r="P107" s="58"/>
      <c r="Q107" s="59"/>
      <c r="R107" s="54"/>
      <c r="S107" s="55"/>
    </row>
    <row r="108" spans="1:19" x14ac:dyDescent="0.25">
      <c r="A108" s="58"/>
      <c r="B108" s="59"/>
      <c r="C108" s="54"/>
      <c r="D108" s="55"/>
      <c r="F108" s="58"/>
      <c r="G108" s="59"/>
      <c r="H108" s="54"/>
      <c r="I108" s="55"/>
      <c r="K108" s="58"/>
      <c r="L108" s="59"/>
      <c r="M108" s="54"/>
      <c r="N108" s="55"/>
      <c r="P108" s="58"/>
      <c r="Q108" s="59"/>
      <c r="R108" s="54"/>
      <c r="S108" s="55"/>
    </row>
    <row r="109" spans="1:19" x14ac:dyDescent="0.25">
      <c r="A109" s="58"/>
      <c r="B109" s="59"/>
      <c r="C109" s="54"/>
      <c r="D109" s="55"/>
      <c r="F109" s="58"/>
      <c r="G109" s="59"/>
      <c r="H109" s="54"/>
      <c r="I109" s="55"/>
      <c r="K109" s="58"/>
      <c r="L109" s="59"/>
      <c r="M109" s="54"/>
      <c r="N109" s="55"/>
      <c r="P109" s="58"/>
      <c r="Q109" s="59"/>
      <c r="R109" s="54"/>
      <c r="S109" s="55"/>
    </row>
    <row r="110" spans="1:19" x14ac:dyDescent="0.25">
      <c r="A110" s="58"/>
      <c r="B110" s="59"/>
      <c r="C110" s="54"/>
      <c r="D110" s="55"/>
      <c r="F110" s="58"/>
      <c r="G110" s="59"/>
      <c r="H110" s="54"/>
      <c r="I110" s="55"/>
      <c r="K110" s="58"/>
      <c r="L110" s="59"/>
      <c r="M110" s="54"/>
      <c r="N110" s="55"/>
      <c r="P110" s="58"/>
      <c r="Q110" s="59"/>
      <c r="R110" s="54"/>
      <c r="S110" s="55"/>
    </row>
    <row r="111" spans="1:19" x14ac:dyDescent="0.25">
      <c r="A111" s="58"/>
      <c r="B111" s="59"/>
      <c r="C111" s="54"/>
      <c r="D111" s="55"/>
      <c r="F111" s="58"/>
      <c r="G111" s="59"/>
      <c r="H111" s="54"/>
      <c r="I111" s="55"/>
      <c r="K111" s="58"/>
      <c r="L111" s="59"/>
      <c r="M111" s="54"/>
      <c r="N111" s="55"/>
      <c r="P111" s="58"/>
      <c r="Q111" s="59"/>
      <c r="R111" s="54"/>
      <c r="S111" s="55"/>
    </row>
    <row r="112" spans="1:19" x14ac:dyDescent="0.25">
      <c r="A112" s="58"/>
      <c r="B112" s="59"/>
      <c r="C112" s="54"/>
      <c r="D112" s="55"/>
      <c r="F112" s="58"/>
      <c r="G112" s="59"/>
      <c r="H112" s="54"/>
      <c r="I112" s="55"/>
      <c r="K112" s="58"/>
      <c r="L112" s="59"/>
      <c r="M112" s="54"/>
      <c r="N112" s="55"/>
      <c r="P112" s="58"/>
      <c r="Q112" s="59"/>
      <c r="R112" s="54"/>
      <c r="S112" s="55"/>
    </row>
    <row r="113" spans="1:19" x14ac:dyDescent="0.25">
      <c r="A113" s="58"/>
      <c r="B113" s="59"/>
      <c r="C113" s="54"/>
      <c r="D113" s="55"/>
      <c r="F113" s="58"/>
      <c r="G113" s="59"/>
      <c r="H113" s="54"/>
      <c r="I113" s="55"/>
      <c r="K113" s="58"/>
      <c r="L113" s="59"/>
      <c r="M113" s="54"/>
      <c r="N113" s="55"/>
      <c r="P113" s="58"/>
      <c r="Q113" s="59"/>
      <c r="R113" s="54"/>
      <c r="S113" s="55"/>
    </row>
    <row r="114" spans="1:19" x14ac:dyDescent="0.25">
      <c r="A114" s="58"/>
      <c r="B114" s="59"/>
      <c r="C114" s="54"/>
      <c r="D114" s="55"/>
      <c r="F114" s="58"/>
      <c r="G114" s="59"/>
      <c r="H114" s="54"/>
      <c r="I114" s="55"/>
      <c r="K114" s="58"/>
      <c r="L114" s="59"/>
      <c r="M114" s="54"/>
      <c r="N114" s="55"/>
      <c r="P114" s="58"/>
      <c r="Q114" s="59"/>
      <c r="R114" s="54"/>
      <c r="S114" s="55"/>
    </row>
    <row r="115" spans="1:19" x14ac:dyDescent="0.25">
      <c r="A115" s="58"/>
      <c r="B115" s="59"/>
      <c r="C115" s="54"/>
      <c r="D115" s="55"/>
      <c r="F115" s="58"/>
      <c r="G115" s="59"/>
      <c r="H115" s="54"/>
      <c r="I115" s="55"/>
      <c r="K115" s="58"/>
      <c r="L115" s="59"/>
      <c r="M115" s="54"/>
      <c r="N115" s="55"/>
      <c r="P115" s="58"/>
      <c r="Q115" s="59"/>
      <c r="R115" s="54"/>
      <c r="S115" s="55"/>
    </row>
    <row r="116" spans="1:19" x14ac:dyDescent="0.25">
      <c r="A116" s="58"/>
      <c r="B116" s="59"/>
      <c r="C116" s="54"/>
      <c r="D116" s="55"/>
      <c r="F116" s="58"/>
      <c r="G116" s="59"/>
      <c r="H116" s="54"/>
      <c r="I116" s="55"/>
      <c r="K116" s="58"/>
      <c r="L116" s="59"/>
      <c r="M116" s="54"/>
      <c r="N116" s="55"/>
      <c r="P116" s="58"/>
      <c r="Q116" s="59"/>
      <c r="R116" s="54"/>
      <c r="S116" s="55"/>
    </row>
    <row r="117" spans="1:19" x14ac:dyDescent="0.25">
      <c r="A117" s="58"/>
      <c r="B117" s="59"/>
      <c r="C117" s="54"/>
      <c r="D117" s="55"/>
      <c r="F117" s="58"/>
      <c r="G117" s="59"/>
      <c r="H117" s="54"/>
      <c r="I117" s="55"/>
      <c r="K117" s="58"/>
      <c r="L117" s="59"/>
      <c r="M117" s="54"/>
      <c r="N117" s="55"/>
      <c r="P117" s="58"/>
      <c r="Q117" s="59"/>
      <c r="R117" s="54"/>
      <c r="S117" s="55"/>
    </row>
    <row r="118" spans="1:19" ht="15.75" thickBot="1" x14ac:dyDescent="0.3">
      <c r="A118" s="60"/>
      <c r="B118" s="61"/>
      <c r="C118" s="56"/>
      <c r="D118" s="57"/>
      <c r="F118" s="60"/>
      <c r="G118" s="61"/>
      <c r="H118" s="56"/>
      <c r="I118" s="57"/>
      <c r="K118" s="58"/>
      <c r="L118" s="59"/>
      <c r="M118" s="54"/>
      <c r="N118" s="55"/>
      <c r="P118" s="58"/>
      <c r="Q118" s="59"/>
      <c r="R118" s="54"/>
      <c r="S118" s="55"/>
    </row>
    <row r="119" spans="1:19" x14ac:dyDescent="0.25">
      <c r="K119" s="58"/>
      <c r="L119" s="59"/>
      <c r="M119" s="54"/>
      <c r="N119" s="55"/>
      <c r="P119" s="58"/>
      <c r="Q119" s="59"/>
      <c r="R119" s="54"/>
      <c r="S119" s="55"/>
    </row>
    <row r="120" spans="1:19" x14ac:dyDescent="0.25">
      <c r="K120" s="58"/>
      <c r="L120" s="59"/>
      <c r="M120" s="54"/>
      <c r="N120" s="55"/>
      <c r="P120" s="58"/>
      <c r="Q120" s="59"/>
      <c r="R120" s="54"/>
      <c r="S120" s="55"/>
    </row>
    <row r="121" spans="1:19" x14ac:dyDescent="0.25">
      <c r="K121" s="58"/>
      <c r="L121" s="59"/>
      <c r="M121" s="54"/>
      <c r="N121" s="55"/>
      <c r="P121" s="58"/>
      <c r="Q121" s="59"/>
      <c r="R121" s="54"/>
      <c r="S121" s="55"/>
    </row>
    <row r="122" spans="1:19" x14ac:dyDescent="0.25">
      <c r="K122" s="58"/>
      <c r="L122" s="59"/>
      <c r="M122" s="54"/>
      <c r="N122" s="55"/>
      <c r="P122" s="58"/>
      <c r="Q122" s="59"/>
      <c r="R122" s="54"/>
      <c r="S122" s="55"/>
    </row>
    <row r="123" spans="1:19" x14ac:dyDescent="0.25">
      <c r="K123" s="58"/>
      <c r="L123" s="59"/>
      <c r="M123" s="54"/>
      <c r="N123" s="55"/>
      <c r="P123" s="58"/>
      <c r="Q123" s="59"/>
      <c r="R123" s="54"/>
      <c r="S123" s="55"/>
    </row>
    <row r="124" spans="1:19" x14ac:dyDescent="0.25">
      <c r="K124" s="58"/>
      <c r="L124" s="59"/>
      <c r="M124" s="54"/>
      <c r="N124" s="55"/>
      <c r="P124" s="58"/>
      <c r="Q124" s="59"/>
      <c r="R124" s="54"/>
      <c r="S124" s="55"/>
    </row>
    <row r="125" spans="1:19" x14ac:dyDescent="0.25">
      <c r="K125" s="58"/>
      <c r="L125" s="59"/>
      <c r="M125" s="54"/>
      <c r="N125" s="55"/>
      <c r="P125" s="58"/>
      <c r="Q125" s="59"/>
      <c r="R125" s="54"/>
      <c r="S125" s="55"/>
    </row>
    <row r="126" spans="1:19" x14ac:dyDescent="0.25">
      <c r="K126" s="58"/>
      <c r="L126" s="59"/>
      <c r="M126" s="54"/>
      <c r="N126" s="55"/>
      <c r="P126" s="58"/>
      <c r="Q126" s="59"/>
      <c r="R126" s="54"/>
      <c r="S126" s="55"/>
    </row>
    <row r="127" spans="1:19" x14ac:dyDescent="0.25">
      <c r="K127" s="58"/>
      <c r="L127" s="59"/>
      <c r="M127" s="54"/>
      <c r="N127" s="55"/>
      <c r="P127" s="58"/>
      <c r="Q127" s="59"/>
      <c r="R127" s="54"/>
      <c r="S127" s="55"/>
    </row>
    <row r="128" spans="1:19" x14ac:dyDescent="0.25">
      <c r="K128" s="58"/>
      <c r="L128" s="59"/>
      <c r="M128" s="54"/>
      <c r="N128" s="55"/>
      <c r="P128" s="58"/>
      <c r="Q128" s="59"/>
      <c r="R128" s="54"/>
      <c r="S128" s="55"/>
    </row>
    <row r="129" spans="11:19" x14ac:dyDescent="0.25">
      <c r="K129" s="58"/>
      <c r="L129" s="59"/>
      <c r="M129" s="54"/>
      <c r="N129" s="55"/>
      <c r="P129" s="58"/>
      <c r="Q129" s="59"/>
      <c r="R129" s="54"/>
      <c r="S129" s="55"/>
    </row>
    <row r="130" spans="11:19" x14ac:dyDescent="0.25">
      <c r="K130" s="58"/>
      <c r="L130" s="59"/>
      <c r="M130" s="54"/>
      <c r="N130" s="55"/>
      <c r="P130" s="58"/>
      <c r="Q130" s="59"/>
      <c r="R130" s="54"/>
      <c r="S130" s="55"/>
    </row>
    <row r="131" spans="11:19" x14ac:dyDescent="0.25">
      <c r="K131" s="58"/>
      <c r="L131" s="59"/>
      <c r="M131" s="54"/>
      <c r="N131" s="55"/>
      <c r="P131" s="58"/>
      <c r="Q131" s="59"/>
      <c r="R131" s="54"/>
      <c r="S131" s="55"/>
    </row>
    <row r="132" spans="11:19" x14ac:dyDescent="0.25">
      <c r="K132" s="58"/>
      <c r="L132" s="59"/>
      <c r="M132" s="54"/>
      <c r="N132" s="55"/>
      <c r="P132" s="58"/>
      <c r="Q132" s="59"/>
      <c r="R132" s="54"/>
      <c r="S132" s="55"/>
    </row>
    <row r="133" spans="11:19" x14ac:dyDescent="0.25">
      <c r="K133" s="58"/>
      <c r="L133" s="59"/>
      <c r="M133" s="54"/>
      <c r="N133" s="55"/>
      <c r="P133" s="58"/>
      <c r="Q133" s="59"/>
      <c r="R133" s="54"/>
      <c r="S133" s="55"/>
    </row>
    <row r="134" spans="11:19" x14ac:dyDescent="0.25">
      <c r="K134" s="58"/>
      <c r="L134" s="59"/>
      <c r="M134" s="54"/>
      <c r="N134" s="55"/>
      <c r="P134" s="58"/>
      <c r="Q134" s="59"/>
      <c r="R134" s="54"/>
      <c r="S134" s="55"/>
    </row>
    <row r="135" spans="11:19" x14ac:dyDescent="0.25">
      <c r="K135" s="58"/>
      <c r="L135" s="59"/>
      <c r="M135" s="54"/>
      <c r="N135" s="55"/>
      <c r="P135" s="58"/>
      <c r="Q135" s="59"/>
      <c r="R135" s="54"/>
      <c r="S135" s="55"/>
    </row>
    <row r="136" spans="11:19" x14ac:dyDescent="0.25">
      <c r="K136" s="58"/>
      <c r="L136" s="59"/>
      <c r="M136" s="54"/>
      <c r="N136" s="55"/>
      <c r="P136" s="58"/>
      <c r="Q136" s="59"/>
      <c r="R136" s="54"/>
      <c r="S136" s="55"/>
    </row>
    <row r="137" spans="11:19" x14ac:dyDescent="0.25">
      <c r="K137" s="58"/>
      <c r="L137" s="59"/>
      <c r="M137" s="54"/>
      <c r="N137" s="55"/>
      <c r="P137" s="58"/>
      <c r="Q137" s="59"/>
      <c r="R137" s="54"/>
      <c r="S137" s="55"/>
    </row>
    <row r="138" spans="11:19" x14ac:dyDescent="0.25">
      <c r="K138" s="58"/>
      <c r="L138" s="59"/>
      <c r="M138" s="54"/>
      <c r="N138" s="55"/>
      <c r="P138" s="58"/>
      <c r="Q138" s="59"/>
      <c r="R138" s="54"/>
      <c r="S138" s="55"/>
    </row>
    <row r="139" spans="11:19" x14ac:dyDescent="0.25">
      <c r="K139" s="58"/>
      <c r="L139" s="59"/>
      <c r="M139" s="54"/>
      <c r="N139" s="55"/>
      <c r="P139" s="58"/>
      <c r="Q139" s="59"/>
      <c r="R139" s="54"/>
      <c r="S139" s="55"/>
    </row>
    <row r="140" spans="11:19" x14ac:dyDescent="0.25">
      <c r="K140" s="58"/>
      <c r="L140" s="59"/>
      <c r="M140" s="54"/>
      <c r="N140" s="55"/>
      <c r="P140" s="58"/>
      <c r="Q140" s="59"/>
      <c r="R140" s="54"/>
      <c r="S140" s="55"/>
    </row>
    <row r="141" spans="11:19" x14ac:dyDescent="0.25">
      <c r="K141" s="58"/>
      <c r="L141" s="59"/>
      <c r="M141" s="54"/>
      <c r="N141" s="55"/>
      <c r="P141" s="58"/>
      <c r="Q141" s="59"/>
      <c r="R141" s="54"/>
      <c r="S141" s="55"/>
    </row>
    <row r="142" spans="11:19" x14ac:dyDescent="0.25">
      <c r="K142" s="58"/>
      <c r="L142" s="59"/>
      <c r="M142" s="54"/>
      <c r="N142" s="55"/>
      <c r="P142" s="58"/>
      <c r="Q142" s="59"/>
      <c r="R142" s="54"/>
      <c r="S142" s="55"/>
    </row>
    <row r="143" spans="11:19" x14ac:dyDescent="0.25">
      <c r="K143" s="58"/>
      <c r="L143" s="59"/>
      <c r="M143" s="54"/>
      <c r="N143" s="55"/>
      <c r="P143" s="58"/>
      <c r="Q143" s="59"/>
      <c r="R143" s="54"/>
      <c r="S143" s="55"/>
    </row>
    <row r="144" spans="11:19" x14ac:dyDescent="0.25">
      <c r="K144" s="58"/>
      <c r="L144" s="59"/>
      <c r="M144" s="54"/>
      <c r="N144" s="55"/>
      <c r="P144" s="58"/>
      <c r="Q144" s="59"/>
      <c r="R144" s="54"/>
      <c r="S144" s="55"/>
    </row>
    <row r="145" spans="11:19" x14ac:dyDescent="0.25">
      <c r="K145" s="58"/>
      <c r="L145" s="59"/>
      <c r="M145" s="54"/>
      <c r="N145" s="55"/>
      <c r="P145" s="58"/>
      <c r="Q145" s="59"/>
      <c r="R145" s="54"/>
      <c r="S145" s="55"/>
    </row>
    <row r="146" spans="11:19" x14ac:dyDescent="0.25">
      <c r="K146" s="58"/>
      <c r="L146" s="59"/>
      <c r="M146" s="54"/>
      <c r="N146" s="55"/>
      <c r="P146" s="58"/>
      <c r="Q146" s="59"/>
      <c r="R146" s="54"/>
      <c r="S146" s="55"/>
    </row>
    <row r="147" spans="11:19" x14ac:dyDescent="0.25">
      <c r="K147" s="58"/>
      <c r="L147" s="59"/>
      <c r="M147" s="54"/>
      <c r="N147" s="55"/>
      <c r="P147" s="58"/>
      <c r="Q147" s="59"/>
      <c r="R147" s="54"/>
      <c r="S147" s="55"/>
    </row>
    <row r="148" spans="11:19" x14ac:dyDescent="0.25">
      <c r="K148" s="58"/>
      <c r="L148" s="59"/>
      <c r="M148" s="54"/>
      <c r="N148" s="55"/>
      <c r="P148" s="58"/>
      <c r="Q148" s="59"/>
      <c r="R148" s="54"/>
      <c r="S148" s="55"/>
    </row>
    <row r="149" spans="11:19" x14ac:dyDescent="0.25">
      <c r="K149" s="58"/>
      <c r="L149" s="59"/>
      <c r="M149" s="54"/>
      <c r="N149" s="55"/>
      <c r="P149" s="58"/>
      <c r="Q149" s="59"/>
      <c r="R149" s="54"/>
      <c r="S149" s="55"/>
    </row>
    <row r="150" spans="11:19" x14ac:dyDescent="0.25">
      <c r="K150" s="58"/>
      <c r="L150" s="59"/>
      <c r="M150" s="54"/>
      <c r="N150" s="55"/>
      <c r="P150" s="58"/>
      <c r="Q150" s="59"/>
      <c r="R150" s="54"/>
      <c r="S150" s="55"/>
    </row>
    <row r="151" spans="11:19" x14ac:dyDescent="0.25">
      <c r="K151" s="58"/>
      <c r="L151" s="59"/>
      <c r="M151" s="54"/>
      <c r="N151" s="55"/>
      <c r="P151" s="58"/>
      <c r="Q151" s="59"/>
      <c r="R151" s="54"/>
      <c r="S151" s="55"/>
    </row>
    <row r="152" spans="11:19" x14ac:dyDescent="0.25">
      <c r="K152" s="58"/>
      <c r="L152" s="59"/>
      <c r="M152" s="54"/>
      <c r="N152" s="55"/>
      <c r="P152" s="58"/>
      <c r="Q152" s="59"/>
      <c r="R152" s="54"/>
      <c r="S152" s="55"/>
    </row>
    <row r="153" spans="11:19" x14ac:dyDescent="0.25">
      <c r="K153" s="58"/>
      <c r="L153" s="59"/>
      <c r="M153" s="54"/>
      <c r="N153" s="55"/>
      <c r="P153" s="58"/>
      <c r="Q153" s="59"/>
      <c r="R153" s="54"/>
      <c r="S153" s="55"/>
    </row>
    <row r="154" spans="11:19" x14ac:dyDescent="0.25">
      <c r="K154" s="58"/>
      <c r="L154" s="59"/>
      <c r="M154" s="54"/>
      <c r="N154" s="55"/>
      <c r="P154" s="58"/>
      <c r="Q154" s="59"/>
      <c r="R154" s="54"/>
      <c r="S154" s="55"/>
    </row>
    <row r="155" spans="11:19" x14ac:dyDescent="0.25">
      <c r="K155" s="58"/>
      <c r="L155" s="59"/>
      <c r="M155" s="54"/>
      <c r="N155" s="55"/>
      <c r="P155" s="58"/>
      <c r="Q155" s="59"/>
      <c r="R155" s="54"/>
      <c r="S155" s="55"/>
    </row>
    <row r="156" spans="11:19" x14ac:dyDescent="0.25">
      <c r="K156" s="58"/>
      <c r="L156" s="59"/>
      <c r="M156" s="54"/>
      <c r="N156" s="55"/>
      <c r="P156" s="58"/>
      <c r="Q156" s="59"/>
      <c r="R156" s="54"/>
      <c r="S156" s="55"/>
    </row>
    <row r="157" spans="11:19" x14ac:dyDescent="0.25">
      <c r="K157" s="58"/>
      <c r="L157" s="59"/>
      <c r="M157" s="54"/>
      <c r="N157" s="55"/>
      <c r="P157" s="58"/>
      <c r="Q157" s="59"/>
      <c r="R157" s="54"/>
      <c r="S157" s="55"/>
    </row>
    <row r="158" spans="11:19" x14ac:dyDescent="0.25">
      <c r="K158" s="58"/>
      <c r="L158" s="59"/>
      <c r="M158" s="54"/>
      <c r="N158" s="55"/>
      <c r="P158" s="58"/>
      <c r="Q158" s="59"/>
      <c r="R158" s="54"/>
      <c r="S158" s="55"/>
    </row>
    <row r="159" spans="11:19" x14ac:dyDescent="0.25">
      <c r="K159" s="58"/>
      <c r="L159" s="59"/>
      <c r="M159" s="54"/>
      <c r="N159" s="55"/>
      <c r="P159" s="58"/>
      <c r="Q159" s="59"/>
      <c r="R159" s="54"/>
      <c r="S159" s="55"/>
    </row>
    <row r="160" spans="11:19" x14ac:dyDescent="0.25">
      <c r="K160" s="58"/>
      <c r="L160" s="59"/>
      <c r="M160" s="54"/>
      <c r="N160" s="55"/>
      <c r="P160" s="58"/>
      <c r="Q160" s="59"/>
      <c r="R160" s="54"/>
      <c r="S160" s="55"/>
    </row>
    <row r="161" spans="11:19" x14ac:dyDescent="0.25">
      <c r="K161" s="58"/>
      <c r="L161" s="59"/>
      <c r="M161" s="54"/>
      <c r="N161" s="55"/>
      <c r="P161" s="58"/>
      <c r="Q161" s="59"/>
      <c r="R161" s="54"/>
      <c r="S161" s="55"/>
    </row>
    <row r="162" spans="11:19" x14ac:dyDescent="0.25">
      <c r="K162" s="58"/>
      <c r="L162" s="59"/>
      <c r="M162" s="54"/>
      <c r="N162" s="55"/>
      <c r="P162" s="58"/>
      <c r="Q162" s="59"/>
      <c r="R162" s="54"/>
      <c r="S162" s="55"/>
    </row>
    <row r="163" spans="11:19" x14ac:dyDescent="0.25">
      <c r="K163" s="58"/>
      <c r="L163" s="59"/>
      <c r="M163" s="54"/>
      <c r="N163" s="55"/>
      <c r="P163" s="58"/>
      <c r="Q163" s="59"/>
      <c r="R163" s="54"/>
      <c r="S163" s="55"/>
    </row>
    <row r="164" spans="11:19" x14ac:dyDescent="0.25">
      <c r="K164" s="58"/>
      <c r="L164" s="59"/>
      <c r="M164" s="54"/>
      <c r="N164" s="55"/>
      <c r="P164" s="58"/>
      <c r="Q164" s="59"/>
      <c r="R164" s="54"/>
      <c r="S164" s="55"/>
    </row>
    <row r="165" spans="11:19" x14ac:dyDescent="0.25">
      <c r="K165" s="58"/>
      <c r="L165" s="59"/>
      <c r="M165" s="54"/>
      <c r="N165" s="55"/>
      <c r="P165" s="58"/>
      <c r="Q165" s="59"/>
      <c r="R165" s="54"/>
      <c r="S165" s="55"/>
    </row>
    <row r="166" spans="11:19" x14ac:dyDescent="0.25">
      <c r="K166" s="58"/>
      <c r="L166" s="59"/>
      <c r="M166" s="54"/>
      <c r="N166" s="55"/>
      <c r="P166" s="58"/>
      <c r="Q166" s="59"/>
      <c r="R166" s="54"/>
      <c r="S166" s="55"/>
    </row>
    <row r="167" spans="11:19" x14ac:dyDescent="0.25">
      <c r="K167" s="58"/>
      <c r="L167" s="59"/>
      <c r="M167" s="54"/>
      <c r="N167" s="55"/>
      <c r="P167" s="58"/>
      <c r="Q167" s="59"/>
      <c r="R167" s="54"/>
      <c r="S167" s="55"/>
    </row>
    <row r="168" spans="11:19" x14ac:dyDescent="0.25">
      <c r="K168" s="58"/>
      <c r="L168" s="59"/>
      <c r="M168" s="54"/>
      <c r="N168" s="55"/>
      <c r="P168" s="58"/>
      <c r="Q168" s="59"/>
      <c r="R168" s="54"/>
      <c r="S168" s="55"/>
    </row>
    <row r="169" spans="11:19" x14ac:dyDescent="0.25">
      <c r="K169" s="58"/>
      <c r="L169" s="59"/>
      <c r="M169" s="54"/>
      <c r="N169" s="55"/>
      <c r="P169" s="58"/>
      <c r="Q169" s="59"/>
      <c r="R169" s="54"/>
      <c r="S169" s="55"/>
    </row>
    <row r="170" spans="11:19" x14ac:dyDescent="0.25">
      <c r="K170" s="58"/>
      <c r="L170" s="59"/>
      <c r="M170" s="54"/>
      <c r="N170" s="55"/>
      <c r="P170" s="58"/>
      <c r="Q170" s="59"/>
      <c r="R170" s="54"/>
      <c r="S170" s="55"/>
    </row>
    <row r="171" spans="11:19" x14ac:dyDescent="0.25">
      <c r="K171" s="58"/>
      <c r="L171" s="59"/>
      <c r="M171" s="54"/>
      <c r="N171" s="55"/>
      <c r="P171" s="58"/>
      <c r="Q171" s="59"/>
      <c r="R171" s="54"/>
      <c r="S171" s="55"/>
    </row>
    <row r="172" spans="11:19" x14ac:dyDescent="0.25">
      <c r="K172" s="58"/>
      <c r="L172" s="59"/>
      <c r="M172" s="54"/>
      <c r="N172" s="55"/>
      <c r="P172" s="58"/>
      <c r="Q172" s="59"/>
      <c r="R172" s="54"/>
      <c r="S172" s="55"/>
    </row>
    <row r="173" spans="11:19" x14ac:dyDescent="0.25">
      <c r="K173" s="58"/>
      <c r="L173" s="59"/>
      <c r="M173" s="54"/>
      <c r="N173" s="55"/>
      <c r="P173" s="58"/>
      <c r="Q173" s="59"/>
      <c r="R173" s="54"/>
      <c r="S173" s="55"/>
    </row>
    <row r="174" spans="11:19" x14ac:dyDescent="0.25">
      <c r="K174" s="58"/>
      <c r="L174" s="59"/>
      <c r="M174" s="54"/>
      <c r="N174" s="55"/>
      <c r="P174" s="58"/>
      <c r="Q174" s="59"/>
      <c r="R174" s="54"/>
      <c r="S174" s="55"/>
    </row>
    <row r="175" spans="11:19" x14ac:dyDescent="0.25">
      <c r="K175" s="58"/>
      <c r="L175" s="59"/>
      <c r="M175" s="54"/>
      <c r="N175" s="55"/>
      <c r="P175" s="58"/>
      <c r="Q175" s="59"/>
      <c r="R175" s="54"/>
      <c r="S175" s="55"/>
    </row>
    <row r="176" spans="11:19" x14ac:dyDescent="0.25">
      <c r="K176" s="58"/>
      <c r="L176" s="59"/>
      <c r="M176" s="54"/>
      <c r="N176" s="55"/>
      <c r="P176" s="58"/>
      <c r="Q176" s="59"/>
      <c r="R176" s="54"/>
      <c r="S176" s="55"/>
    </row>
    <row r="177" spans="11:19" x14ac:dyDescent="0.25">
      <c r="K177" s="58"/>
      <c r="L177" s="59"/>
      <c r="M177" s="54"/>
      <c r="N177" s="55"/>
      <c r="P177" s="58"/>
      <c r="Q177" s="59"/>
      <c r="R177" s="54"/>
      <c r="S177" s="55"/>
    </row>
    <row r="178" spans="11:19" x14ac:dyDescent="0.25">
      <c r="K178" s="58"/>
      <c r="L178" s="59"/>
      <c r="M178" s="54"/>
      <c r="N178" s="55"/>
      <c r="P178" s="58"/>
      <c r="Q178" s="59"/>
      <c r="R178" s="54"/>
      <c r="S178" s="55"/>
    </row>
    <row r="179" spans="11:19" x14ac:dyDescent="0.25">
      <c r="K179" s="58"/>
      <c r="L179" s="59"/>
      <c r="M179" s="54"/>
      <c r="N179" s="55"/>
      <c r="P179" s="58"/>
      <c r="Q179" s="59"/>
      <c r="R179" s="54"/>
      <c r="S179" s="55"/>
    </row>
    <row r="180" spans="11:19" x14ac:dyDescent="0.25">
      <c r="K180" s="58"/>
      <c r="L180" s="59"/>
      <c r="M180" s="54"/>
      <c r="N180" s="55"/>
      <c r="P180" s="58"/>
      <c r="Q180" s="59"/>
      <c r="R180" s="54"/>
      <c r="S180" s="55"/>
    </row>
    <row r="181" spans="11:19" x14ac:dyDescent="0.25">
      <c r="K181" s="58"/>
      <c r="L181" s="59"/>
      <c r="M181" s="54"/>
      <c r="N181" s="55"/>
      <c r="P181" s="58"/>
      <c r="Q181" s="59"/>
      <c r="R181" s="54"/>
      <c r="S181" s="55"/>
    </row>
    <row r="182" spans="11:19" x14ac:dyDescent="0.25">
      <c r="K182" s="58"/>
      <c r="L182" s="59"/>
      <c r="M182" s="54"/>
      <c r="N182" s="55"/>
      <c r="P182" s="58"/>
      <c r="Q182" s="59"/>
      <c r="R182" s="54"/>
      <c r="S182" s="55"/>
    </row>
    <row r="183" spans="11:19" x14ac:dyDescent="0.25">
      <c r="K183" s="58"/>
      <c r="L183" s="59"/>
      <c r="M183" s="54"/>
      <c r="N183" s="55"/>
      <c r="P183" s="58"/>
      <c r="Q183" s="59"/>
      <c r="R183" s="54"/>
      <c r="S183" s="55"/>
    </row>
    <row r="184" spans="11:19" x14ac:dyDescent="0.25">
      <c r="K184" s="58"/>
      <c r="L184" s="59"/>
      <c r="M184" s="54"/>
      <c r="N184" s="55"/>
      <c r="P184" s="58"/>
      <c r="Q184" s="59"/>
      <c r="R184" s="54"/>
      <c r="S184" s="55"/>
    </row>
    <row r="185" spans="11:19" x14ac:dyDescent="0.25">
      <c r="K185" s="58"/>
      <c r="L185" s="59"/>
      <c r="M185" s="54"/>
      <c r="N185" s="55"/>
      <c r="P185" s="58"/>
      <c r="Q185" s="59"/>
      <c r="R185" s="54"/>
      <c r="S185" s="55"/>
    </row>
    <row r="186" spans="11:19" x14ac:dyDescent="0.25">
      <c r="K186" s="58"/>
      <c r="L186" s="59"/>
      <c r="M186" s="54"/>
      <c r="N186" s="55"/>
      <c r="P186" s="58"/>
      <c r="Q186" s="59"/>
      <c r="R186" s="54"/>
      <c r="S186" s="55"/>
    </row>
    <row r="187" spans="11:19" x14ac:dyDescent="0.25">
      <c r="K187" s="58"/>
      <c r="L187" s="59"/>
      <c r="M187" s="54"/>
      <c r="N187" s="55"/>
      <c r="P187" s="58"/>
      <c r="Q187" s="59"/>
      <c r="R187" s="54"/>
      <c r="S187" s="55"/>
    </row>
    <row r="188" spans="11:19" x14ac:dyDescent="0.25">
      <c r="K188" s="58"/>
      <c r="L188" s="59"/>
      <c r="M188" s="54"/>
      <c r="N188" s="55"/>
      <c r="P188" s="58"/>
      <c r="Q188" s="59"/>
      <c r="R188" s="54"/>
      <c r="S188" s="55"/>
    </row>
    <row r="189" spans="11:19" x14ac:dyDescent="0.25">
      <c r="K189" s="58"/>
      <c r="L189" s="59"/>
      <c r="M189" s="54"/>
      <c r="N189" s="55"/>
      <c r="P189" s="58"/>
      <c r="Q189" s="59"/>
      <c r="R189" s="54"/>
      <c r="S189" s="55"/>
    </row>
    <row r="190" spans="11:19" x14ac:dyDescent="0.25">
      <c r="K190" s="58"/>
      <c r="L190" s="59"/>
      <c r="M190" s="54"/>
      <c r="N190" s="55"/>
      <c r="P190" s="58"/>
      <c r="Q190" s="59"/>
      <c r="R190" s="54"/>
      <c r="S190" s="55"/>
    </row>
    <row r="191" spans="11:19" x14ac:dyDescent="0.25">
      <c r="K191" s="58"/>
      <c r="L191" s="59"/>
      <c r="M191" s="54"/>
      <c r="N191" s="55"/>
      <c r="P191" s="58"/>
      <c r="Q191" s="59"/>
      <c r="R191" s="54"/>
      <c r="S191" s="55"/>
    </row>
    <row r="192" spans="11:19" x14ac:dyDescent="0.25">
      <c r="K192" s="58"/>
      <c r="L192" s="59"/>
      <c r="M192" s="54"/>
      <c r="N192" s="55"/>
      <c r="P192" s="58"/>
      <c r="Q192" s="59"/>
      <c r="R192" s="54"/>
      <c r="S192" s="55"/>
    </row>
    <row r="193" spans="11:19" x14ac:dyDescent="0.25">
      <c r="K193" s="58"/>
      <c r="L193" s="59"/>
      <c r="M193" s="54"/>
      <c r="N193" s="55"/>
      <c r="P193" s="58"/>
      <c r="Q193" s="59"/>
      <c r="R193" s="54"/>
      <c r="S193" s="55"/>
    </row>
    <row r="194" spans="11:19" x14ac:dyDescent="0.25">
      <c r="K194" s="58"/>
      <c r="L194" s="59"/>
      <c r="M194" s="54"/>
      <c r="N194" s="55"/>
      <c r="P194" s="58"/>
      <c r="Q194" s="59"/>
      <c r="R194" s="54"/>
      <c r="S194" s="55"/>
    </row>
    <row r="195" spans="11:19" x14ac:dyDescent="0.25">
      <c r="K195" s="58"/>
      <c r="L195" s="59"/>
      <c r="M195" s="54"/>
      <c r="N195" s="55"/>
      <c r="P195" s="58"/>
      <c r="Q195" s="59"/>
      <c r="R195" s="54"/>
      <c r="S195" s="55"/>
    </row>
    <row r="196" spans="11:19" x14ac:dyDescent="0.25">
      <c r="K196" s="58"/>
      <c r="L196" s="59"/>
      <c r="M196" s="54"/>
      <c r="N196" s="55"/>
      <c r="P196" s="58"/>
      <c r="Q196" s="59"/>
      <c r="R196" s="54"/>
      <c r="S196" s="55"/>
    </row>
    <row r="197" spans="11:19" x14ac:dyDescent="0.25">
      <c r="K197" s="58"/>
      <c r="L197" s="59"/>
      <c r="M197" s="54"/>
      <c r="N197" s="55"/>
      <c r="P197" s="58"/>
      <c r="Q197" s="59"/>
      <c r="R197" s="54"/>
      <c r="S197" s="55"/>
    </row>
    <row r="198" spans="11:19" x14ac:dyDescent="0.25">
      <c r="K198" s="58"/>
      <c r="L198" s="59"/>
      <c r="M198" s="54"/>
      <c r="N198" s="55"/>
      <c r="P198" s="58"/>
      <c r="Q198" s="59"/>
      <c r="R198" s="54"/>
      <c r="S198" s="55"/>
    </row>
    <row r="199" spans="11:19" x14ac:dyDescent="0.25">
      <c r="K199" s="58"/>
      <c r="L199" s="59"/>
      <c r="M199" s="54"/>
      <c r="N199" s="55"/>
      <c r="P199" s="58"/>
      <c r="Q199" s="59"/>
      <c r="R199" s="54"/>
      <c r="S199" s="55"/>
    </row>
    <row r="200" spans="11:19" x14ac:dyDescent="0.25">
      <c r="K200" s="58"/>
      <c r="L200" s="59"/>
      <c r="M200" s="54"/>
      <c r="N200" s="55"/>
      <c r="P200" s="58"/>
      <c r="Q200" s="59"/>
      <c r="R200" s="54"/>
      <c r="S200" s="55"/>
    </row>
    <row r="201" spans="11:19" x14ac:dyDescent="0.25">
      <c r="K201" s="58"/>
      <c r="L201" s="59"/>
      <c r="M201" s="54"/>
      <c r="N201" s="55"/>
      <c r="P201" s="58"/>
      <c r="Q201" s="59"/>
      <c r="R201" s="54"/>
      <c r="S201" s="55"/>
    </row>
    <row r="202" spans="11:19" x14ac:dyDescent="0.25">
      <c r="K202" s="58"/>
      <c r="L202" s="59"/>
      <c r="M202" s="54"/>
      <c r="N202" s="55"/>
      <c r="P202" s="58"/>
      <c r="Q202" s="59"/>
      <c r="R202" s="54"/>
      <c r="S202" s="55"/>
    </row>
    <row r="203" spans="11:19" x14ac:dyDescent="0.25">
      <c r="K203" s="58"/>
      <c r="L203" s="59"/>
      <c r="M203" s="54"/>
      <c r="N203" s="55"/>
      <c r="P203" s="58"/>
      <c r="Q203" s="59"/>
      <c r="R203" s="54"/>
      <c r="S203" s="55"/>
    </row>
    <row r="204" spans="11:19" x14ac:dyDescent="0.25">
      <c r="K204" s="58"/>
      <c r="L204" s="59"/>
      <c r="M204" s="54"/>
      <c r="N204" s="55"/>
      <c r="P204" s="58"/>
      <c r="Q204" s="59"/>
      <c r="R204" s="54"/>
      <c r="S204" s="55"/>
    </row>
    <row r="205" spans="11:19" x14ac:dyDescent="0.25">
      <c r="K205" s="58"/>
      <c r="L205" s="59"/>
      <c r="M205" s="54"/>
      <c r="N205" s="55"/>
      <c r="P205" s="58"/>
      <c r="Q205" s="59"/>
      <c r="R205" s="54"/>
      <c r="S205" s="55"/>
    </row>
    <row r="206" spans="11:19" x14ac:dyDescent="0.25">
      <c r="K206" s="58"/>
      <c r="L206" s="59"/>
      <c r="M206" s="54"/>
      <c r="N206" s="55"/>
      <c r="P206" s="58"/>
      <c r="Q206" s="59"/>
      <c r="R206" s="54"/>
      <c r="S206" s="55"/>
    </row>
    <row r="207" spans="11:19" x14ac:dyDescent="0.25">
      <c r="K207" s="58"/>
      <c r="L207" s="59"/>
      <c r="M207" s="54"/>
      <c r="N207" s="55"/>
      <c r="P207" s="58"/>
      <c r="Q207" s="59"/>
      <c r="R207" s="54"/>
      <c r="S207" s="55"/>
    </row>
    <row r="208" spans="11:19" x14ac:dyDescent="0.25">
      <c r="K208" s="58"/>
      <c r="L208" s="59"/>
      <c r="M208" s="54"/>
      <c r="N208" s="55"/>
      <c r="P208" s="58"/>
      <c r="Q208" s="59"/>
      <c r="R208" s="54"/>
      <c r="S208" s="55"/>
    </row>
    <row r="209" spans="11:19" x14ac:dyDescent="0.25">
      <c r="K209" s="58"/>
      <c r="L209" s="59"/>
      <c r="M209" s="54"/>
      <c r="N209" s="55"/>
      <c r="P209" s="58"/>
      <c r="Q209" s="59"/>
      <c r="R209" s="54"/>
      <c r="S209" s="55"/>
    </row>
    <row r="210" spans="11:19" x14ac:dyDescent="0.25">
      <c r="K210" s="58"/>
      <c r="L210" s="59"/>
      <c r="M210" s="54"/>
      <c r="N210" s="55"/>
      <c r="P210" s="58"/>
      <c r="Q210" s="59"/>
      <c r="R210" s="54"/>
      <c r="S210" s="55"/>
    </row>
    <row r="211" spans="11:19" x14ac:dyDescent="0.25">
      <c r="K211" s="58"/>
      <c r="L211" s="59"/>
      <c r="M211" s="54"/>
      <c r="N211" s="55"/>
      <c r="P211" s="58"/>
      <c r="Q211" s="59"/>
      <c r="R211" s="54"/>
      <c r="S211" s="55"/>
    </row>
    <row r="212" spans="11:19" x14ac:dyDescent="0.25">
      <c r="K212" s="58"/>
      <c r="L212" s="59"/>
      <c r="M212" s="54"/>
      <c r="N212" s="55"/>
      <c r="P212" s="58"/>
      <c r="Q212" s="59"/>
      <c r="R212" s="54"/>
      <c r="S212" s="55"/>
    </row>
    <row r="213" spans="11:19" x14ac:dyDescent="0.25">
      <c r="K213" s="58"/>
      <c r="L213" s="59"/>
      <c r="M213" s="54"/>
      <c r="N213" s="55"/>
      <c r="P213" s="58"/>
      <c r="Q213" s="59"/>
      <c r="R213" s="54"/>
      <c r="S213" s="55"/>
    </row>
    <row r="214" spans="11:19" x14ac:dyDescent="0.25">
      <c r="K214" s="58"/>
      <c r="L214" s="59"/>
      <c r="M214" s="54"/>
      <c r="N214" s="55"/>
      <c r="P214" s="58"/>
      <c r="Q214" s="59"/>
      <c r="R214" s="54"/>
      <c r="S214" s="55"/>
    </row>
    <row r="215" spans="11:19" x14ac:dyDescent="0.25">
      <c r="K215" s="58"/>
      <c r="L215" s="59"/>
      <c r="M215" s="54"/>
      <c r="N215" s="55"/>
      <c r="P215" s="58"/>
      <c r="Q215" s="59"/>
      <c r="R215" s="54"/>
      <c r="S215" s="55"/>
    </row>
    <row r="216" spans="11:19" x14ac:dyDescent="0.25">
      <c r="K216" s="58"/>
      <c r="L216" s="59"/>
      <c r="M216" s="54"/>
      <c r="N216" s="55"/>
      <c r="P216" s="58"/>
      <c r="Q216" s="59"/>
      <c r="R216" s="54"/>
      <c r="S216" s="55"/>
    </row>
    <row r="217" spans="11:19" x14ac:dyDescent="0.25">
      <c r="K217" s="58"/>
      <c r="L217" s="59"/>
      <c r="M217" s="54"/>
      <c r="N217" s="55"/>
      <c r="P217" s="58"/>
      <c r="Q217" s="59"/>
      <c r="R217" s="54"/>
      <c r="S217" s="55"/>
    </row>
    <row r="218" spans="11:19" x14ac:dyDescent="0.25">
      <c r="K218" s="58"/>
      <c r="L218" s="59"/>
      <c r="M218" s="54"/>
      <c r="N218" s="55"/>
      <c r="P218" s="58"/>
      <c r="Q218" s="59"/>
      <c r="R218" s="54"/>
      <c r="S218" s="55"/>
    </row>
    <row r="219" spans="11:19" x14ac:dyDescent="0.25">
      <c r="K219" s="58"/>
      <c r="L219" s="59"/>
      <c r="M219" s="54"/>
      <c r="N219" s="55"/>
      <c r="P219" s="58"/>
      <c r="Q219" s="59"/>
      <c r="R219" s="54"/>
      <c r="S219" s="55"/>
    </row>
    <row r="220" spans="11:19" x14ac:dyDescent="0.25">
      <c r="K220" s="58"/>
      <c r="L220" s="59"/>
      <c r="M220" s="54"/>
      <c r="N220" s="55"/>
      <c r="P220" s="58"/>
      <c r="Q220" s="59"/>
      <c r="R220" s="54"/>
      <c r="S220" s="55"/>
    </row>
    <row r="221" spans="11:19" x14ac:dyDescent="0.25">
      <c r="K221" s="58"/>
      <c r="L221" s="59"/>
      <c r="M221" s="54"/>
      <c r="N221" s="55"/>
      <c r="P221" s="58"/>
      <c r="Q221" s="59"/>
      <c r="R221" s="54"/>
      <c r="S221" s="55"/>
    </row>
    <row r="222" spans="11:19" x14ac:dyDescent="0.25">
      <c r="K222" s="58"/>
      <c r="L222" s="59"/>
      <c r="M222" s="54"/>
      <c r="N222" s="55"/>
      <c r="P222" s="58"/>
      <c r="Q222" s="59"/>
      <c r="R222" s="54"/>
      <c r="S222" s="55"/>
    </row>
    <row r="223" spans="11:19" x14ac:dyDescent="0.25">
      <c r="K223" s="58"/>
      <c r="L223" s="59"/>
      <c r="M223" s="54"/>
      <c r="N223" s="55"/>
      <c r="P223" s="58"/>
      <c r="Q223" s="59"/>
      <c r="R223" s="54"/>
      <c r="S223" s="55"/>
    </row>
    <row r="224" spans="11:19" x14ac:dyDescent="0.25">
      <c r="K224" s="58"/>
      <c r="L224" s="59"/>
      <c r="M224" s="54"/>
      <c r="N224" s="55"/>
      <c r="P224" s="58"/>
      <c r="Q224" s="59"/>
      <c r="R224" s="54"/>
      <c r="S224" s="55"/>
    </row>
    <row r="225" spans="11:19" x14ac:dyDescent="0.25">
      <c r="K225" s="58"/>
      <c r="L225" s="59"/>
      <c r="M225" s="54"/>
      <c r="N225" s="55"/>
      <c r="P225" s="58"/>
      <c r="Q225" s="59"/>
      <c r="R225" s="54"/>
      <c r="S225" s="55"/>
    </row>
    <row r="226" spans="11:19" x14ac:dyDescent="0.25">
      <c r="K226" s="58"/>
      <c r="L226" s="59"/>
      <c r="M226" s="54"/>
      <c r="N226" s="55"/>
      <c r="P226" s="58"/>
      <c r="Q226" s="59"/>
      <c r="R226" s="54"/>
      <c r="S226" s="55"/>
    </row>
    <row r="227" spans="11:19" x14ac:dyDescent="0.25">
      <c r="K227" s="58"/>
      <c r="L227" s="59"/>
      <c r="M227" s="54"/>
      <c r="N227" s="55"/>
      <c r="P227" s="58"/>
      <c r="Q227" s="59"/>
      <c r="R227" s="54"/>
      <c r="S227" s="55"/>
    </row>
    <row r="228" spans="11:19" x14ac:dyDescent="0.25">
      <c r="K228" s="58"/>
      <c r="L228" s="59"/>
      <c r="M228" s="54"/>
      <c r="N228" s="55"/>
      <c r="P228" s="58"/>
      <c r="Q228" s="59"/>
      <c r="R228" s="54"/>
      <c r="S228" s="55"/>
    </row>
    <row r="229" spans="11:19" x14ac:dyDescent="0.25">
      <c r="K229" s="58"/>
      <c r="L229" s="59"/>
      <c r="M229" s="54"/>
      <c r="N229" s="55"/>
      <c r="P229" s="58"/>
      <c r="Q229" s="59"/>
      <c r="R229" s="54"/>
      <c r="S229" s="55"/>
    </row>
    <row r="230" spans="11:19" x14ac:dyDescent="0.25">
      <c r="K230" s="58"/>
      <c r="L230" s="59"/>
      <c r="M230" s="54"/>
      <c r="N230" s="55"/>
      <c r="P230" s="58"/>
      <c r="Q230" s="59"/>
      <c r="R230" s="54"/>
      <c r="S230" s="55"/>
    </row>
    <row r="231" spans="11:19" x14ac:dyDescent="0.25">
      <c r="K231" s="58"/>
      <c r="L231" s="59"/>
      <c r="M231" s="54"/>
      <c r="N231" s="55"/>
      <c r="P231" s="58"/>
      <c r="Q231" s="59"/>
      <c r="R231" s="54"/>
      <c r="S231" s="55"/>
    </row>
    <row r="232" spans="11:19" x14ac:dyDescent="0.25">
      <c r="K232" s="58"/>
      <c r="L232" s="59"/>
      <c r="M232" s="54"/>
      <c r="N232" s="55"/>
      <c r="P232" s="58"/>
      <c r="Q232" s="59"/>
      <c r="R232" s="54"/>
      <c r="S232" s="55"/>
    </row>
    <row r="233" spans="11:19" x14ac:dyDescent="0.25">
      <c r="K233" s="58"/>
      <c r="L233" s="59"/>
      <c r="M233" s="54"/>
      <c r="N233" s="55"/>
      <c r="P233" s="58"/>
      <c r="Q233" s="59"/>
      <c r="R233" s="54"/>
      <c r="S233" s="55"/>
    </row>
    <row r="234" spans="11:19" x14ac:dyDescent="0.25">
      <c r="K234" s="58"/>
      <c r="L234" s="59"/>
      <c r="M234" s="54"/>
      <c r="N234" s="55"/>
      <c r="P234" s="58"/>
      <c r="Q234" s="59"/>
      <c r="R234" s="54"/>
      <c r="S234" s="55"/>
    </row>
    <row r="235" spans="11:19" x14ac:dyDescent="0.25">
      <c r="K235" s="58"/>
      <c r="L235" s="59"/>
      <c r="M235" s="54"/>
      <c r="N235" s="55"/>
      <c r="P235" s="58"/>
      <c r="Q235" s="59"/>
      <c r="R235" s="54"/>
      <c r="S235" s="55"/>
    </row>
    <row r="236" spans="11:19" x14ac:dyDescent="0.25">
      <c r="K236" s="58"/>
      <c r="L236" s="59"/>
      <c r="M236" s="54"/>
      <c r="N236" s="55"/>
      <c r="P236" s="58"/>
      <c r="Q236" s="59"/>
      <c r="R236" s="54"/>
      <c r="S236" s="55"/>
    </row>
    <row r="237" spans="11:19" x14ac:dyDescent="0.25">
      <c r="K237" s="58"/>
      <c r="L237" s="59"/>
      <c r="M237" s="54"/>
      <c r="N237" s="55"/>
      <c r="P237" s="58"/>
      <c r="Q237" s="59"/>
      <c r="R237" s="54"/>
      <c r="S237" s="55"/>
    </row>
    <row r="238" spans="11:19" x14ac:dyDescent="0.25">
      <c r="K238" s="58"/>
      <c r="L238" s="59"/>
      <c r="M238" s="54"/>
      <c r="N238" s="55"/>
      <c r="P238" s="58"/>
      <c r="Q238" s="59"/>
      <c r="R238" s="54"/>
      <c r="S238" s="55"/>
    </row>
    <row r="239" spans="11:19" x14ac:dyDescent="0.25">
      <c r="K239" s="58"/>
      <c r="L239" s="59"/>
      <c r="M239" s="54"/>
      <c r="N239" s="55"/>
      <c r="P239" s="58"/>
      <c r="Q239" s="59"/>
      <c r="R239" s="54"/>
      <c r="S239" s="55"/>
    </row>
    <row r="240" spans="11:19" x14ac:dyDescent="0.25">
      <c r="K240" s="58"/>
      <c r="L240" s="59"/>
      <c r="M240" s="54"/>
      <c r="N240" s="55"/>
      <c r="P240" s="58"/>
      <c r="Q240" s="59"/>
      <c r="R240" s="54"/>
      <c r="S240" s="55"/>
    </row>
    <row r="241" spans="11:19" x14ac:dyDescent="0.25">
      <c r="K241" s="58"/>
      <c r="L241" s="59"/>
      <c r="M241" s="54"/>
      <c r="N241" s="55"/>
      <c r="P241" s="58"/>
      <c r="Q241" s="59"/>
      <c r="R241" s="54"/>
      <c r="S241" s="55"/>
    </row>
    <row r="242" spans="11:19" x14ac:dyDescent="0.25">
      <c r="K242" s="58"/>
      <c r="L242" s="59"/>
      <c r="M242" s="54"/>
      <c r="N242" s="55"/>
      <c r="P242" s="58"/>
      <c r="Q242" s="59"/>
      <c r="R242" s="54"/>
      <c r="S242" s="55"/>
    </row>
    <row r="243" spans="11:19" x14ac:dyDescent="0.25">
      <c r="K243" s="58"/>
      <c r="L243" s="59"/>
      <c r="M243" s="54"/>
      <c r="N243" s="55"/>
      <c r="P243" s="58"/>
      <c r="Q243" s="59"/>
      <c r="R243" s="54"/>
      <c r="S243" s="55"/>
    </row>
    <row r="244" spans="11:19" x14ac:dyDescent="0.25">
      <c r="K244" s="58"/>
      <c r="L244" s="59"/>
      <c r="M244" s="54"/>
      <c r="N244" s="55"/>
      <c r="P244" s="58"/>
      <c r="Q244" s="59"/>
      <c r="R244" s="54"/>
      <c r="S244" s="55"/>
    </row>
    <row r="245" spans="11:19" x14ac:dyDescent="0.25">
      <c r="K245" s="58"/>
      <c r="L245" s="59"/>
      <c r="M245" s="54"/>
      <c r="N245" s="55"/>
      <c r="P245" s="58"/>
      <c r="Q245" s="59"/>
      <c r="R245" s="54"/>
      <c r="S245" s="55"/>
    </row>
    <row r="246" spans="11:19" x14ac:dyDescent="0.25">
      <c r="K246" s="58"/>
      <c r="L246" s="59"/>
      <c r="M246" s="54"/>
      <c r="N246" s="55"/>
      <c r="P246" s="58"/>
      <c r="Q246" s="59"/>
      <c r="R246" s="54"/>
      <c r="S246" s="55"/>
    </row>
    <row r="247" spans="11:19" x14ac:dyDescent="0.25">
      <c r="K247" s="58"/>
      <c r="L247" s="59"/>
      <c r="M247" s="54"/>
      <c r="N247" s="55"/>
      <c r="P247" s="58"/>
      <c r="Q247" s="59"/>
      <c r="R247" s="54"/>
      <c r="S247" s="55"/>
    </row>
    <row r="248" spans="11:19" x14ac:dyDescent="0.25">
      <c r="K248" s="58"/>
      <c r="L248" s="59"/>
      <c r="M248" s="54"/>
      <c r="N248" s="55"/>
      <c r="P248" s="58"/>
      <c r="Q248" s="59"/>
      <c r="R248" s="54"/>
      <c r="S248" s="55"/>
    </row>
    <row r="249" spans="11:19" x14ac:dyDescent="0.25">
      <c r="K249" s="58"/>
      <c r="L249" s="59"/>
      <c r="M249" s="54"/>
      <c r="N249" s="55"/>
      <c r="P249" s="58"/>
      <c r="Q249" s="59"/>
      <c r="R249" s="54"/>
      <c r="S249" s="55"/>
    </row>
    <row r="250" spans="11:19" x14ac:dyDescent="0.25">
      <c r="K250" s="58"/>
      <c r="L250" s="59"/>
      <c r="M250" s="54"/>
      <c r="N250" s="55"/>
      <c r="P250" s="58"/>
      <c r="Q250" s="59"/>
      <c r="R250" s="54"/>
      <c r="S250" s="55"/>
    </row>
    <row r="251" spans="11:19" x14ac:dyDescent="0.25">
      <c r="K251" s="58"/>
      <c r="L251" s="59"/>
      <c r="M251" s="54"/>
      <c r="N251" s="55"/>
      <c r="P251" s="58"/>
      <c r="Q251" s="59"/>
      <c r="R251" s="54"/>
      <c r="S251" s="55"/>
    </row>
    <row r="252" spans="11:19" x14ac:dyDescent="0.25">
      <c r="K252" s="58"/>
      <c r="L252" s="59"/>
      <c r="M252" s="54"/>
      <c r="N252" s="55"/>
      <c r="P252" s="58"/>
      <c r="Q252" s="59"/>
      <c r="R252" s="54"/>
      <c r="S252" s="55"/>
    </row>
    <row r="253" spans="11:19" x14ac:dyDescent="0.25">
      <c r="K253" s="58"/>
      <c r="L253" s="59"/>
      <c r="M253" s="54"/>
      <c r="N253" s="55"/>
      <c r="P253" s="58"/>
      <c r="Q253" s="59"/>
      <c r="R253" s="54"/>
      <c r="S253" s="55"/>
    </row>
    <row r="254" spans="11:19" x14ac:dyDescent="0.25">
      <c r="K254" s="58"/>
      <c r="L254" s="59"/>
      <c r="M254" s="54"/>
      <c r="N254" s="55"/>
      <c r="P254" s="58"/>
      <c r="Q254" s="59"/>
      <c r="R254" s="54"/>
      <c r="S254" s="55"/>
    </row>
    <row r="255" spans="11:19" x14ac:dyDescent="0.25">
      <c r="K255" s="58"/>
      <c r="L255" s="59"/>
      <c r="M255" s="54"/>
      <c r="N255" s="55"/>
      <c r="P255" s="58"/>
      <c r="Q255" s="59"/>
      <c r="R255" s="54"/>
      <c r="S255" s="55"/>
    </row>
    <row r="256" spans="11:19" x14ac:dyDescent="0.25">
      <c r="K256" s="58"/>
      <c r="L256" s="59"/>
      <c r="M256" s="54"/>
      <c r="N256" s="55"/>
      <c r="P256" s="58"/>
      <c r="Q256" s="59"/>
      <c r="R256" s="54"/>
      <c r="S256" s="55"/>
    </row>
    <row r="257" spans="11:19" x14ac:dyDescent="0.25">
      <c r="K257" s="58"/>
      <c r="L257" s="59"/>
      <c r="M257" s="54"/>
      <c r="N257" s="55"/>
      <c r="P257" s="58"/>
      <c r="Q257" s="59"/>
      <c r="R257" s="54"/>
      <c r="S257" s="55"/>
    </row>
    <row r="258" spans="11:19" x14ac:dyDescent="0.25">
      <c r="K258" s="58"/>
      <c r="L258" s="59"/>
      <c r="M258" s="54"/>
      <c r="N258" s="55"/>
      <c r="P258" s="58"/>
      <c r="Q258" s="59"/>
      <c r="R258" s="54"/>
      <c r="S258" s="55"/>
    </row>
    <row r="259" spans="11:19" x14ac:dyDescent="0.25">
      <c r="K259" s="58"/>
      <c r="L259" s="59"/>
      <c r="M259" s="54"/>
      <c r="N259" s="55"/>
      <c r="P259" s="58"/>
      <c r="Q259" s="59"/>
      <c r="R259" s="54"/>
      <c r="S259" s="55"/>
    </row>
    <row r="260" spans="11:19" x14ac:dyDescent="0.25">
      <c r="K260" s="58"/>
      <c r="L260" s="59"/>
      <c r="M260" s="54"/>
      <c r="N260" s="55"/>
      <c r="P260" s="58"/>
      <c r="Q260" s="59"/>
      <c r="R260" s="54"/>
      <c r="S260" s="55"/>
    </row>
    <row r="261" spans="11:19" x14ac:dyDescent="0.25">
      <c r="K261" s="58"/>
      <c r="L261" s="59"/>
      <c r="M261" s="54"/>
      <c r="N261" s="55"/>
      <c r="P261" s="58"/>
      <c r="Q261" s="59"/>
      <c r="R261" s="54"/>
      <c r="S261" s="55"/>
    </row>
    <row r="262" spans="11:19" x14ac:dyDescent="0.25">
      <c r="K262" s="58"/>
      <c r="L262" s="59"/>
      <c r="M262" s="54"/>
      <c r="N262" s="55"/>
      <c r="P262" s="58"/>
      <c r="Q262" s="59"/>
      <c r="R262" s="54"/>
      <c r="S262" s="55"/>
    </row>
    <row r="263" spans="11:19" x14ac:dyDescent="0.25">
      <c r="K263" s="58"/>
      <c r="L263" s="59"/>
      <c r="M263" s="54"/>
      <c r="N263" s="55"/>
      <c r="P263" s="58"/>
      <c r="Q263" s="59"/>
      <c r="R263" s="54"/>
      <c r="S263" s="55"/>
    </row>
    <row r="264" spans="11:19" x14ac:dyDescent="0.25">
      <c r="K264" s="58"/>
      <c r="L264" s="59"/>
      <c r="M264" s="54"/>
      <c r="N264" s="55"/>
      <c r="P264" s="58"/>
      <c r="Q264" s="59"/>
      <c r="R264" s="54"/>
      <c r="S264" s="55"/>
    </row>
    <row r="265" spans="11:19" x14ac:dyDescent="0.25">
      <c r="K265" s="58"/>
      <c r="L265" s="59"/>
      <c r="M265" s="54"/>
      <c r="N265" s="55"/>
      <c r="P265" s="58"/>
      <c r="Q265" s="59"/>
      <c r="R265" s="54"/>
      <c r="S265" s="55"/>
    </row>
    <row r="266" spans="11:19" x14ac:dyDescent="0.25">
      <c r="K266" s="58"/>
      <c r="L266" s="59"/>
      <c r="M266" s="54"/>
      <c r="N266" s="55"/>
      <c r="P266" s="58"/>
      <c r="Q266" s="59"/>
      <c r="R266" s="54"/>
      <c r="S266" s="55"/>
    </row>
    <row r="267" spans="11:19" x14ac:dyDescent="0.25">
      <c r="K267" s="58"/>
      <c r="L267" s="59"/>
      <c r="M267" s="54"/>
      <c r="N267" s="55"/>
      <c r="P267" s="58"/>
      <c r="Q267" s="59"/>
      <c r="R267" s="54"/>
      <c r="S267" s="55"/>
    </row>
    <row r="268" spans="11:19" x14ac:dyDescent="0.25">
      <c r="K268" s="58"/>
      <c r="L268" s="59"/>
      <c r="M268" s="54"/>
      <c r="N268" s="55"/>
      <c r="P268" s="58"/>
      <c r="Q268" s="59"/>
      <c r="R268" s="54"/>
      <c r="S268" s="55"/>
    </row>
    <row r="269" spans="11:19" x14ac:dyDescent="0.25">
      <c r="K269" s="58"/>
      <c r="L269" s="59"/>
      <c r="M269" s="54"/>
      <c r="N269" s="55"/>
      <c r="P269" s="58"/>
      <c r="Q269" s="59"/>
      <c r="R269" s="54"/>
      <c r="S269" s="55"/>
    </row>
    <row r="270" spans="11:19" x14ac:dyDescent="0.25">
      <c r="K270" s="58"/>
      <c r="L270" s="59"/>
      <c r="M270" s="54"/>
      <c r="N270" s="55"/>
      <c r="P270" s="58"/>
      <c r="Q270" s="59"/>
      <c r="R270" s="54"/>
      <c r="S270" s="55"/>
    </row>
    <row r="271" spans="11:19" x14ac:dyDescent="0.25">
      <c r="K271" s="58"/>
      <c r="L271" s="59"/>
      <c r="M271" s="54"/>
      <c r="N271" s="55"/>
      <c r="P271" s="58"/>
      <c r="Q271" s="59"/>
      <c r="R271" s="54"/>
      <c r="S271" s="55"/>
    </row>
    <row r="272" spans="11:19" x14ac:dyDescent="0.25">
      <c r="K272" s="58"/>
      <c r="L272" s="59"/>
      <c r="M272" s="54"/>
      <c r="N272" s="55"/>
      <c r="P272" s="58"/>
      <c r="Q272" s="59"/>
      <c r="R272" s="54"/>
      <c r="S272" s="55"/>
    </row>
    <row r="273" spans="11:19" x14ac:dyDescent="0.25">
      <c r="K273" s="58"/>
      <c r="L273" s="59"/>
      <c r="M273" s="54"/>
      <c r="N273" s="55"/>
      <c r="P273" s="58"/>
      <c r="Q273" s="59"/>
      <c r="R273" s="54"/>
      <c r="S273" s="55"/>
    </row>
    <row r="274" spans="11:19" x14ac:dyDescent="0.25">
      <c r="K274" s="58"/>
      <c r="L274" s="59"/>
      <c r="M274" s="54"/>
      <c r="N274" s="55"/>
      <c r="P274" s="58"/>
      <c r="Q274" s="59"/>
      <c r="R274" s="54"/>
      <c r="S274" s="55"/>
    </row>
    <row r="275" spans="11:19" x14ac:dyDescent="0.25">
      <c r="K275" s="58"/>
      <c r="L275" s="59"/>
      <c r="M275" s="54"/>
      <c r="N275" s="55"/>
      <c r="P275" s="58"/>
      <c r="Q275" s="59"/>
      <c r="R275" s="54"/>
      <c r="S275" s="55"/>
    </row>
    <row r="276" spans="11:19" x14ac:dyDescent="0.25">
      <c r="K276" s="58"/>
      <c r="L276" s="59"/>
      <c r="M276" s="54"/>
      <c r="N276" s="55"/>
      <c r="P276" s="58"/>
      <c r="Q276" s="59"/>
      <c r="R276" s="54"/>
      <c r="S276" s="55"/>
    </row>
    <row r="277" spans="11:19" x14ac:dyDescent="0.25">
      <c r="K277" s="58"/>
      <c r="L277" s="59"/>
      <c r="M277" s="54"/>
      <c r="N277" s="55"/>
      <c r="P277" s="58"/>
      <c r="Q277" s="59"/>
      <c r="R277" s="54"/>
      <c r="S277" s="55"/>
    </row>
    <row r="278" spans="11:19" x14ac:dyDescent="0.25">
      <c r="K278" s="58"/>
      <c r="L278" s="59"/>
      <c r="M278" s="54"/>
      <c r="N278" s="55"/>
      <c r="P278" s="58"/>
      <c r="Q278" s="59"/>
      <c r="R278" s="54"/>
      <c r="S278" s="55"/>
    </row>
    <row r="279" spans="11:19" x14ac:dyDescent="0.25">
      <c r="K279" s="58"/>
      <c r="L279" s="59"/>
      <c r="M279" s="54"/>
      <c r="N279" s="55"/>
      <c r="P279" s="58"/>
      <c r="Q279" s="59"/>
      <c r="R279" s="54"/>
      <c r="S279" s="55"/>
    </row>
    <row r="280" spans="11:19" x14ac:dyDescent="0.25">
      <c r="K280" s="58"/>
      <c r="L280" s="59"/>
      <c r="M280" s="54"/>
      <c r="N280" s="55"/>
      <c r="P280" s="58"/>
      <c r="Q280" s="59"/>
      <c r="R280" s="54"/>
      <c r="S280" s="55"/>
    </row>
    <row r="281" spans="11:19" x14ac:dyDescent="0.25">
      <c r="K281" s="58"/>
      <c r="L281" s="59"/>
      <c r="M281" s="54"/>
      <c r="N281" s="55"/>
      <c r="P281" s="58"/>
      <c r="Q281" s="59"/>
      <c r="R281" s="54"/>
      <c r="S281" s="55"/>
    </row>
    <row r="282" spans="11:19" x14ac:dyDescent="0.25">
      <c r="K282" s="58"/>
      <c r="L282" s="59"/>
      <c r="M282" s="54"/>
      <c r="N282" s="55"/>
      <c r="P282" s="58"/>
      <c r="Q282" s="59"/>
      <c r="R282" s="54"/>
      <c r="S282" s="55"/>
    </row>
    <row r="283" spans="11:19" x14ac:dyDescent="0.25">
      <c r="K283" s="58"/>
      <c r="L283" s="59"/>
      <c r="M283" s="54"/>
      <c r="N283" s="55"/>
      <c r="P283" s="58"/>
      <c r="Q283" s="59"/>
      <c r="R283" s="54"/>
      <c r="S283" s="55"/>
    </row>
    <row r="284" spans="11:19" x14ac:dyDescent="0.25">
      <c r="K284" s="58"/>
      <c r="L284" s="59"/>
      <c r="M284" s="54"/>
      <c r="N284" s="55"/>
      <c r="P284" s="58"/>
      <c r="Q284" s="59"/>
      <c r="R284" s="54"/>
      <c r="S284" s="55"/>
    </row>
    <row r="285" spans="11:19" x14ac:dyDescent="0.25">
      <c r="K285" s="58"/>
      <c r="L285" s="59"/>
      <c r="M285" s="54"/>
      <c r="N285" s="55"/>
      <c r="P285" s="58"/>
      <c r="Q285" s="59"/>
      <c r="R285" s="54"/>
      <c r="S285" s="55"/>
    </row>
    <row r="286" spans="11:19" x14ac:dyDescent="0.25">
      <c r="K286" s="58"/>
      <c r="L286" s="59"/>
      <c r="M286" s="54"/>
      <c r="N286" s="55"/>
      <c r="P286" s="58"/>
      <c r="Q286" s="59"/>
      <c r="R286" s="54"/>
      <c r="S286" s="55"/>
    </row>
    <row r="287" spans="11:19" x14ac:dyDescent="0.25">
      <c r="K287" s="58"/>
      <c r="L287" s="59"/>
      <c r="M287" s="54"/>
      <c r="N287" s="55"/>
      <c r="P287" s="58"/>
      <c r="Q287" s="59"/>
      <c r="R287" s="54"/>
      <c r="S287" s="55"/>
    </row>
    <row r="288" spans="11:19" x14ac:dyDescent="0.25">
      <c r="K288" s="58"/>
      <c r="L288" s="59"/>
      <c r="M288" s="54"/>
      <c r="N288" s="55"/>
      <c r="P288" s="58"/>
      <c r="Q288" s="59"/>
      <c r="R288" s="54"/>
      <c r="S288" s="55"/>
    </row>
    <row r="289" spans="11:19" x14ac:dyDescent="0.25">
      <c r="K289" s="58"/>
      <c r="L289" s="59"/>
      <c r="M289" s="54"/>
      <c r="N289" s="55"/>
      <c r="P289" s="58"/>
      <c r="Q289" s="59"/>
      <c r="R289" s="54"/>
      <c r="S289" s="55"/>
    </row>
    <row r="290" spans="11:19" x14ac:dyDescent="0.25">
      <c r="K290" s="58"/>
      <c r="L290" s="59"/>
      <c r="M290" s="54"/>
      <c r="N290" s="55"/>
      <c r="P290" s="58"/>
      <c r="Q290" s="59"/>
      <c r="R290" s="54"/>
      <c r="S290" s="55"/>
    </row>
    <row r="291" spans="11:19" x14ac:dyDescent="0.25">
      <c r="K291" s="58"/>
      <c r="L291" s="59"/>
      <c r="M291" s="54"/>
      <c r="N291" s="55"/>
      <c r="P291" s="58"/>
      <c r="Q291" s="59"/>
      <c r="R291" s="54"/>
      <c r="S291" s="55"/>
    </row>
    <row r="292" spans="11:19" x14ac:dyDescent="0.25">
      <c r="K292" s="58"/>
      <c r="L292" s="59"/>
      <c r="M292" s="54"/>
      <c r="N292" s="55"/>
      <c r="P292" s="58"/>
      <c r="Q292" s="59"/>
      <c r="R292" s="54"/>
      <c r="S292" s="55"/>
    </row>
    <row r="293" spans="11:19" x14ac:dyDescent="0.25">
      <c r="K293" s="58"/>
      <c r="L293" s="59"/>
      <c r="M293" s="54"/>
      <c r="N293" s="55"/>
      <c r="P293" s="58"/>
      <c r="Q293" s="59"/>
      <c r="R293" s="54"/>
      <c r="S293" s="55"/>
    </row>
    <row r="294" spans="11:19" x14ac:dyDescent="0.25">
      <c r="K294" s="58"/>
      <c r="L294" s="59"/>
      <c r="M294" s="54"/>
      <c r="N294" s="55"/>
      <c r="P294" s="58"/>
      <c r="Q294" s="59"/>
      <c r="R294" s="54"/>
      <c r="S294" s="55"/>
    </row>
    <row r="295" spans="11:19" x14ac:dyDescent="0.25">
      <c r="K295" s="58"/>
      <c r="L295" s="59"/>
      <c r="M295" s="54"/>
      <c r="N295" s="55"/>
      <c r="P295" s="58"/>
      <c r="Q295" s="59"/>
      <c r="R295" s="54"/>
      <c r="S295" s="55"/>
    </row>
    <row r="296" spans="11:19" x14ac:dyDescent="0.25">
      <c r="K296" s="58"/>
      <c r="L296" s="59"/>
      <c r="M296" s="54"/>
      <c r="N296" s="55"/>
      <c r="P296" s="58"/>
      <c r="Q296" s="59"/>
      <c r="R296" s="54"/>
      <c r="S296" s="55"/>
    </row>
    <row r="297" spans="11:19" x14ac:dyDescent="0.25">
      <c r="K297" s="58"/>
      <c r="L297" s="59"/>
      <c r="M297" s="54"/>
      <c r="N297" s="55"/>
      <c r="P297" s="58"/>
      <c r="Q297" s="59"/>
      <c r="R297" s="54"/>
      <c r="S297" s="55"/>
    </row>
    <row r="298" spans="11:19" x14ac:dyDescent="0.25">
      <c r="K298" s="58"/>
      <c r="L298" s="59"/>
      <c r="M298" s="54"/>
      <c r="N298" s="55"/>
      <c r="P298" s="58"/>
      <c r="Q298" s="59"/>
      <c r="R298" s="54"/>
      <c r="S298" s="55"/>
    </row>
    <row r="299" spans="11:19" x14ac:dyDescent="0.25">
      <c r="K299" s="58"/>
      <c r="L299" s="59"/>
      <c r="M299" s="54"/>
      <c r="N299" s="55"/>
      <c r="P299" s="58"/>
      <c r="Q299" s="59"/>
      <c r="R299" s="54"/>
      <c r="S299" s="55"/>
    </row>
    <row r="300" spans="11:19" x14ac:dyDescent="0.25">
      <c r="K300" s="58"/>
      <c r="L300" s="59"/>
      <c r="M300" s="54"/>
      <c r="N300" s="55"/>
      <c r="P300" s="58"/>
      <c r="Q300" s="59"/>
      <c r="R300" s="54"/>
      <c r="S300" s="55"/>
    </row>
    <row r="301" spans="11:19" x14ac:dyDescent="0.25">
      <c r="K301" s="58"/>
      <c r="L301" s="59"/>
      <c r="M301" s="54"/>
      <c r="N301" s="55"/>
      <c r="P301" s="58"/>
      <c r="Q301" s="59"/>
      <c r="R301" s="54"/>
      <c r="S301" s="55"/>
    </row>
    <row r="302" spans="11:19" x14ac:dyDescent="0.25">
      <c r="K302" s="58"/>
      <c r="L302" s="59"/>
      <c r="M302" s="54"/>
      <c r="N302" s="55"/>
      <c r="P302" s="58"/>
      <c r="Q302" s="59"/>
      <c r="R302" s="54"/>
      <c r="S302" s="55"/>
    </row>
    <row r="303" spans="11:19" x14ac:dyDescent="0.25">
      <c r="K303" s="58"/>
      <c r="L303" s="59"/>
      <c r="M303" s="54"/>
      <c r="N303" s="55"/>
      <c r="P303" s="58"/>
      <c r="Q303" s="59"/>
      <c r="R303" s="54"/>
      <c r="S303" s="55"/>
    </row>
    <row r="304" spans="11:19" x14ac:dyDescent="0.25">
      <c r="K304" s="58"/>
      <c r="L304" s="59"/>
      <c r="M304" s="54"/>
      <c r="N304" s="55"/>
      <c r="P304" s="58"/>
      <c r="Q304" s="59"/>
      <c r="R304" s="54"/>
      <c r="S304" s="55"/>
    </row>
    <row r="305" spans="11:19" x14ac:dyDescent="0.25">
      <c r="K305" s="58"/>
      <c r="L305" s="59"/>
      <c r="M305" s="54"/>
      <c r="N305" s="55"/>
      <c r="P305" s="58"/>
      <c r="Q305" s="59"/>
      <c r="R305" s="54"/>
      <c r="S305" s="55"/>
    </row>
    <row r="306" spans="11:19" x14ac:dyDescent="0.25">
      <c r="K306" s="58"/>
      <c r="L306" s="59"/>
      <c r="M306" s="54"/>
      <c r="N306" s="55"/>
      <c r="P306" s="58"/>
      <c r="Q306" s="59"/>
      <c r="R306" s="54"/>
      <c r="S306" s="55"/>
    </row>
    <row r="307" spans="11:19" x14ac:dyDescent="0.25">
      <c r="K307" s="58"/>
      <c r="L307" s="59"/>
      <c r="M307" s="54"/>
      <c r="N307" s="55"/>
      <c r="P307" s="58"/>
      <c r="Q307" s="59"/>
      <c r="R307" s="54"/>
      <c r="S307" s="55"/>
    </row>
    <row r="308" spans="11:19" x14ac:dyDescent="0.25">
      <c r="K308" s="58"/>
      <c r="L308" s="59"/>
      <c r="M308" s="54"/>
      <c r="N308" s="55"/>
      <c r="P308" s="58"/>
      <c r="Q308" s="59"/>
      <c r="R308" s="54"/>
      <c r="S308" s="55"/>
    </row>
    <row r="309" spans="11:19" x14ac:dyDescent="0.25">
      <c r="K309" s="58"/>
      <c r="L309" s="59"/>
      <c r="M309" s="54"/>
      <c r="N309" s="55"/>
      <c r="P309" s="58"/>
      <c r="Q309" s="59"/>
      <c r="R309" s="54"/>
      <c r="S309" s="55"/>
    </row>
    <row r="310" spans="11:19" x14ac:dyDescent="0.25">
      <c r="K310" s="58"/>
      <c r="L310" s="59"/>
      <c r="M310" s="54"/>
      <c r="N310" s="55"/>
      <c r="P310" s="58"/>
      <c r="Q310" s="59"/>
      <c r="R310" s="54"/>
      <c r="S310" s="55"/>
    </row>
    <row r="311" spans="11:19" x14ac:dyDescent="0.25">
      <c r="K311" s="58"/>
      <c r="L311" s="59"/>
      <c r="M311" s="54"/>
      <c r="N311" s="55"/>
      <c r="P311" s="58"/>
      <c r="Q311" s="59"/>
      <c r="R311" s="54"/>
      <c r="S311" s="55"/>
    </row>
    <row r="312" spans="11:19" x14ac:dyDescent="0.25">
      <c r="K312" s="58"/>
      <c r="L312" s="59"/>
      <c r="M312" s="54"/>
      <c r="N312" s="55"/>
      <c r="P312" s="58"/>
      <c r="Q312" s="59"/>
      <c r="R312" s="54"/>
      <c r="S312" s="55"/>
    </row>
    <row r="313" spans="11:19" x14ac:dyDescent="0.25">
      <c r="K313" s="58"/>
      <c r="L313" s="59"/>
      <c r="M313" s="54"/>
      <c r="N313" s="55"/>
      <c r="P313" s="58"/>
      <c r="Q313" s="59"/>
      <c r="R313" s="54"/>
      <c r="S313" s="55"/>
    </row>
    <row r="314" spans="11:19" x14ac:dyDescent="0.25">
      <c r="K314" s="58"/>
      <c r="L314" s="59"/>
      <c r="M314" s="54"/>
      <c r="N314" s="55"/>
      <c r="P314" s="58"/>
      <c r="Q314" s="59"/>
      <c r="R314" s="54"/>
      <c r="S314" s="55"/>
    </row>
    <row r="315" spans="11:19" x14ac:dyDescent="0.25">
      <c r="K315" s="58"/>
      <c r="L315" s="59"/>
      <c r="M315" s="54"/>
      <c r="N315" s="55"/>
      <c r="P315" s="58"/>
      <c r="Q315" s="59"/>
      <c r="R315" s="54"/>
      <c r="S315" s="55"/>
    </row>
    <row r="316" spans="11:19" x14ac:dyDescent="0.25">
      <c r="K316" s="58"/>
      <c r="L316" s="59"/>
      <c r="M316" s="54"/>
      <c r="N316" s="55"/>
      <c r="P316" s="58"/>
      <c r="Q316" s="59"/>
      <c r="R316" s="54"/>
      <c r="S316" s="55"/>
    </row>
    <row r="317" spans="11:19" x14ac:dyDescent="0.25">
      <c r="K317" s="58"/>
      <c r="L317" s="59"/>
      <c r="M317" s="54"/>
      <c r="N317" s="55"/>
      <c r="P317" s="58"/>
      <c r="Q317" s="59"/>
      <c r="R317" s="54"/>
      <c r="S317" s="55"/>
    </row>
    <row r="318" spans="11:19" x14ac:dyDescent="0.25">
      <c r="K318" s="58"/>
      <c r="L318" s="59"/>
      <c r="M318" s="54"/>
      <c r="N318" s="55"/>
      <c r="P318" s="58"/>
      <c r="Q318" s="59"/>
      <c r="R318" s="54"/>
      <c r="S318" s="55"/>
    </row>
    <row r="319" spans="11:19" x14ac:dyDescent="0.25">
      <c r="K319" s="58"/>
      <c r="L319" s="59"/>
      <c r="M319" s="54"/>
      <c r="N319" s="55"/>
      <c r="P319" s="58"/>
      <c r="Q319" s="59"/>
      <c r="R319" s="54"/>
      <c r="S319" s="55"/>
    </row>
    <row r="320" spans="11:19" x14ac:dyDescent="0.25">
      <c r="K320" s="58"/>
      <c r="L320" s="59"/>
      <c r="M320" s="54"/>
      <c r="N320" s="55"/>
      <c r="P320" s="58"/>
      <c r="Q320" s="59"/>
      <c r="R320" s="54"/>
      <c r="S320" s="55"/>
    </row>
    <row r="321" spans="11:19" x14ac:dyDescent="0.25">
      <c r="K321" s="58"/>
      <c r="L321" s="59"/>
      <c r="M321" s="54"/>
      <c r="N321" s="55"/>
      <c r="P321" s="58"/>
      <c r="Q321" s="59"/>
      <c r="R321" s="54"/>
      <c r="S321" s="55"/>
    </row>
    <row r="322" spans="11:19" x14ac:dyDescent="0.25">
      <c r="K322" s="58"/>
      <c r="L322" s="59"/>
      <c r="M322" s="54"/>
      <c r="N322" s="55"/>
      <c r="P322" s="58"/>
      <c r="Q322" s="59"/>
      <c r="R322" s="54"/>
      <c r="S322" s="55"/>
    </row>
    <row r="323" spans="11:19" x14ac:dyDescent="0.25">
      <c r="K323" s="58"/>
      <c r="L323" s="59"/>
      <c r="M323" s="54"/>
      <c r="N323" s="55"/>
      <c r="P323" s="58"/>
      <c r="Q323" s="59"/>
      <c r="R323" s="54"/>
      <c r="S323" s="55"/>
    </row>
    <row r="324" spans="11:19" x14ac:dyDescent="0.25">
      <c r="K324" s="58"/>
      <c r="L324" s="59"/>
      <c r="M324" s="54"/>
      <c r="N324" s="55"/>
      <c r="P324" s="58"/>
      <c r="Q324" s="59"/>
      <c r="R324" s="54"/>
      <c r="S324" s="55"/>
    </row>
    <row r="325" spans="11:19" x14ac:dyDescent="0.25">
      <c r="K325" s="58"/>
      <c r="L325" s="59"/>
      <c r="M325" s="54"/>
      <c r="N325" s="55"/>
      <c r="P325" s="58"/>
      <c r="Q325" s="59"/>
      <c r="R325" s="54"/>
      <c r="S325" s="55"/>
    </row>
    <row r="326" spans="11:19" x14ac:dyDescent="0.25">
      <c r="K326" s="58"/>
      <c r="L326" s="59"/>
      <c r="M326" s="54"/>
      <c r="N326" s="55"/>
      <c r="P326" s="58"/>
      <c r="Q326" s="59"/>
      <c r="R326" s="54"/>
      <c r="S326" s="55"/>
    </row>
    <row r="327" spans="11:19" x14ac:dyDescent="0.25">
      <c r="K327" s="58"/>
      <c r="L327" s="59"/>
      <c r="M327" s="54"/>
      <c r="N327" s="55"/>
      <c r="P327" s="58"/>
      <c r="Q327" s="59"/>
      <c r="R327" s="54"/>
      <c r="S327" s="55"/>
    </row>
    <row r="328" spans="11:19" x14ac:dyDescent="0.25">
      <c r="K328" s="58"/>
      <c r="L328" s="59"/>
      <c r="M328" s="54"/>
      <c r="N328" s="55"/>
      <c r="P328" s="58"/>
      <c r="Q328" s="59"/>
      <c r="R328" s="54"/>
      <c r="S328" s="55"/>
    </row>
    <row r="329" spans="11:19" x14ac:dyDescent="0.25">
      <c r="K329" s="58"/>
      <c r="L329" s="59"/>
      <c r="M329" s="54"/>
      <c r="N329" s="55"/>
      <c r="P329" s="58"/>
      <c r="Q329" s="59"/>
      <c r="R329" s="54"/>
      <c r="S329" s="55"/>
    </row>
    <row r="330" spans="11:19" x14ac:dyDescent="0.25">
      <c r="K330" s="58"/>
      <c r="L330" s="59"/>
      <c r="M330" s="54"/>
      <c r="N330" s="55"/>
      <c r="P330" s="58"/>
      <c r="Q330" s="59"/>
      <c r="R330" s="54"/>
      <c r="S330" s="55"/>
    </row>
    <row r="331" spans="11:19" x14ac:dyDescent="0.25">
      <c r="K331" s="58"/>
      <c r="L331" s="59"/>
      <c r="M331" s="54"/>
      <c r="N331" s="55"/>
      <c r="P331" s="58"/>
      <c r="Q331" s="59"/>
      <c r="R331" s="54"/>
      <c r="S331" s="55"/>
    </row>
    <row r="332" spans="11:19" x14ac:dyDescent="0.25">
      <c r="K332" s="58"/>
      <c r="L332" s="59"/>
      <c r="M332" s="54"/>
      <c r="N332" s="55"/>
      <c r="P332" s="58"/>
      <c r="Q332" s="59"/>
      <c r="R332" s="54"/>
      <c r="S332" s="55"/>
    </row>
    <row r="333" spans="11:19" x14ac:dyDescent="0.25">
      <c r="K333" s="58"/>
      <c r="L333" s="59"/>
      <c r="M333" s="54"/>
      <c r="N333" s="55"/>
      <c r="P333" s="58"/>
      <c r="Q333" s="59"/>
      <c r="R333" s="54"/>
      <c r="S333" s="55"/>
    </row>
    <row r="334" spans="11:19" x14ac:dyDescent="0.25">
      <c r="K334" s="58"/>
      <c r="L334" s="59"/>
      <c r="M334" s="54"/>
      <c r="N334" s="55"/>
      <c r="P334" s="58"/>
      <c r="Q334" s="59"/>
      <c r="R334" s="54"/>
      <c r="S334" s="55"/>
    </row>
    <row r="335" spans="11:19" x14ac:dyDescent="0.25">
      <c r="K335" s="58"/>
      <c r="L335" s="59"/>
      <c r="M335" s="54"/>
      <c r="N335" s="55"/>
      <c r="P335" s="58"/>
      <c r="Q335" s="59"/>
      <c r="R335" s="54"/>
      <c r="S335" s="55"/>
    </row>
    <row r="336" spans="11:19" x14ac:dyDescent="0.25">
      <c r="K336" s="58"/>
      <c r="L336" s="59"/>
      <c r="M336" s="54"/>
      <c r="N336" s="55"/>
      <c r="P336" s="58"/>
      <c r="Q336" s="59"/>
      <c r="R336" s="54"/>
      <c r="S336" s="55"/>
    </row>
    <row r="337" spans="11:19" x14ac:dyDescent="0.25">
      <c r="K337" s="58"/>
      <c r="L337" s="59"/>
      <c r="M337" s="54"/>
      <c r="N337" s="55"/>
      <c r="P337" s="58"/>
      <c r="Q337" s="59"/>
      <c r="R337" s="54"/>
      <c r="S337" s="55"/>
    </row>
    <row r="338" spans="11:19" x14ac:dyDescent="0.25">
      <c r="K338" s="58"/>
      <c r="L338" s="59"/>
      <c r="M338" s="54"/>
      <c r="N338" s="55"/>
      <c r="P338" s="58"/>
      <c r="Q338" s="59"/>
      <c r="R338" s="54"/>
      <c r="S338" s="55"/>
    </row>
    <row r="339" spans="11:19" x14ac:dyDescent="0.25">
      <c r="K339" s="58"/>
      <c r="L339" s="59"/>
      <c r="M339" s="54"/>
      <c r="N339" s="55"/>
      <c r="P339" s="58"/>
      <c r="Q339" s="59"/>
      <c r="R339" s="54"/>
      <c r="S339" s="55"/>
    </row>
    <row r="340" spans="11:19" x14ac:dyDescent="0.25">
      <c r="K340" s="58"/>
      <c r="L340" s="59"/>
      <c r="M340" s="54"/>
      <c r="N340" s="55"/>
      <c r="P340" s="58"/>
      <c r="Q340" s="59"/>
      <c r="R340" s="54"/>
      <c r="S340" s="55"/>
    </row>
    <row r="341" spans="11:19" x14ac:dyDescent="0.25">
      <c r="K341" s="58"/>
      <c r="L341" s="59"/>
      <c r="M341" s="54"/>
      <c r="N341" s="55"/>
      <c r="P341" s="58"/>
      <c r="Q341" s="59"/>
      <c r="R341" s="54"/>
      <c r="S341" s="55"/>
    </row>
    <row r="342" spans="11:19" x14ac:dyDescent="0.25">
      <c r="K342" s="58"/>
      <c r="L342" s="59"/>
      <c r="M342" s="54"/>
      <c r="N342" s="55"/>
      <c r="P342" s="58"/>
      <c r="Q342" s="59"/>
      <c r="R342" s="54"/>
      <c r="S342" s="55"/>
    </row>
    <row r="343" spans="11:19" x14ac:dyDescent="0.25">
      <c r="K343" s="58"/>
      <c r="L343" s="59"/>
      <c r="M343" s="54"/>
      <c r="N343" s="55"/>
      <c r="P343" s="58"/>
      <c r="Q343" s="59"/>
      <c r="R343" s="54"/>
      <c r="S343" s="55"/>
    </row>
    <row r="344" spans="11:19" x14ac:dyDescent="0.25">
      <c r="K344" s="58"/>
      <c r="L344" s="59"/>
      <c r="M344" s="54"/>
      <c r="N344" s="55"/>
      <c r="P344" s="58"/>
      <c r="Q344" s="59"/>
      <c r="R344" s="54"/>
      <c r="S344" s="55"/>
    </row>
    <row r="345" spans="11:19" x14ac:dyDescent="0.25">
      <c r="K345" s="58"/>
      <c r="L345" s="59"/>
      <c r="M345" s="54"/>
      <c r="N345" s="55"/>
      <c r="P345" s="58"/>
      <c r="Q345" s="59"/>
      <c r="R345" s="54"/>
      <c r="S345" s="55"/>
    </row>
    <row r="346" spans="11:19" x14ac:dyDescent="0.25">
      <c r="K346" s="58"/>
      <c r="L346" s="59"/>
      <c r="M346" s="54"/>
      <c r="N346" s="55"/>
      <c r="P346" s="58"/>
      <c r="Q346" s="59"/>
      <c r="R346" s="54"/>
      <c r="S346" s="55"/>
    </row>
    <row r="347" spans="11:19" x14ac:dyDescent="0.25">
      <c r="K347" s="58"/>
      <c r="L347" s="59"/>
      <c r="M347" s="54"/>
      <c r="N347" s="55"/>
      <c r="P347" s="58"/>
      <c r="Q347" s="59"/>
      <c r="R347" s="54"/>
      <c r="S347" s="55"/>
    </row>
    <row r="348" spans="11:19" ht="15.75" thickBot="1" x14ac:dyDescent="0.3">
      <c r="K348" s="60"/>
      <c r="L348" s="61"/>
      <c r="M348" s="56"/>
      <c r="N348" s="57"/>
      <c r="P348" s="60"/>
      <c r="Q348" s="61"/>
      <c r="R348" s="56"/>
      <c r="S348" s="57"/>
    </row>
  </sheetData>
  <mergeCells count="4">
    <mergeCell ref="A8:D8"/>
    <mergeCell ref="F8:I8"/>
    <mergeCell ref="K8:N8"/>
    <mergeCell ref="P8:S8"/>
  </mergeCells>
  <conditionalFormatting sqref="G3">
    <cfRule type="cellIs" dxfId="94" priority="5" operator="greaterThan">
      <formula>$J$4</formula>
    </cfRule>
  </conditionalFormatting>
  <conditionalFormatting sqref="T5">
    <cfRule type="cellIs" dxfId="93" priority="1" operator="greaterThan">
      <formula>$T$6</formula>
    </cfRule>
    <cfRule type="cellIs" dxfId="92" priority="4" operator="lessThan">
      <formula>$T$6</formula>
    </cfRule>
  </conditionalFormatting>
  <conditionalFormatting sqref="T6">
    <cfRule type="cellIs" dxfId="91" priority="2" operator="greaterThan">
      <formula>$T$5</formula>
    </cfRule>
    <cfRule type="cellIs" dxfId="90" priority="3" operator="lessThan">
      <formula>$T$5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64F3CB-7792-4DDA-AF33-97FEA2024791}">
  <sheetPr codeName="Sheet34"/>
  <dimension ref="A1:T348"/>
  <sheetViews>
    <sheetView zoomScale="90" zoomScaleNormal="90" workbookViewId="0">
      <pane ySplit="9" topLeftCell="A10" activePane="bottomLeft" state="frozen"/>
      <selection pane="bottomLeft" activeCell="M26" sqref="M26"/>
    </sheetView>
  </sheetViews>
  <sheetFormatPr baseColWidth="10" defaultColWidth="9.140625" defaultRowHeight="15" x14ac:dyDescent="0.25"/>
  <cols>
    <col min="2" max="2" width="11.85546875" bestFit="1" customWidth="1"/>
    <col min="3" max="3" width="17.140625" bestFit="1" customWidth="1"/>
    <col min="4" max="4" width="14.5703125" customWidth="1"/>
    <col min="5" max="7" width="14.5703125" bestFit="1" customWidth="1"/>
    <col min="8" max="8" width="18.7109375" bestFit="1" customWidth="1"/>
    <col min="9" max="9" width="16.28515625" bestFit="1" customWidth="1"/>
    <col min="10" max="10" width="14" bestFit="1" customWidth="1"/>
    <col min="12" max="12" width="11.85546875" bestFit="1" customWidth="1"/>
    <col min="13" max="13" width="17.140625" bestFit="1" customWidth="1"/>
    <col min="14" max="14" width="14.42578125" bestFit="1" customWidth="1"/>
    <col min="15" max="15" width="8.7109375" customWidth="1"/>
    <col min="17" max="17" width="14.85546875" bestFit="1" customWidth="1"/>
    <col min="18" max="18" width="17.140625" bestFit="1" customWidth="1"/>
    <col min="19" max="19" width="14.85546875" bestFit="1" customWidth="1"/>
    <col min="20" max="20" width="12.42578125" bestFit="1" customWidth="1"/>
    <col min="22" max="23" width="14.5703125" bestFit="1" customWidth="1"/>
    <col min="24" max="24" width="15.85546875" bestFit="1" customWidth="1"/>
    <col min="26" max="26" width="15.85546875" bestFit="1" customWidth="1"/>
  </cols>
  <sheetData>
    <row r="1" spans="1:20" ht="15.75" thickBot="1" x14ac:dyDescent="0.3">
      <c r="C1" s="1" t="s">
        <v>0</v>
      </c>
      <c r="D1" s="2" t="s">
        <v>1</v>
      </c>
      <c r="E1" s="1" t="s">
        <v>2</v>
      </c>
      <c r="F1" s="2" t="s">
        <v>3</v>
      </c>
      <c r="G1" s="63" t="s">
        <v>4</v>
      </c>
      <c r="H1" s="81" t="s">
        <v>24</v>
      </c>
      <c r="I1" s="66" t="s">
        <v>5</v>
      </c>
      <c r="J1" s="3">
        <v>368</v>
      </c>
      <c r="M1" s="1" t="s">
        <v>5</v>
      </c>
      <c r="N1" s="4" t="s">
        <v>6</v>
      </c>
      <c r="P1" t="s">
        <v>0</v>
      </c>
      <c r="Q1">
        <f>SUM(E10:E54)</f>
        <v>5</v>
      </c>
      <c r="R1" t="s">
        <v>2</v>
      </c>
      <c r="S1">
        <f>(M3/M2)*Q1</f>
        <v>3.3333333333333339</v>
      </c>
      <c r="T1">
        <f>S1-3</f>
        <v>0.33333333333333393</v>
      </c>
    </row>
    <row r="2" spans="1:20" ht="15.75" thickBot="1" x14ac:dyDescent="0.3">
      <c r="B2" s="5" t="s">
        <v>7</v>
      </c>
      <c r="C2" s="6">
        <f>SUMPRODUCT(C10:C118,E10:E118)</f>
        <v>3441193</v>
      </c>
      <c r="D2" s="7">
        <f>SUMPRODUCT(H10:H118,J10:J118)</f>
        <v>0</v>
      </c>
      <c r="E2" s="6">
        <f>SUMPRODUCT(M10:M348,O10:O348)</f>
        <v>2711277.0000000005</v>
      </c>
      <c r="F2" s="7">
        <f>SUMPRODUCT(R10:R348,T10:T348)</f>
        <v>0</v>
      </c>
      <c r="G2" s="64">
        <f>C2+D2+E2+F2</f>
        <v>6152470</v>
      </c>
      <c r="H2" s="82">
        <v>24786935</v>
      </c>
      <c r="I2" s="67" t="s">
        <v>6</v>
      </c>
      <c r="J2" s="8">
        <v>334</v>
      </c>
      <c r="L2" s="5" t="s">
        <v>8</v>
      </c>
      <c r="M2" s="9">
        <v>0.6</v>
      </c>
      <c r="N2" s="10">
        <v>0.25</v>
      </c>
      <c r="P2" t="s">
        <v>3</v>
      </c>
      <c r="Q2">
        <f>SUM(T10:T64)</f>
        <v>0</v>
      </c>
      <c r="R2" t="s">
        <v>1</v>
      </c>
      <c r="S2">
        <f>(N2/N3)*Q2</f>
        <v>0</v>
      </c>
    </row>
    <row r="3" spans="1:20" ht="15.75" thickBot="1" x14ac:dyDescent="0.3">
      <c r="B3" s="11" t="s">
        <v>9</v>
      </c>
      <c r="C3" s="12">
        <f>SUMPRODUCT(B10:B118,E10:E118)</f>
        <v>151.63043478260869</v>
      </c>
      <c r="D3" s="13">
        <f>SUMPRODUCT(G10:G118,J10:J118)</f>
        <v>0</v>
      </c>
      <c r="E3" s="12">
        <f>SUMPRODUCT(L10:L348,O10:O348)</f>
        <v>101.08695652173915</v>
      </c>
      <c r="F3" s="13">
        <f>SUMPRODUCT(Q10:Q348,T10:T348)</f>
        <v>0</v>
      </c>
      <c r="G3" s="65">
        <f>SUM(C3:F3)</f>
        <v>252.71739130434784</v>
      </c>
      <c r="H3" s="80">
        <f>(H2-G2)/G2</f>
        <v>3.0287778729518386</v>
      </c>
      <c r="I3" s="67" t="s">
        <v>10</v>
      </c>
      <c r="J3" s="8">
        <f>11160</f>
        <v>11160</v>
      </c>
      <c r="L3" s="14" t="s">
        <v>11</v>
      </c>
      <c r="M3" s="15">
        <v>0.4</v>
      </c>
      <c r="N3" s="16">
        <v>0.75</v>
      </c>
      <c r="P3" t="s">
        <v>0</v>
      </c>
      <c r="Q3">
        <v>1</v>
      </c>
      <c r="R3" t="s">
        <v>2</v>
      </c>
      <c r="S3">
        <f>(M3/M2)*Q3</f>
        <v>0.66666666666666674</v>
      </c>
    </row>
    <row r="4" spans="1:20" ht="15.75" thickBot="1" x14ac:dyDescent="0.3">
      <c r="B4" s="14" t="s">
        <v>12</v>
      </c>
      <c r="C4" s="17">
        <f>SUM(E10:E118)*J3</f>
        <v>55800</v>
      </c>
      <c r="D4" s="18">
        <f>SUM(J10:J118)*J3</f>
        <v>0</v>
      </c>
      <c r="E4" s="17">
        <f>SUM(O10:O348)*J3</f>
        <v>37200.000000000007</v>
      </c>
      <c r="F4" s="18">
        <f>SUM(T10:T348)*J3</f>
        <v>0</v>
      </c>
      <c r="G4" s="19">
        <f>SUM(C4:F4)</f>
        <v>93000</v>
      </c>
      <c r="H4" s="20"/>
      <c r="I4" s="21" t="s">
        <v>13</v>
      </c>
      <c r="J4" s="22">
        <v>100000</v>
      </c>
      <c r="L4" s="5" t="s">
        <v>14</v>
      </c>
      <c r="M4" s="76">
        <f>C4/(C4+E4)</f>
        <v>0.6</v>
      </c>
      <c r="N4" s="77" t="e">
        <f>D4/(D4+F4)</f>
        <v>#DIV/0!</v>
      </c>
      <c r="O4" s="23"/>
      <c r="P4" t="s">
        <v>3</v>
      </c>
      <c r="Q4">
        <v>1</v>
      </c>
      <c r="R4" t="s">
        <v>1</v>
      </c>
      <c r="S4">
        <f>(N2/N3)*Q4</f>
        <v>0.33333333333333331</v>
      </c>
    </row>
    <row r="5" spans="1:20" ht="15.75" thickBot="1" x14ac:dyDescent="0.3">
      <c r="B5" s="24" t="s">
        <v>15</v>
      </c>
      <c r="C5" s="25">
        <v>217620</v>
      </c>
      <c r="D5" s="26">
        <v>74400</v>
      </c>
      <c r="E5" s="27">
        <v>145080</v>
      </c>
      <c r="F5" s="26">
        <v>223200</v>
      </c>
      <c r="G5" s="28">
        <f>SUM(C5:F5)</f>
        <v>660300</v>
      </c>
      <c r="H5" s="20"/>
      <c r="I5" s="20"/>
      <c r="L5" s="29" t="s">
        <v>16</v>
      </c>
      <c r="M5" s="78">
        <f>E4/(C4+E4)</f>
        <v>0.40000000000000008</v>
      </c>
      <c r="N5" s="79" t="e">
        <f>F4/(D4+F4)</f>
        <v>#DIV/0!</v>
      </c>
      <c r="O5" s="23"/>
      <c r="P5" t="s">
        <v>0</v>
      </c>
      <c r="Q5" s="88">
        <v>18926.378494623656</v>
      </c>
      <c r="R5" t="s">
        <v>2</v>
      </c>
      <c r="S5" s="88">
        <v>25223.729032258067</v>
      </c>
      <c r="T5">
        <f>Q5*Q3+S5*S3</f>
        <v>35742.197849462369</v>
      </c>
    </row>
    <row r="6" spans="1:20" ht="15.75" thickBot="1" x14ac:dyDescent="0.3">
      <c r="B6" s="24" t="s">
        <v>17</v>
      </c>
      <c r="C6" s="27">
        <f>C5-C4</f>
        <v>161820</v>
      </c>
      <c r="D6" s="30">
        <f>D5-D4</f>
        <v>74400</v>
      </c>
      <c r="E6" s="27">
        <f>E5-E4</f>
        <v>107880</v>
      </c>
      <c r="F6" s="30">
        <f>F5-F4</f>
        <v>223200</v>
      </c>
      <c r="H6" s="20"/>
      <c r="I6" s="20"/>
      <c r="J6" s="62"/>
      <c r="N6" s="23"/>
      <c r="O6" s="23"/>
      <c r="P6" t="s">
        <v>3</v>
      </c>
      <c r="Q6" s="88">
        <v>24785.014695340502</v>
      </c>
      <c r="R6" t="s">
        <v>1</v>
      </c>
      <c r="S6" s="88">
        <v>25114.615232974909</v>
      </c>
      <c r="T6">
        <f>Q6*Q4+S6*S4</f>
        <v>33156.55310633214</v>
      </c>
    </row>
    <row r="7" spans="1:20" ht="15.75" thickBot="1" x14ac:dyDescent="0.3"/>
    <row r="8" spans="1:20" ht="15.75" thickBot="1" x14ac:dyDescent="0.3">
      <c r="A8" s="113" t="s">
        <v>18</v>
      </c>
      <c r="B8" s="114"/>
      <c r="C8" s="114"/>
      <c r="D8" s="115"/>
      <c r="E8" s="31"/>
      <c r="F8" s="113" t="s">
        <v>19</v>
      </c>
      <c r="G8" s="114"/>
      <c r="H8" s="114"/>
      <c r="I8" s="115"/>
      <c r="J8" s="31"/>
      <c r="K8" s="113" t="s">
        <v>20</v>
      </c>
      <c r="L8" s="114"/>
      <c r="M8" s="114"/>
      <c r="N8" s="115"/>
      <c r="O8" s="31"/>
      <c r="P8" s="113" t="s">
        <v>21</v>
      </c>
      <c r="Q8" s="114"/>
      <c r="R8" s="114"/>
      <c r="S8" s="115"/>
    </row>
    <row r="9" spans="1:20" ht="15.75" thickBot="1" x14ac:dyDescent="0.3">
      <c r="A9" s="32" t="s">
        <v>22</v>
      </c>
      <c r="B9" s="33" t="s">
        <v>9</v>
      </c>
      <c r="C9" s="33" t="s">
        <v>7</v>
      </c>
      <c r="D9" s="34" t="s">
        <v>23</v>
      </c>
      <c r="E9" s="31"/>
      <c r="F9" s="32" t="s">
        <v>22</v>
      </c>
      <c r="G9" s="33" t="s">
        <v>9</v>
      </c>
      <c r="H9" s="33" t="s">
        <v>7</v>
      </c>
      <c r="I9" s="34" t="s">
        <v>23</v>
      </c>
      <c r="J9" s="31"/>
      <c r="K9" s="32" t="s">
        <v>22</v>
      </c>
      <c r="L9" s="33" t="s">
        <v>9</v>
      </c>
      <c r="M9" s="33" t="s">
        <v>7</v>
      </c>
      <c r="N9" s="34" t="s">
        <v>23</v>
      </c>
      <c r="O9" s="31"/>
      <c r="P9" s="35" t="s">
        <v>22</v>
      </c>
      <c r="Q9" s="36" t="s">
        <v>9</v>
      </c>
      <c r="R9" s="36" t="s">
        <v>7</v>
      </c>
      <c r="S9" s="37" t="s">
        <v>23</v>
      </c>
    </row>
    <row r="10" spans="1:20" x14ac:dyDescent="0.25">
      <c r="A10" s="38">
        <v>15</v>
      </c>
      <c r="B10" s="39">
        <f>$J$3/$J$1</f>
        <v>30.326086956521738</v>
      </c>
      <c r="C10" s="40">
        <v>823261</v>
      </c>
      <c r="D10" s="41">
        <f>C10/B10</f>
        <v>27146.957706093192</v>
      </c>
      <c r="E10">
        <v>1</v>
      </c>
      <c r="F10" s="86">
        <v>9</v>
      </c>
      <c r="G10" s="68">
        <f>$J$3/$J$2</f>
        <v>33.41317365269461</v>
      </c>
      <c r="H10" s="87">
        <v>839159</v>
      </c>
      <c r="I10" s="69">
        <f>H10/G10</f>
        <v>25114.615232974909</v>
      </c>
      <c r="K10" s="38">
        <v>99</v>
      </c>
      <c r="L10" s="39">
        <f>$J$3/$J$1</f>
        <v>30.326086956521738</v>
      </c>
      <c r="M10" s="40">
        <v>891762</v>
      </c>
      <c r="N10" s="41">
        <f>M10/L10</f>
        <v>29405.772043010755</v>
      </c>
      <c r="O10">
        <v>1</v>
      </c>
      <c r="P10" s="86">
        <v>31</v>
      </c>
      <c r="Q10" s="68">
        <f>$J$3/$J$2</f>
        <v>33.41317365269461</v>
      </c>
      <c r="R10" s="87">
        <v>828146</v>
      </c>
      <c r="S10" s="69">
        <f>R10/Q10</f>
        <v>24785.014695340502</v>
      </c>
    </row>
    <row r="11" spans="1:20" x14ac:dyDescent="0.25">
      <c r="A11" s="46">
        <v>4</v>
      </c>
      <c r="B11" s="39">
        <f t="shared" ref="B11:B54" si="0">$J$3/$J$1</f>
        <v>30.326086956521738</v>
      </c>
      <c r="C11" s="47">
        <v>748702</v>
      </c>
      <c r="D11" s="41">
        <f t="shared" ref="D11:D54" si="1">C11/B11</f>
        <v>24688.381362007171</v>
      </c>
      <c r="E11">
        <v>1</v>
      </c>
      <c r="F11" s="58">
        <v>1</v>
      </c>
      <c r="G11" s="68">
        <f t="shared" ref="G11:G54" si="2">$J$3/$J$2</f>
        <v>33.41317365269461</v>
      </c>
      <c r="H11" s="54">
        <v>816679</v>
      </c>
      <c r="I11" s="69">
        <f t="shared" ref="I11:I54" si="3">H11/G11</f>
        <v>24441.826702508963</v>
      </c>
      <c r="K11" s="46">
        <v>22</v>
      </c>
      <c r="L11" s="39">
        <f t="shared" ref="L11:L64" si="4">$J$3/$J$1</f>
        <v>30.326086956521738</v>
      </c>
      <c r="M11" s="47">
        <v>787867</v>
      </c>
      <c r="N11" s="41">
        <f t="shared" ref="N11:N64" si="5">M11/L11</f>
        <v>25979.843727598567</v>
      </c>
      <c r="O11">
        <v>1</v>
      </c>
      <c r="P11" s="58">
        <v>95</v>
      </c>
      <c r="Q11" s="68">
        <f t="shared" ref="Q11:Q64" si="6">$J$3/$J$2</f>
        <v>33.41317365269461</v>
      </c>
      <c r="R11" s="54">
        <v>778683</v>
      </c>
      <c r="S11" s="69">
        <f t="shared" ref="S11:S64" si="7">R11/Q11</f>
        <v>23304.670430107526</v>
      </c>
    </row>
    <row r="12" spans="1:20" x14ac:dyDescent="0.25">
      <c r="A12" s="46">
        <v>75</v>
      </c>
      <c r="B12" s="39">
        <f t="shared" si="0"/>
        <v>30.326086956521738</v>
      </c>
      <c r="C12" s="47">
        <v>700923</v>
      </c>
      <c r="D12" s="41">
        <f t="shared" si="1"/>
        <v>23112.873118279571</v>
      </c>
      <c r="E12">
        <v>1</v>
      </c>
      <c r="F12" s="58">
        <v>3</v>
      </c>
      <c r="G12" s="68">
        <f t="shared" si="2"/>
        <v>33.41317365269461</v>
      </c>
      <c r="H12" s="54">
        <v>637399</v>
      </c>
      <c r="I12" s="69">
        <f t="shared" si="3"/>
        <v>19076.278315412186</v>
      </c>
      <c r="K12" s="46">
        <v>83</v>
      </c>
      <c r="L12" s="39">
        <f t="shared" si="4"/>
        <v>30.326086956521738</v>
      </c>
      <c r="M12" s="47">
        <v>776669</v>
      </c>
      <c r="N12" s="41">
        <f t="shared" si="5"/>
        <v>25610.590681003585</v>
      </c>
      <c r="O12">
        <v>1</v>
      </c>
      <c r="P12" s="58">
        <v>32</v>
      </c>
      <c r="Q12" s="68">
        <f t="shared" si="6"/>
        <v>33.41317365269461</v>
      </c>
      <c r="R12" s="54">
        <v>742165</v>
      </c>
      <c r="S12" s="69">
        <f t="shared" si="7"/>
        <v>22211.748207885306</v>
      </c>
    </row>
    <row r="13" spans="1:20" x14ac:dyDescent="0.25">
      <c r="A13" s="46">
        <v>61</v>
      </c>
      <c r="B13" s="39">
        <f t="shared" si="0"/>
        <v>30.326086956521738</v>
      </c>
      <c r="C13" s="47">
        <v>594344</v>
      </c>
      <c r="D13" s="41">
        <f t="shared" si="1"/>
        <v>19598.440143369175</v>
      </c>
      <c r="E13">
        <v>1</v>
      </c>
      <c r="F13" s="58">
        <v>89</v>
      </c>
      <c r="G13" s="68">
        <f t="shared" si="2"/>
        <v>33.41317365269461</v>
      </c>
      <c r="H13" s="54">
        <v>626952</v>
      </c>
      <c r="I13" s="69">
        <f t="shared" si="3"/>
        <v>18763.617204301077</v>
      </c>
      <c r="K13" s="99">
        <v>57</v>
      </c>
      <c r="L13" s="100">
        <f t="shared" si="4"/>
        <v>30.326086956521738</v>
      </c>
      <c r="M13" s="101">
        <v>764937</v>
      </c>
      <c r="N13" s="102">
        <f t="shared" si="5"/>
        <v>25223.729032258067</v>
      </c>
      <c r="O13">
        <v>0.33333333333333393</v>
      </c>
      <c r="P13" s="58">
        <v>86</v>
      </c>
      <c r="Q13" s="68">
        <f t="shared" si="6"/>
        <v>33.41317365269461</v>
      </c>
      <c r="R13" s="54">
        <v>708838</v>
      </c>
      <c r="S13" s="69">
        <f t="shared" si="7"/>
        <v>21214.327240143371</v>
      </c>
    </row>
    <row r="14" spans="1:20" x14ac:dyDescent="0.25">
      <c r="A14" s="46">
        <v>2</v>
      </c>
      <c r="B14" s="39">
        <f t="shared" si="0"/>
        <v>30.326086956521738</v>
      </c>
      <c r="C14" s="47">
        <v>573963</v>
      </c>
      <c r="D14" s="41">
        <f t="shared" si="1"/>
        <v>18926.378494623656</v>
      </c>
      <c r="E14">
        <v>1</v>
      </c>
      <c r="F14" s="58">
        <v>74</v>
      </c>
      <c r="G14" s="68">
        <f t="shared" si="2"/>
        <v>33.41317365269461</v>
      </c>
      <c r="H14" s="54">
        <v>528188</v>
      </c>
      <c r="I14" s="69">
        <f t="shared" si="3"/>
        <v>15807.7770609319</v>
      </c>
      <c r="K14" s="58">
        <v>33</v>
      </c>
      <c r="L14" s="68">
        <f t="shared" si="4"/>
        <v>30.326086956521738</v>
      </c>
      <c r="M14" s="54">
        <v>739492</v>
      </c>
      <c r="N14" s="69">
        <f t="shared" si="5"/>
        <v>24384.682437275987</v>
      </c>
      <c r="P14" s="58">
        <v>44</v>
      </c>
      <c r="Q14" s="68">
        <f t="shared" si="6"/>
        <v>33.41317365269461</v>
      </c>
      <c r="R14" s="54">
        <v>644475</v>
      </c>
      <c r="S14" s="69">
        <f t="shared" si="7"/>
        <v>19288.051075268817</v>
      </c>
    </row>
    <row r="15" spans="1:20" x14ac:dyDescent="0.25">
      <c r="A15" s="58">
        <v>66</v>
      </c>
      <c r="B15" s="68">
        <f t="shared" si="0"/>
        <v>30.326086956521738</v>
      </c>
      <c r="C15" s="54">
        <v>543888</v>
      </c>
      <c r="D15" s="69">
        <f t="shared" si="1"/>
        <v>17934.65806451613</v>
      </c>
      <c r="F15" s="58">
        <v>7</v>
      </c>
      <c r="G15" s="68">
        <f t="shared" si="2"/>
        <v>33.41317365269461</v>
      </c>
      <c r="H15" s="54">
        <v>517706</v>
      </c>
      <c r="I15" s="69">
        <f t="shared" si="3"/>
        <v>15494.068458781363</v>
      </c>
      <c r="K15" s="58">
        <v>34</v>
      </c>
      <c r="L15" s="68">
        <f t="shared" si="4"/>
        <v>30.326086956521738</v>
      </c>
      <c r="M15" s="54">
        <v>706466</v>
      </c>
      <c r="N15" s="69">
        <f t="shared" si="5"/>
        <v>23295.653046594984</v>
      </c>
      <c r="P15" s="58">
        <v>43</v>
      </c>
      <c r="Q15" s="68">
        <f t="shared" si="6"/>
        <v>33.41317365269461</v>
      </c>
      <c r="R15" s="54">
        <v>600711</v>
      </c>
      <c r="S15" s="69">
        <f t="shared" si="7"/>
        <v>17978.268279569893</v>
      </c>
    </row>
    <row r="16" spans="1:20" x14ac:dyDescent="0.25">
      <c r="A16" s="58">
        <v>9</v>
      </c>
      <c r="B16" s="68">
        <f t="shared" si="0"/>
        <v>30.326086956521738</v>
      </c>
      <c r="C16" s="54">
        <v>458407</v>
      </c>
      <c r="D16" s="69">
        <f t="shared" si="1"/>
        <v>15115.929749103943</v>
      </c>
      <c r="F16" s="58">
        <v>16</v>
      </c>
      <c r="G16" s="68">
        <f t="shared" si="2"/>
        <v>33.41317365269461</v>
      </c>
      <c r="H16" s="54">
        <v>471825</v>
      </c>
      <c r="I16" s="69">
        <f t="shared" si="3"/>
        <v>14120.927419354839</v>
      </c>
      <c r="K16" s="58">
        <v>54</v>
      </c>
      <c r="L16" s="68">
        <f t="shared" si="4"/>
        <v>30.326086956521738</v>
      </c>
      <c r="M16" s="54">
        <v>704680</v>
      </c>
      <c r="N16" s="69">
        <f t="shared" si="5"/>
        <v>23236.759856630826</v>
      </c>
      <c r="P16" s="58">
        <v>54</v>
      </c>
      <c r="Q16" s="68">
        <f t="shared" si="6"/>
        <v>33.41317365269461</v>
      </c>
      <c r="R16" s="54">
        <v>600526</v>
      </c>
      <c r="S16" s="69">
        <f t="shared" si="7"/>
        <v>17972.73154121864</v>
      </c>
    </row>
    <row r="17" spans="1:20" x14ac:dyDescent="0.25">
      <c r="A17" s="58">
        <v>6</v>
      </c>
      <c r="B17" s="68">
        <f t="shared" si="0"/>
        <v>30.326086956521738</v>
      </c>
      <c r="C17" s="54">
        <v>413342</v>
      </c>
      <c r="D17" s="69">
        <f t="shared" si="1"/>
        <v>13629.915412186379</v>
      </c>
      <c r="F17" s="58">
        <v>20</v>
      </c>
      <c r="G17" s="68">
        <f t="shared" si="2"/>
        <v>33.41317365269461</v>
      </c>
      <c r="H17" s="54">
        <v>465526</v>
      </c>
      <c r="I17" s="69">
        <f t="shared" si="3"/>
        <v>13932.408960573477</v>
      </c>
      <c r="K17" s="58">
        <v>46</v>
      </c>
      <c r="L17" s="68">
        <f t="shared" si="4"/>
        <v>30.326086956521738</v>
      </c>
      <c r="M17" s="54">
        <v>647685</v>
      </c>
      <c r="N17" s="69">
        <f t="shared" si="5"/>
        <v>21357.354838709678</v>
      </c>
      <c r="P17" s="58">
        <v>33</v>
      </c>
      <c r="Q17" s="68">
        <f t="shared" si="6"/>
        <v>33.41317365269461</v>
      </c>
      <c r="R17" s="54">
        <v>533105</v>
      </c>
      <c r="S17" s="69">
        <f t="shared" si="7"/>
        <v>15954.934587813621</v>
      </c>
    </row>
    <row r="18" spans="1:20" x14ac:dyDescent="0.25">
      <c r="A18" s="58">
        <v>90</v>
      </c>
      <c r="B18" s="68">
        <f t="shared" si="0"/>
        <v>30.326086956521738</v>
      </c>
      <c r="C18" s="54">
        <v>390167</v>
      </c>
      <c r="D18" s="69">
        <f t="shared" si="1"/>
        <v>12865.721863799283</v>
      </c>
      <c r="F18" s="58">
        <v>71</v>
      </c>
      <c r="G18" s="68">
        <f t="shared" si="2"/>
        <v>33.41317365269461</v>
      </c>
      <c r="H18" s="54">
        <v>459240</v>
      </c>
      <c r="I18" s="69">
        <f t="shared" si="3"/>
        <v>13744.279569892473</v>
      </c>
      <c r="K18" s="58">
        <v>35</v>
      </c>
      <c r="L18" s="68">
        <f t="shared" si="4"/>
        <v>30.326086956521738</v>
      </c>
      <c r="M18" s="54">
        <v>520964</v>
      </c>
      <c r="N18" s="69">
        <f t="shared" si="5"/>
        <v>17178.741218637992</v>
      </c>
      <c r="P18" s="58">
        <v>29</v>
      </c>
      <c r="Q18" s="68">
        <f t="shared" si="6"/>
        <v>33.41317365269461</v>
      </c>
      <c r="R18" s="54">
        <v>466819</v>
      </c>
      <c r="S18" s="69">
        <f t="shared" si="7"/>
        <v>13971.106272401434</v>
      </c>
    </row>
    <row r="19" spans="1:20" x14ac:dyDescent="0.25">
      <c r="A19" s="58">
        <v>10</v>
      </c>
      <c r="B19" s="68">
        <f t="shared" si="0"/>
        <v>30.326086956521738</v>
      </c>
      <c r="C19" s="54">
        <v>374487</v>
      </c>
      <c r="D19" s="69">
        <f t="shared" si="1"/>
        <v>12348.675268817206</v>
      </c>
      <c r="F19" s="58">
        <v>73</v>
      </c>
      <c r="G19" s="68">
        <f t="shared" si="2"/>
        <v>33.41317365269461</v>
      </c>
      <c r="H19" s="54">
        <v>435675</v>
      </c>
      <c r="I19" s="69">
        <f t="shared" si="3"/>
        <v>13039.018817204302</v>
      </c>
      <c r="K19" s="58">
        <v>28</v>
      </c>
      <c r="L19" s="68">
        <f t="shared" si="4"/>
        <v>30.326086956521738</v>
      </c>
      <c r="M19" s="54">
        <v>485282</v>
      </c>
      <c r="N19" s="69">
        <f t="shared" si="5"/>
        <v>16002.130465949822</v>
      </c>
      <c r="P19" s="58">
        <v>39</v>
      </c>
      <c r="Q19" s="68">
        <f t="shared" si="6"/>
        <v>33.41317365269461</v>
      </c>
      <c r="R19" s="54">
        <v>443533</v>
      </c>
      <c r="S19" s="69">
        <f t="shared" si="7"/>
        <v>13274.195519713261</v>
      </c>
    </row>
    <row r="20" spans="1:20" x14ac:dyDescent="0.25">
      <c r="A20" s="58">
        <v>72</v>
      </c>
      <c r="B20" s="68">
        <f t="shared" si="0"/>
        <v>30.326086956521738</v>
      </c>
      <c r="C20" s="54">
        <v>339217</v>
      </c>
      <c r="D20" s="69">
        <f t="shared" si="1"/>
        <v>11185.65017921147</v>
      </c>
      <c r="F20" s="95">
        <v>4</v>
      </c>
      <c r="G20" s="96">
        <f t="shared" si="2"/>
        <v>33.41317365269461</v>
      </c>
      <c r="H20" s="97">
        <v>435251</v>
      </c>
      <c r="I20" s="98">
        <f t="shared" si="3"/>
        <v>13026.329211469534</v>
      </c>
      <c r="J20">
        <v>0</v>
      </c>
      <c r="K20" s="58">
        <v>25</v>
      </c>
      <c r="L20" s="68">
        <f t="shared" si="4"/>
        <v>30.326086956521738</v>
      </c>
      <c r="M20" s="54">
        <v>428682</v>
      </c>
      <c r="N20" s="69">
        <f t="shared" si="5"/>
        <v>14135.750537634409</v>
      </c>
      <c r="P20" s="58">
        <v>85</v>
      </c>
      <c r="Q20" s="68">
        <f t="shared" si="6"/>
        <v>33.41317365269461</v>
      </c>
      <c r="R20" s="54">
        <v>400656</v>
      </c>
      <c r="S20" s="69">
        <f t="shared" si="7"/>
        <v>11990.959139784947</v>
      </c>
    </row>
    <row r="21" spans="1:20" x14ac:dyDescent="0.25">
      <c r="A21" s="58">
        <v>63</v>
      </c>
      <c r="B21" s="68">
        <f t="shared" si="0"/>
        <v>30.326086956521738</v>
      </c>
      <c r="C21" s="54">
        <v>148379</v>
      </c>
      <c r="D21" s="69">
        <f t="shared" si="1"/>
        <v>4892.7842293906815</v>
      </c>
      <c r="F21" s="58">
        <v>58</v>
      </c>
      <c r="G21" s="68">
        <f t="shared" si="2"/>
        <v>33.41317365269461</v>
      </c>
      <c r="H21" s="54">
        <v>425212</v>
      </c>
      <c r="I21" s="69">
        <f t="shared" si="3"/>
        <v>12725.878853046595</v>
      </c>
      <c r="K21" s="58">
        <v>53</v>
      </c>
      <c r="L21" s="68">
        <f t="shared" si="4"/>
        <v>30.326086956521738</v>
      </c>
      <c r="M21" s="54">
        <v>427876</v>
      </c>
      <c r="N21" s="69">
        <f t="shared" si="5"/>
        <v>14109.17275985663</v>
      </c>
      <c r="P21" s="58">
        <v>51</v>
      </c>
      <c r="Q21" s="68">
        <f t="shared" si="6"/>
        <v>33.41317365269461</v>
      </c>
      <c r="R21" s="54">
        <v>295735</v>
      </c>
      <c r="S21" s="69">
        <f t="shared" si="7"/>
        <v>8850.8503584229402</v>
      </c>
    </row>
    <row r="22" spans="1:20" x14ac:dyDescent="0.25">
      <c r="A22" s="58">
        <v>5</v>
      </c>
      <c r="B22" s="68">
        <f t="shared" si="0"/>
        <v>30.326086956521738</v>
      </c>
      <c r="C22" s="54">
        <v>135603</v>
      </c>
      <c r="D22" s="69">
        <f t="shared" si="1"/>
        <v>4471.4967741935488</v>
      </c>
      <c r="F22" s="58">
        <v>69</v>
      </c>
      <c r="G22" s="68">
        <f t="shared" si="2"/>
        <v>33.41317365269461</v>
      </c>
      <c r="H22" s="54">
        <v>301059</v>
      </c>
      <c r="I22" s="69">
        <f t="shared" si="3"/>
        <v>9010.188709677419</v>
      </c>
      <c r="K22" s="58">
        <v>30</v>
      </c>
      <c r="L22" s="68">
        <f t="shared" si="4"/>
        <v>30.326086956521738</v>
      </c>
      <c r="M22" s="54">
        <v>412457</v>
      </c>
      <c r="N22" s="69">
        <f t="shared" si="5"/>
        <v>13600.732616487456</v>
      </c>
      <c r="P22" s="58">
        <v>84</v>
      </c>
      <c r="Q22" s="68">
        <f t="shared" si="6"/>
        <v>33.41317365269461</v>
      </c>
      <c r="R22" s="54">
        <v>277116</v>
      </c>
      <c r="S22" s="69">
        <f t="shared" si="7"/>
        <v>8293.6150537634403</v>
      </c>
    </row>
    <row r="23" spans="1:20" x14ac:dyDescent="0.25">
      <c r="A23" s="58">
        <v>89</v>
      </c>
      <c r="B23" s="68">
        <f t="shared" si="0"/>
        <v>30.326086956521738</v>
      </c>
      <c r="C23" s="54">
        <v>43767</v>
      </c>
      <c r="D23" s="69">
        <f t="shared" si="1"/>
        <v>1443.2129032258065</v>
      </c>
      <c r="F23" s="58">
        <v>91</v>
      </c>
      <c r="G23" s="68">
        <f t="shared" si="2"/>
        <v>33.41317365269461</v>
      </c>
      <c r="H23" s="54">
        <v>248437</v>
      </c>
      <c r="I23" s="69">
        <f t="shared" si="3"/>
        <v>7435.3008960573479</v>
      </c>
      <c r="K23" s="58">
        <v>45</v>
      </c>
      <c r="L23" s="68">
        <f t="shared" si="4"/>
        <v>30.326086956521738</v>
      </c>
      <c r="M23" s="54">
        <v>411553</v>
      </c>
      <c r="N23" s="69">
        <f t="shared" si="5"/>
        <v>13570.923297491039</v>
      </c>
      <c r="P23" s="58">
        <v>100</v>
      </c>
      <c r="Q23" s="68">
        <f t="shared" si="6"/>
        <v>33.41317365269461</v>
      </c>
      <c r="R23" s="54">
        <v>196154</v>
      </c>
      <c r="S23" s="69">
        <f t="shared" si="7"/>
        <v>5870.5587813620077</v>
      </c>
    </row>
    <row r="24" spans="1:20" x14ac:dyDescent="0.25">
      <c r="A24" s="58">
        <v>8</v>
      </c>
      <c r="B24" s="68">
        <f t="shared" si="0"/>
        <v>30.326086956521738</v>
      </c>
      <c r="C24" s="54">
        <v>-31569</v>
      </c>
      <c r="D24" s="69">
        <f t="shared" si="1"/>
        <v>-1040.9849462365592</v>
      </c>
      <c r="F24" s="95">
        <v>75</v>
      </c>
      <c r="G24" s="96">
        <f t="shared" si="2"/>
        <v>33.41317365269461</v>
      </c>
      <c r="H24" s="97">
        <v>241104</v>
      </c>
      <c r="I24" s="98">
        <f t="shared" si="3"/>
        <v>7215.8365591397851</v>
      </c>
      <c r="J24">
        <v>0</v>
      </c>
      <c r="K24" s="58">
        <v>43</v>
      </c>
      <c r="L24" s="68">
        <f t="shared" si="4"/>
        <v>30.326086956521738</v>
      </c>
      <c r="M24" s="54">
        <v>287718</v>
      </c>
      <c r="N24" s="69">
        <f t="shared" si="5"/>
        <v>9487.4752688172048</v>
      </c>
      <c r="P24" s="58">
        <v>56</v>
      </c>
      <c r="Q24" s="68">
        <f t="shared" si="6"/>
        <v>33.41317365269461</v>
      </c>
      <c r="R24" s="54">
        <v>175558</v>
      </c>
      <c r="S24" s="69">
        <f t="shared" si="7"/>
        <v>5254.1551971326162</v>
      </c>
    </row>
    <row r="25" spans="1:20" x14ac:dyDescent="0.25">
      <c r="A25" s="58">
        <v>62</v>
      </c>
      <c r="B25" s="68">
        <f t="shared" si="0"/>
        <v>30.326086956521738</v>
      </c>
      <c r="C25" s="54">
        <v>-50310</v>
      </c>
      <c r="D25" s="69">
        <f t="shared" si="1"/>
        <v>-1658.9677419354839</v>
      </c>
      <c r="F25" s="58">
        <v>21</v>
      </c>
      <c r="G25" s="68">
        <f t="shared" si="2"/>
        <v>33.41317365269461</v>
      </c>
      <c r="H25" s="54">
        <v>182068</v>
      </c>
      <c r="I25" s="69">
        <f t="shared" si="3"/>
        <v>5448.9885304659501</v>
      </c>
      <c r="K25" s="58">
        <v>47</v>
      </c>
      <c r="L25" s="68">
        <f t="shared" si="4"/>
        <v>30.326086956521738</v>
      </c>
      <c r="M25" s="54">
        <v>244892</v>
      </c>
      <c r="N25" s="69">
        <f t="shared" si="5"/>
        <v>8075.2917562724015</v>
      </c>
      <c r="P25" s="58">
        <v>24</v>
      </c>
      <c r="Q25" s="68">
        <f t="shared" si="6"/>
        <v>33.41317365269461</v>
      </c>
      <c r="R25" s="54">
        <v>71007</v>
      </c>
      <c r="S25" s="69">
        <f t="shared" si="7"/>
        <v>2125.1198924731184</v>
      </c>
    </row>
    <row r="26" spans="1:20" x14ac:dyDescent="0.25">
      <c r="A26" s="58">
        <v>20</v>
      </c>
      <c r="B26" s="68">
        <f t="shared" si="0"/>
        <v>30.326086956521738</v>
      </c>
      <c r="C26" s="54">
        <v>-55320</v>
      </c>
      <c r="D26" s="69">
        <f t="shared" si="1"/>
        <v>-1824.1720430107528</v>
      </c>
      <c r="F26" s="58">
        <v>59</v>
      </c>
      <c r="G26" s="68">
        <f t="shared" si="2"/>
        <v>33.41317365269461</v>
      </c>
      <c r="H26" s="54">
        <v>167225</v>
      </c>
      <c r="I26" s="69">
        <f t="shared" si="3"/>
        <v>5004.7625448028675</v>
      </c>
      <c r="K26" s="58">
        <v>27</v>
      </c>
      <c r="L26" s="68">
        <f t="shared" si="4"/>
        <v>30.326086956521738</v>
      </c>
      <c r="M26" s="54">
        <v>217246</v>
      </c>
      <c r="N26" s="69">
        <f t="shared" si="5"/>
        <v>7163.6673835125448</v>
      </c>
      <c r="P26" s="58">
        <v>94</v>
      </c>
      <c r="Q26" s="68">
        <f t="shared" si="6"/>
        <v>33.41317365269461</v>
      </c>
      <c r="R26" s="54">
        <v>48569</v>
      </c>
      <c r="S26" s="69">
        <f t="shared" si="7"/>
        <v>1453.5883512544804</v>
      </c>
    </row>
    <row r="27" spans="1:20" x14ac:dyDescent="0.25">
      <c r="A27" s="58">
        <v>14</v>
      </c>
      <c r="B27" s="68">
        <f t="shared" si="0"/>
        <v>30.326086956521738</v>
      </c>
      <c r="C27" s="54">
        <v>-99929</v>
      </c>
      <c r="D27" s="69">
        <f t="shared" si="1"/>
        <v>-3295.1498207885306</v>
      </c>
      <c r="F27" s="58">
        <v>63</v>
      </c>
      <c r="G27" s="68">
        <f t="shared" si="2"/>
        <v>33.41317365269461</v>
      </c>
      <c r="H27" s="54">
        <v>-59023</v>
      </c>
      <c r="I27" s="69">
        <f t="shared" si="3"/>
        <v>-1766.4589605734768</v>
      </c>
      <c r="K27" s="58">
        <v>98</v>
      </c>
      <c r="L27" s="68">
        <f t="shared" si="4"/>
        <v>30.326086956521738</v>
      </c>
      <c r="M27" s="54">
        <v>186371</v>
      </c>
      <c r="N27" s="69">
        <f t="shared" si="5"/>
        <v>6145.5670250896055</v>
      </c>
      <c r="P27" s="58">
        <v>98</v>
      </c>
      <c r="Q27" s="68">
        <f t="shared" si="6"/>
        <v>33.41317365269461</v>
      </c>
      <c r="R27" s="54">
        <v>42432</v>
      </c>
      <c r="S27" s="69">
        <f t="shared" si="7"/>
        <v>1269.9182795698925</v>
      </c>
    </row>
    <row r="28" spans="1:20" x14ac:dyDescent="0.25">
      <c r="A28" s="58">
        <v>59</v>
      </c>
      <c r="B28" s="68">
        <f t="shared" si="0"/>
        <v>30.326086956521738</v>
      </c>
      <c r="C28" s="54">
        <v>-120499</v>
      </c>
      <c r="D28" s="69">
        <f t="shared" si="1"/>
        <v>-3973.4437275985665</v>
      </c>
      <c r="F28" s="58">
        <v>70</v>
      </c>
      <c r="G28" s="68">
        <f t="shared" si="2"/>
        <v>33.41317365269461</v>
      </c>
      <c r="H28" s="54">
        <v>-82956</v>
      </c>
      <c r="I28" s="69">
        <f t="shared" si="3"/>
        <v>-2482.7333333333336</v>
      </c>
      <c r="K28" s="58">
        <v>82</v>
      </c>
      <c r="L28" s="68">
        <f t="shared" si="4"/>
        <v>30.326086956521738</v>
      </c>
      <c r="M28" s="54">
        <v>157735</v>
      </c>
      <c r="N28" s="69">
        <f t="shared" si="5"/>
        <v>5201.2974910394269</v>
      </c>
      <c r="P28" s="58">
        <v>79</v>
      </c>
      <c r="Q28" s="68">
        <f t="shared" si="6"/>
        <v>33.41317365269461</v>
      </c>
      <c r="R28" s="54">
        <v>-17472</v>
      </c>
      <c r="S28" s="69">
        <f t="shared" si="7"/>
        <v>-522.9075268817204</v>
      </c>
    </row>
    <row r="29" spans="1:20" x14ac:dyDescent="0.25">
      <c r="A29" s="58">
        <v>11</v>
      </c>
      <c r="B29" s="68">
        <f t="shared" si="0"/>
        <v>30.326086956521738</v>
      </c>
      <c r="C29" s="54">
        <v>-150180</v>
      </c>
      <c r="D29" s="69">
        <f t="shared" si="1"/>
        <v>-4952.1720430107525</v>
      </c>
      <c r="F29" s="58">
        <v>64</v>
      </c>
      <c r="G29" s="68">
        <f t="shared" si="2"/>
        <v>33.41317365269461</v>
      </c>
      <c r="H29" s="54">
        <v>-163863</v>
      </c>
      <c r="I29" s="69">
        <f t="shared" si="3"/>
        <v>-4904.1435483870973</v>
      </c>
      <c r="K29" s="58">
        <v>39</v>
      </c>
      <c r="L29" s="68">
        <f t="shared" si="4"/>
        <v>30.326086956521738</v>
      </c>
      <c r="M29" s="54">
        <v>75371</v>
      </c>
      <c r="N29" s="69">
        <f t="shared" si="5"/>
        <v>2485.3519713261649</v>
      </c>
      <c r="P29" s="58">
        <v>30</v>
      </c>
      <c r="Q29" s="68">
        <f t="shared" si="6"/>
        <v>33.41317365269461</v>
      </c>
      <c r="R29" s="54">
        <v>-18899</v>
      </c>
      <c r="S29" s="69">
        <f t="shared" si="7"/>
        <v>-565.61523297491044</v>
      </c>
    </row>
    <row r="30" spans="1:20" x14ac:dyDescent="0.25">
      <c r="A30" s="58">
        <v>19</v>
      </c>
      <c r="B30" s="68">
        <f t="shared" si="0"/>
        <v>30.326086956521738</v>
      </c>
      <c r="C30" s="54">
        <v>-212225</v>
      </c>
      <c r="D30" s="69">
        <f t="shared" si="1"/>
        <v>-6998.1003584229393</v>
      </c>
      <c r="F30" s="58">
        <v>8</v>
      </c>
      <c r="G30" s="68">
        <f t="shared" si="2"/>
        <v>33.41317365269461</v>
      </c>
      <c r="H30" s="54">
        <v>-187009</v>
      </c>
      <c r="I30" s="69">
        <f t="shared" si="3"/>
        <v>-5596.8643369175625</v>
      </c>
      <c r="K30" s="58">
        <v>79</v>
      </c>
      <c r="L30" s="68">
        <f t="shared" si="4"/>
        <v>30.326086956521738</v>
      </c>
      <c r="M30" s="54">
        <v>42924</v>
      </c>
      <c r="N30" s="69">
        <f t="shared" si="5"/>
        <v>1415.4150537634409</v>
      </c>
      <c r="P30" s="95">
        <v>99</v>
      </c>
      <c r="Q30" s="96">
        <f t="shared" si="6"/>
        <v>33.41317365269461</v>
      </c>
      <c r="R30" s="97">
        <v>-53380</v>
      </c>
      <c r="S30" s="98">
        <f t="shared" si="7"/>
        <v>-1597.573476702509</v>
      </c>
      <c r="T30">
        <v>0</v>
      </c>
    </row>
    <row r="31" spans="1:20" x14ac:dyDescent="0.25">
      <c r="A31" s="58">
        <v>7</v>
      </c>
      <c r="B31" s="68">
        <f t="shared" si="0"/>
        <v>30.326086956521738</v>
      </c>
      <c r="C31" s="54">
        <v>-425925</v>
      </c>
      <c r="D31" s="69">
        <f t="shared" si="1"/>
        <v>-14044.83870967742</v>
      </c>
      <c r="F31" s="95">
        <v>61</v>
      </c>
      <c r="G31" s="96">
        <f t="shared" si="2"/>
        <v>33.41317365269461</v>
      </c>
      <c r="H31" s="97">
        <v>-223907</v>
      </c>
      <c r="I31" s="98">
        <f t="shared" si="3"/>
        <v>-6701.159318996416</v>
      </c>
      <c r="J31">
        <v>0</v>
      </c>
      <c r="K31" s="58">
        <v>49</v>
      </c>
      <c r="L31" s="68">
        <f t="shared" si="4"/>
        <v>30.326086956521738</v>
      </c>
      <c r="M31" s="54">
        <v>-35135</v>
      </c>
      <c r="N31" s="69">
        <f t="shared" si="5"/>
        <v>-1158.573476702509</v>
      </c>
      <c r="P31" s="58">
        <v>76</v>
      </c>
      <c r="Q31" s="68">
        <f t="shared" si="6"/>
        <v>33.41317365269461</v>
      </c>
      <c r="R31" s="54">
        <v>-134133</v>
      </c>
      <c r="S31" s="69">
        <f t="shared" si="7"/>
        <v>-4014.3747311827956</v>
      </c>
    </row>
    <row r="32" spans="1:20" x14ac:dyDescent="0.25">
      <c r="A32" s="58">
        <v>88</v>
      </c>
      <c r="B32" s="68">
        <f t="shared" si="0"/>
        <v>30.326086956521738</v>
      </c>
      <c r="C32" s="54">
        <v>-426293</v>
      </c>
      <c r="D32" s="69">
        <f t="shared" si="1"/>
        <v>-14056.973476702509</v>
      </c>
      <c r="F32" s="58">
        <v>92</v>
      </c>
      <c r="G32" s="68">
        <f t="shared" si="2"/>
        <v>33.41317365269461</v>
      </c>
      <c r="H32" s="54">
        <v>-299484</v>
      </c>
      <c r="I32" s="69">
        <f t="shared" si="3"/>
        <v>-8963.0516129032258</v>
      </c>
      <c r="K32" s="58">
        <v>86</v>
      </c>
      <c r="L32" s="68">
        <f t="shared" si="4"/>
        <v>30.326086956521738</v>
      </c>
      <c r="M32" s="54">
        <v>-36114</v>
      </c>
      <c r="N32" s="69">
        <f t="shared" si="5"/>
        <v>-1190.8559139784948</v>
      </c>
      <c r="P32" s="58">
        <v>27</v>
      </c>
      <c r="Q32" s="68">
        <f t="shared" si="6"/>
        <v>33.41317365269461</v>
      </c>
      <c r="R32" s="54">
        <v>-237585</v>
      </c>
      <c r="S32" s="69">
        <f t="shared" si="7"/>
        <v>-7110.5188172043008</v>
      </c>
    </row>
    <row r="33" spans="1:20" x14ac:dyDescent="0.25">
      <c r="A33" s="58">
        <v>1</v>
      </c>
      <c r="B33" s="68">
        <f t="shared" si="0"/>
        <v>30.326086956521738</v>
      </c>
      <c r="C33" s="54">
        <v>-436549</v>
      </c>
      <c r="D33" s="69">
        <f t="shared" si="1"/>
        <v>-14395.164157706093</v>
      </c>
      <c r="F33" s="58">
        <v>93</v>
      </c>
      <c r="G33" s="68">
        <f t="shared" si="2"/>
        <v>33.41317365269461</v>
      </c>
      <c r="H33" s="54">
        <v>-392062</v>
      </c>
      <c r="I33" s="69">
        <f t="shared" si="3"/>
        <v>-11733.755197132617</v>
      </c>
      <c r="K33" s="58">
        <v>95</v>
      </c>
      <c r="L33" s="68">
        <f t="shared" si="4"/>
        <v>30.326086956521738</v>
      </c>
      <c r="M33" s="54">
        <v>-117870</v>
      </c>
      <c r="N33" s="69">
        <f t="shared" si="5"/>
        <v>-3886.7526881720432</v>
      </c>
      <c r="P33" s="58">
        <v>49</v>
      </c>
      <c r="Q33" s="68">
        <f t="shared" si="6"/>
        <v>33.41317365269461</v>
      </c>
      <c r="R33" s="54">
        <v>-320509</v>
      </c>
      <c r="S33" s="69">
        <f t="shared" si="7"/>
        <v>-9592.2944444444438</v>
      </c>
    </row>
    <row r="34" spans="1:20" x14ac:dyDescent="0.25">
      <c r="A34" s="58">
        <v>16</v>
      </c>
      <c r="B34" s="68">
        <f t="shared" si="0"/>
        <v>30.326086956521738</v>
      </c>
      <c r="C34" s="54">
        <v>-516654</v>
      </c>
      <c r="D34" s="69">
        <f t="shared" si="1"/>
        <v>-17036.619354838709</v>
      </c>
      <c r="F34" s="58">
        <v>17</v>
      </c>
      <c r="G34" s="68">
        <f t="shared" si="2"/>
        <v>33.41317365269461</v>
      </c>
      <c r="H34" s="54">
        <v>-421127</v>
      </c>
      <c r="I34" s="69">
        <f t="shared" si="3"/>
        <v>-12603.621684587813</v>
      </c>
      <c r="K34" s="58">
        <v>42</v>
      </c>
      <c r="L34" s="68">
        <f t="shared" si="4"/>
        <v>30.326086956521738</v>
      </c>
      <c r="M34" s="54">
        <v>-137859</v>
      </c>
      <c r="N34" s="69">
        <f t="shared" si="5"/>
        <v>-4545.8881720430109</v>
      </c>
      <c r="P34" s="58">
        <v>47</v>
      </c>
      <c r="Q34" s="68">
        <f t="shared" si="6"/>
        <v>33.41317365269461</v>
      </c>
      <c r="R34" s="54">
        <v>-338573</v>
      </c>
      <c r="S34" s="69">
        <f t="shared" si="7"/>
        <v>-10132.919534050179</v>
      </c>
    </row>
    <row r="35" spans="1:20" x14ac:dyDescent="0.25">
      <c r="A35" s="58">
        <v>73</v>
      </c>
      <c r="B35" s="68">
        <f t="shared" si="0"/>
        <v>30.326086956521738</v>
      </c>
      <c r="C35" s="54">
        <v>-526062</v>
      </c>
      <c r="D35" s="69">
        <f t="shared" si="1"/>
        <v>-17346.847311827958</v>
      </c>
      <c r="F35" s="58">
        <v>5</v>
      </c>
      <c r="G35" s="68">
        <f t="shared" si="2"/>
        <v>33.41317365269461</v>
      </c>
      <c r="H35" s="54">
        <v>-473972</v>
      </c>
      <c r="I35" s="69">
        <f t="shared" si="3"/>
        <v>-14185.183512544803</v>
      </c>
      <c r="K35" s="58">
        <v>50</v>
      </c>
      <c r="L35" s="68">
        <f t="shared" si="4"/>
        <v>30.326086956521738</v>
      </c>
      <c r="M35" s="54">
        <v>-141217</v>
      </c>
      <c r="N35" s="69">
        <f t="shared" si="5"/>
        <v>-4656.6179211469534</v>
      </c>
      <c r="P35" s="58">
        <v>34</v>
      </c>
      <c r="Q35" s="68">
        <f t="shared" si="6"/>
        <v>33.41317365269461</v>
      </c>
      <c r="R35" s="54">
        <v>-343537</v>
      </c>
      <c r="S35" s="69">
        <f t="shared" si="7"/>
        <v>-10281.483691756273</v>
      </c>
    </row>
    <row r="36" spans="1:20" x14ac:dyDescent="0.25">
      <c r="A36" s="58">
        <v>69</v>
      </c>
      <c r="B36" s="68">
        <f t="shared" si="0"/>
        <v>30.326086956521738</v>
      </c>
      <c r="C36" s="54">
        <v>-582190</v>
      </c>
      <c r="D36" s="69">
        <f t="shared" si="1"/>
        <v>-19197.663082437277</v>
      </c>
      <c r="F36" s="58">
        <v>67</v>
      </c>
      <c r="G36" s="68">
        <f t="shared" si="2"/>
        <v>33.41317365269461</v>
      </c>
      <c r="H36" s="54">
        <v>-479440</v>
      </c>
      <c r="I36" s="69">
        <f t="shared" si="3"/>
        <v>-14348.831541218638</v>
      </c>
      <c r="K36" s="58">
        <v>24</v>
      </c>
      <c r="L36" s="68">
        <f t="shared" si="4"/>
        <v>30.326086956521738</v>
      </c>
      <c r="M36" s="54">
        <v>-265494</v>
      </c>
      <c r="N36" s="69">
        <f t="shared" si="5"/>
        <v>-8754.6408602150532</v>
      </c>
      <c r="P36" s="58">
        <v>26</v>
      </c>
      <c r="Q36" s="68">
        <f t="shared" si="6"/>
        <v>33.41317365269461</v>
      </c>
      <c r="R36" s="54">
        <v>-410208</v>
      </c>
      <c r="S36" s="69">
        <f t="shared" si="7"/>
        <v>-12276.834408602152</v>
      </c>
    </row>
    <row r="37" spans="1:20" x14ac:dyDescent="0.25">
      <c r="A37" s="58">
        <v>17</v>
      </c>
      <c r="B37" s="68">
        <f t="shared" si="0"/>
        <v>30.326086956521738</v>
      </c>
      <c r="C37" s="54">
        <v>-710390</v>
      </c>
      <c r="D37" s="69">
        <f t="shared" si="1"/>
        <v>-23425.046594982079</v>
      </c>
      <c r="F37" s="58">
        <v>65</v>
      </c>
      <c r="G37" s="68">
        <f t="shared" si="2"/>
        <v>33.41317365269461</v>
      </c>
      <c r="H37" s="54">
        <v>-681880</v>
      </c>
      <c r="I37" s="69">
        <f t="shared" si="3"/>
        <v>-20407.519713261649</v>
      </c>
      <c r="K37" s="58">
        <v>44</v>
      </c>
      <c r="L37" s="68">
        <f t="shared" si="4"/>
        <v>30.326086956521738</v>
      </c>
      <c r="M37" s="54">
        <v>-279807</v>
      </c>
      <c r="N37" s="69">
        <f t="shared" si="5"/>
        <v>-9226.6107526881715</v>
      </c>
      <c r="P37" s="58">
        <v>55</v>
      </c>
      <c r="Q37" s="68">
        <f t="shared" si="6"/>
        <v>33.41317365269461</v>
      </c>
      <c r="R37" s="54">
        <v>-412943</v>
      </c>
      <c r="S37" s="69">
        <f t="shared" si="7"/>
        <v>-12358.688351254481</v>
      </c>
    </row>
    <row r="38" spans="1:20" x14ac:dyDescent="0.25">
      <c r="A38" s="58">
        <v>12</v>
      </c>
      <c r="B38" s="68">
        <f t="shared" si="0"/>
        <v>30.326086956521738</v>
      </c>
      <c r="C38" s="54">
        <v>-753136</v>
      </c>
      <c r="D38" s="69">
        <f t="shared" si="1"/>
        <v>-24834.592114695341</v>
      </c>
      <c r="F38" s="95">
        <v>15</v>
      </c>
      <c r="G38" s="96">
        <f t="shared" si="2"/>
        <v>33.41317365269461</v>
      </c>
      <c r="H38" s="97">
        <v>-737370</v>
      </c>
      <c r="I38" s="98">
        <f t="shared" si="3"/>
        <v>-22068.241935483871</v>
      </c>
      <c r="J38">
        <v>0</v>
      </c>
      <c r="K38" s="58">
        <v>78</v>
      </c>
      <c r="L38" s="68">
        <f t="shared" si="4"/>
        <v>30.326086956521738</v>
      </c>
      <c r="M38" s="54">
        <v>-450754</v>
      </c>
      <c r="N38" s="69">
        <f t="shared" si="5"/>
        <v>-14863.572759856632</v>
      </c>
      <c r="P38" s="95">
        <v>22</v>
      </c>
      <c r="Q38" s="96">
        <f t="shared" si="6"/>
        <v>33.41317365269461</v>
      </c>
      <c r="R38" s="97">
        <v>-443480</v>
      </c>
      <c r="S38" s="98">
        <f t="shared" si="7"/>
        <v>-13272.609318996416</v>
      </c>
      <c r="T38">
        <v>0</v>
      </c>
    </row>
    <row r="39" spans="1:20" x14ac:dyDescent="0.25">
      <c r="A39" s="58">
        <v>58</v>
      </c>
      <c r="B39" s="68">
        <f t="shared" si="0"/>
        <v>30.326086956521738</v>
      </c>
      <c r="C39" s="54">
        <v>-793953</v>
      </c>
      <c r="D39" s="69">
        <f t="shared" si="1"/>
        <v>-26180.529032258066</v>
      </c>
      <c r="F39" s="58">
        <v>6</v>
      </c>
      <c r="G39" s="68">
        <f t="shared" si="2"/>
        <v>33.41317365269461</v>
      </c>
      <c r="H39" s="54">
        <v>-760719</v>
      </c>
      <c r="I39" s="69">
        <f t="shared" si="3"/>
        <v>-22767.038172043012</v>
      </c>
      <c r="K39" s="58">
        <v>81</v>
      </c>
      <c r="L39" s="68">
        <f t="shared" si="4"/>
        <v>30.326086956521738</v>
      </c>
      <c r="M39" s="54">
        <v>-460974</v>
      </c>
      <c r="N39" s="69">
        <f t="shared" si="5"/>
        <v>-15200.576344086023</v>
      </c>
      <c r="P39" s="58">
        <v>97</v>
      </c>
      <c r="Q39" s="68">
        <f t="shared" si="6"/>
        <v>33.41317365269461</v>
      </c>
      <c r="R39" s="54">
        <v>-474669</v>
      </c>
      <c r="S39" s="69">
        <f t="shared" si="7"/>
        <v>-14206.043548387097</v>
      </c>
    </row>
    <row r="40" spans="1:20" x14ac:dyDescent="0.25">
      <c r="A40" s="58">
        <v>68</v>
      </c>
      <c r="B40" s="68">
        <f t="shared" si="0"/>
        <v>30.326086956521738</v>
      </c>
      <c r="C40" s="54">
        <v>-803861</v>
      </c>
      <c r="D40" s="69">
        <f t="shared" si="1"/>
        <v>-26507.244444444445</v>
      </c>
      <c r="F40" s="58">
        <v>18</v>
      </c>
      <c r="G40" s="68">
        <f t="shared" si="2"/>
        <v>33.41317365269461</v>
      </c>
      <c r="H40" s="54">
        <v>-824942</v>
      </c>
      <c r="I40" s="69">
        <f t="shared" si="3"/>
        <v>-24689.124372759856</v>
      </c>
      <c r="K40" s="58">
        <v>48</v>
      </c>
      <c r="L40" s="68">
        <f t="shared" si="4"/>
        <v>30.326086956521738</v>
      </c>
      <c r="M40" s="54">
        <v>-522318</v>
      </c>
      <c r="N40" s="69">
        <f t="shared" si="5"/>
        <v>-17223.389247311829</v>
      </c>
      <c r="P40" s="99">
        <v>57</v>
      </c>
      <c r="Q40" s="100">
        <f t="shared" si="6"/>
        <v>33.41317365269461</v>
      </c>
      <c r="R40" s="101">
        <v>-519769</v>
      </c>
      <c r="S40" s="102">
        <f t="shared" si="7"/>
        <v>-15555.810573476703</v>
      </c>
    </row>
    <row r="41" spans="1:20" x14ac:dyDescent="0.25">
      <c r="A41" s="58">
        <v>60</v>
      </c>
      <c r="B41" s="68">
        <f t="shared" si="0"/>
        <v>30.326086956521738</v>
      </c>
      <c r="C41" s="54">
        <v>-850901</v>
      </c>
      <c r="D41" s="69">
        <f t="shared" si="1"/>
        <v>-28058.384229390682</v>
      </c>
      <c r="F41" s="58">
        <v>11</v>
      </c>
      <c r="G41" s="68">
        <f t="shared" si="2"/>
        <v>33.41317365269461</v>
      </c>
      <c r="H41" s="54">
        <v>-906527</v>
      </c>
      <c r="I41" s="69">
        <f t="shared" si="3"/>
        <v>-27130.825985663083</v>
      </c>
      <c r="K41" s="58">
        <v>87</v>
      </c>
      <c r="L41" s="68">
        <f t="shared" si="4"/>
        <v>30.326086956521738</v>
      </c>
      <c r="M41" s="54">
        <v>-542332</v>
      </c>
      <c r="N41" s="69">
        <f t="shared" si="5"/>
        <v>-17883.349103942652</v>
      </c>
      <c r="P41" s="58">
        <v>35</v>
      </c>
      <c r="Q41" s="68">
        <f t="shared" si="6"/>
        <v>33.41317365269461</v>
      </c>
      <c r="R41" s="54">
        <v>-552149</v>
      </c>
      <c r="S41" s="69">
        <f t="shared" si="7"/>
        <v>-16524.889426523299</v>
      </c>
    </row>
    <row r="42" spans="1:20" x14ac:dyDescent="0.25">
      <c r="A42" s="58">
        <v>74</v>
      </c>
      <c r="B42" s="68">
        <f t="shared" si="0"/>
        <v>30.326086956521738</v>
      </c>
      <c r="C42" s="54">
        <v>-871942</v>
      </c>
      <c r="D42" s="69">
        <f t="shared" si="1"/>
        <v>-28752.209318996418</v>
      </c>
      <c r="F42" s="58">
        <v>14</v>
      </c>
      <c r="G42" s="68">
        <f t="shared" si="2"/>
        <v>33.41317365269461</v>
      </c>
      <c r="H42" s="54">
        <v>-923878</v>
      </c>
      <c r="I42" s="69">
        <f t="shared" si="3"/>
        <v>-27650.112186379931</v>
      </c>
      <c r="K42" s="58">
        <v>41</v>
      </c>
      <c r="L42" s="68">
        <f t="shared" si="4"/>
        <v>30.326086956521738</v>
      </c>
      <c r="M42" s="54">
        <v>-545075</v>
      </c>
      <c r="N42" s="69">
        <f t="shared" si="5"/>
        <v>-17973.799283154123</v>
      </c>
      <c r="P42" s="58">
        <v>81</v>
      </c>
      <c r="Q42" s="68">
        <f t="shared" si="6"/>
        <v>33.41317365269461</v>
      </c>
      <c r="R42" s="54">
        <v>-553719</v>
      </c>
      <c r="S42" s="69">
        <f t="shared" si="7"/>
        <v>-16571.876881720429</v>
      </c>
    </row>
    <row r="43" spans="1:20" x14ac:dyDescent="0.25">
      <c r="A43" s="58">
        <v>71</v>
      </c>
      <c r="B43" s="68">
        <f t="shared" si="0"/>
        <v>30.326086956521738</v>
      </c>
      <c r="C43" s="54">
        <v>-879757</v>
      </c>
      <c r="D43" s="69">
        <f t="shared" si="1"/>
        <v>-29009.908243727601</v>
      </c>
      <c r="F43" s="58">
        <v>90</v>
      </c>
      <c r="G43" s="68">
        <f t="shared" si="2"/>
        <v>33.41317365269461</v>
      </c>
      <c r="H43" s="54">
        <v>-944796</v>
      </c>
      <c r="I43" s="69">
        <f t="shared" si="3"/>
        <v>-28276.152688172042</v>
      </c>
      <c r="K43" s="58">
        <v>23</v>
      </c>
      <c r="L43" s="68">
        <f t="shared" si="4"/>
        <v>30.326086956521738</v>
      </c>
      <c r="M43" s="54">
        <v>-550483</v>
      </c>
      <c r="N43" s="69">
        <f t="shared" si="5"/>
        <v>-18152.127598566309</v>
      </c>
      <c r="P43" s="58">
        <v>25</v>
      </c>
      <c r="Q43" s="68">
        <f t="shared" si="6"/>
        <v>33.41317365269461</v>
      </c>
      <c r="R43" s="54">
        <v>-602771</v>
      </c>
      <c r="S43" s="69">
        <f t="shared" si="7"/>
        <v>-18039.920609318997</v>
      </c>
    </row>
    <row r="44" spans="1:20" x14ac:dyDescent="0.25">
      <c r="A44" s="58">
        <v>13</v>
      </c>
      <c r="B44" s="68">
        <f t="shared" si="0"/>
        <v>30.326086956521738</v>
      </c>
      <c r="C44" s="54">
        <v>-1072053</v>
      </c>
      <c r="D44" s="69">
        <f t="shared" si="1"/>
        <v>-35350.851612903229</v>
      </c>
      <c r="F44" s="58">
        <v>88</v>
      </c>
      <c r="G44" s="68">
        <f t="shared" si="2"/>
        <v>33.41317365269461</v>
      </c>
      <c r="H44" s="54">
        <v>-964689</v>
      </c>
      <c r="I44" s="69">
        <f t="shared" si="3"/>
        <v>-28871.516666666666</v>
      </c>
      <c r="K44" s="58">
        <v>55</v>
      </c>
      <c r="L44" s="68">
        <f t="shared" si="4"/>
        <v>30.326086956521738</v>
      </c>
      <c r="M44" s="54">
        <v>-592287</v>
      </c>
      <c r="N44" s="69">
        <f t="shared" si="5"/>
        <v>-19530.610752688171</v>
      </c>
      <c r="P44" s="58">
        <v>23</v>
      </c>
      <c r="Q44" s="68">
        <f t="shared" si="6"/>
        <v>33.41317365269461</v>
      </c>
      <c r="R44" s="54">
        <v>-625997</v>
      </c>
      <c r="S44" s="69">
        <f t="shared" si="7"/>
        <v>-18735.035663082439</v>
      </c>
    </row>
    <row r="45" spans="1:20" x14ac:dyDescent="0.25">
      <c r="A45" s="58">
        <v>92</v>
      </c>
      <c r="B45" s="68">
        <f t="shared" si="0"/>
        <v>30.326086956521738</v>
      </c>
      <c r="C45" s="54">
        <v>-1105120</v>
      </c>
      <c r="D45" s="69">
        <f t="shared" si="1"/>
        <v>-36441.232974910396</v>
      </c>
      <c r="F45" s="58">
        <v>10</v>
      </c>
      <c r="G45" s="68">
        <f t="shared" si="2"/>
        <v>33.41317365269461</v>
      </c>
      <c r="H45" s="54">
        <v>-1019506</v>
      </c>
      <c r="I45" s="69">
        <f t="shared" si="3"/>
        <v>-30512.097132616487</v>
      </c>
      <c r="K45" s="58">
        <v>31</v>
      </c>
      <c r="L45" s="68">
        <f t="shared" si="4"/>
        <v>30.326086956521738</v>
      </c>
      <c r="M45" s="54">
        <v>-620072</v>
      </c>
      <c r="N45" s="69">
        <f t="shared" si="5"/>
        <v>-20446.818637992834</v>
      </c>
      <c r="P45" s="58">
        <v>78</v>
      </c>
      <c r="Q45" s="68">
        <f t="shared" si="6"/>
        <v>33.41317365269461</v>
      </c>
      <c r="R45" s="54">
        <v>-732192</v>
      </c>
      <c r="S45" s="69">
        <f t="shared" si="7"/>
        <v>-21913.273118279569</v>
      </c>
    </row>
    <row r="46" spans="1:20" x14ac:dyDescent="0.25">
      <c r="A46" s="58">
        <v>21</v>
      </c>
      <c r="B46" s="68">
        <f t="shared" si="0"/>
        <v>30.326086956521738</v>
      </c>
      <c r="C46" s="54">
        <v>-1124143</v>
      </c>
      <c r="D46" s="69">
        <f t="shared" si="1"/>
        <v>-37068.514695340506</v>
      </c>
      <c r="F46" s="95">
        <v>2</v>
      </c>
      <c r="G46" s="96">
        <f t="shared" si="2"/>
        <v>33.41317365269461</v>
      </c>
      <c r="H46" s="97">
        <v>-1048073</v>
      </c>
      <c r="I46" s="98">
        <f t="shared" si="3"/>
        <v>-31367.059318996417</v>
      </c>
      <c r="J46">
        <v>0</v>
      </c>
      <c r="K46" s="58">
        <v>40</v>
      </c>
      <c r="L46" s="68">
        <f t="shared" si="4"/>
        <v>30.326086956521738</v>
      </c>
      <c r="M46" s="54">
        <v>-658386</v>
      </c>
      <c r="N46" s="69">
        <f t="shared" si="5"/>
        <v>-21710.219354838711</v>
      </c>
      <c r="P46" s="58">
        <v>41</v>
      </c>
      <c r="Q46" s="68">
        <f t="shared" si="6"/>
        <v>33.41317365269461</v>
      </c>
      <c r="R46" s="54">
        <v>-890843</v>
      </c>
      <c r="S46" s="69">
        <f t="shared" si="7"/>
        <v>-26661.430286738352</v>
      </c>
    </row>
    <row r="47" spans="1:20" x14ac:dyDescent="0.25">
      <c r="A47" s="58">
        <v>64</v>
      </c>
      <c r="B47" s="68">
        <f t="shared" si="0"/>
        <v>30.326086956521738</v>
      </c>
      <c r="C47" s="54">
        <v>-1198677</v>
      </c>
      <c r="D47" s="69">
        <f t="shared" si="1"/>
        <v>-39526.26666666667</v>
      </c>
      <c r="F47" s="58">
        <v>12</v>
      </c>
      <c r="G47" s="68">
        <f t="shared" si="2"/>
        <v>33.41317365269461</v>
      </c>
      <c r="H47" s="54">
        <v>-1098022</v>
      </c>
      <c r="I47" s="69">
        <f t="shared" si="3"/>
        <v>-32861.948745519716</v>
      </c>
      <c r="K47" s="58">
        <v>97</v>
      </c>
      <c r="L47" s="68">
        <f t="shared" si="4"/>
        <v>30.326086956521738</v>
      </c>
      <c r="M47" s="54">
        <v>-661431</v>
      </c>
      <c r="N47" s="69">
        <f t="shared" si="5"/>
        <v>-21810.627956989247</v>
      </c>
      <c r="P47" s="58">
        <v>48</v>
      </c>
      <c r="Q47" s="68">
        <f t="shared" si="6"/>
        <v>33.41317365269461</v>
      </c>
      <c r="R47" s="54">
        <v>-914243</v>
      </c>
      <c r="S47" s="69">
        <f t="shared" si="7"/>
        <v>-27361.752867383515</v>
      </c>
    </row>
    <row r="48" spans="1:20" x14ac:dyDescent="0.25">
      <c r="A48" s="58">
        <v>3</v>
      </c>
      <c r="B48" s="68">
        <f t="shared" si="0"/>
        <v>30.326086956521738</v>
      </c>
      <c r="C48" s="54">
        <v>-1231829</v>
      </c>
      <c r="D48" s="69">
        <f t="shared" si="1"/>
        <v>-40619.450896057351</v>
      </c>
      <c r="F48" s="58">
        <v>72</v>
      </c>
      <c r="G48" s="68">
        <f t="shared" si="2"/>
        <v>33.41317365269461</v>
      </c>
      <c r="H48" s="54">
        <v>-1168137</v>
      </c>
      <c r="I48" s="69">
        <f t="shared" si="3"/>
        <v>-34960.372580645162</v>
      </c>
      <c r="K48" s="58">
        <v>56</v>
      </c>
      <c r="L48" s="68">
        <f t="shared" si="4"/>
        <v>30.326086956521738</v>
      </c>
      <c r="M48" s="54">
        <v>-736742</v>
      </c>
      <c r="N48" s="69">
        <f t="shared" si="5"/>
        <v>-24294.001433691756</v>
      </c>
      <c r="P48" s="58">
        <v>96</v>
      </c>
      <c r="Q48" s="68">
        <f t="shared" si="6"/>
        <v>33.41317365269461</v>
      </c>
      <c r="R48" s="54">
        <v>-944950</v>
      </c>
      <c r="S48" s="69">
        <f t="shared" si="7"/>
        <v>-28280.76164874552</v>
      </c>
    </row>
    <row r="49" spans="1:20" x14ac:dyDescent="0.25">
      <c r="A49" s="58">
        <v>70</v>
      </c>
      <c r="B49" s="68">
        <f t="shared" si="0"/>
        <v>30.326086956521738</v>
      </c>
      <c r="C49" s="54">
        <v>-1290356</v>
      </c>
      <c r="D49" s="69">
        <f t="shared" si="1"/>
        <v>-42549.373476702509</v>
      </c>
      <c r="F49" s="58">
        <v>62</v>
      </c>
      <c r="G49" s="68">
        <f t="shared" si="2"/>
        <v>33.41317365269461</v>
      </c>
      <c r="H49" s="54">
        <v>-1177761</v>
      </c>
      <c r="I49" s="69">
        <f t="shared" si="3"/>
        <v>-35248.402688172042</v>
      </c>
      <c r="K49" s="58">
        <v>85</v>
      </c>
      <c r="L49" s="68">
        <f t="shared" si="4"/>
        <v>30.326086956521738</v>
      </c>
      <c r="M49" s="54">
        <v>-789944</v>
      </c>
      <c r="N49" s="69">
        <f t="shared" si="5"/>
        <v>-26048.332616487456</v>
      </c>
      <c r="P49" s="58">
        <v>82</v>
      </c>
      <c r="Q49" s="68">
        <f t="shared" si="6"/>
        <v>33.41317365269461</v>
      </c>
      <c r="R49" s="54">
        <v>-954865</v>
      </c>
      <c r="S49" s="69">
        <f t="shared" si="7"/>
        <v>-28577.500896057347</v>
      </c>
    </row>
    <row r="50" spans="1:20" x14ac:dyDescent="0.25">
      <c r="A50" s="58">
        <v>65</v>
      </c>
      <c r="B50" s="68">
        <f t="shared" si="0"/>
        <v>30.326086956521738</v>
      </c>
      <c r="C50" s="54">
        <v>-1335361</v>
      </c>
      <c r="D50" s="69">
        <f t="shared" si="1"/>
        <v>-44033.409318996419</v>
      </c>
      <c r="F50" s="58">
        <v>19</v>
      </c>
      <c r="G50" s="68">
        <f t="shared" si="2"/>
        <v>33.41317365269461</v>
      </c>
      <c r="H50" s="54">
        <v>-1251057</v>
      </c>
      <c r="I50" s="69">
        <f t="shared" si="3"/>
        <v>-37442.028494623657</v>
      </c>
      <c r="K50" s="58">
        <v>26</v>
      </c>
      <c r="L50" s="68">
        <f t="shared" si="4"/>
        <v>30.326086956521738</v>
      </c>
      <c r="M50" s="54">
        <v>-946136</v>
      </c>
      <c r="N50" s="69">
        <f t="shared" si="5"/>
        <v>-31198.749820788533</v>
      </c>
      <c r="P50" s="58">
        <v>50</v>
      </c>
      <c r="Q50" s="68">
        <f t="shared" si="6"/>
        <v>33.41317365269461</v>
      </c>
      <c r="R50" s="54">
        <v>-1011749</v>
      </c>
      <c r="S50" s="69">
        <f t="shared" si="7"/>
        <v>-30279.943189964157</v>
      </c>
    </row>
    <row r="51" spans="1:20" x14ac:dyDescent="0.25">
      <c r="A51" s="58">
        <v>18</v>
      </c>
      <c r="B51" s="68">
        <f t="shared" si="0"/>
        <v>30.326086956521738</v>
      </c>
      <c r="C51" s="54">
        <v>-1388548</v>
      </c>
      <c r="D51" s="69">
        <f t="shared" si="1"/>
        <v>-45787.2458781362</v>
      </c>
      <c r="F51" s="58">
        <v>68</v>
      </c>
      <c r="G51" s="68">
        <f t="shared" si="2"/>
        <v>33.41317365269461</v>
      </c>
      <c r="H51" s="54">
        <v>-1292553</v>
      </c>
      <c r="I51" s="69">
        <f t="shared" si="3"/>
        <v>-38683.933870967739</v>
      </c>
      <c r="K51" s="58">
        <v>84</v>
      </c>
      <c r="L51" s="68">
        <f t="shared" si="4"/>
        <v>30.326086956521738</v>
      </c>
      <c r="M51" s="54">
        <v>-948146</v>
      </c>
      <c r="N51" s="69">
        <f t="shared" si="5"/>
        <v>-31265.029390681004</v>
      </c>
      <c r="P51" s="58">
        <v>40</v>
      </c>
      <c r="Q51" s="68">
        <f t="shared" si="6"/>
        <v>33.41317365269461</v>
      </c>
      <c r="R51" s="54">
        <v>-1028317</v>
      </c>
      <c r="S51" s="69">
        <f t="shared" si="7"/>
        <v>-30775.795519713261</v>
      </c>
    </row>
    <row r="52" spans="1:20" x14ac:dyDescent="0.25">
      <c r="A52" s="58">
        <v>91</v>
      </c>
      <c r="B52" s="68">
        <f t="shared" si="0"/>
        <v>30.326086956521738</v>
      </c>
      <c r="C52" s="54">
        <v>-1477388</v>
      </c>
      <c r="D52" s="69">
        <f t="shared" si="1"/>
        <v>-48716.736917562725</v>
      </c>
      <c r="F52" s="58">
        <v>60</v>
      </c>
      <c r="G52" s="68">
        <f t="shared" si="2"/>
        <v>33.41317365269461</v>
      </c>
      <c r="H52" s="54">
        <v>-1363928</v>
      </c>
      <c r="I52" s="69">
        <f t="shared" si="3"/>
        <v>-40820.067383512549</v>
      </c>
      <c r="K52" s="58">
        <v>37</v>
      </c>
      <c r="L52" s="68">
        <f t="shared" si="4"/>
        <v>30.326086956521738</v>
      </c>
      <c r="M52" s="54">
        <v>-1123636</v>
      </c>
      <c r="N52" s="69">
        <f t="shared" si="5"/>
        <v>-37051.796415770608</v>
      </c>
      <c r="P52" s="58">
        <v>45</v>
      </c>
      <c r="Q52" s="68">
        <f t="shared" si="6"/>
        <v>33.41317365269461</v>
      </c>
      <c r="R52" s="54">
        <v>-1108132</v>
      </c>
      <c r="S52" s="69">
        <f t="shared" si="7"/>
        <v>-33164.524014336916</v>
      </c>
    </row>
    <row r="53" spans="1:20" x14ac:dyDescent="0.25">
      <c r="A53" s="58">
        <v>67</v>
      </c>
      <c r="B53" s="68">
        <f t="shared" si="0"/>
        <v>30.326086956521738</v>
      </c>
      <c r="C53" s="54">
        <v>-1558535</v>
      </c>
      <c r="D53" s="69">
        <f t="shared" si="1"/>
        <v>-51392.551971326167</v>
      </c>
      <c r="F53" s="58">
        <v>66</v>
      </c>
      <c r="G53" s="68">
        <f t="shared" si="2"/>
        <v>33.41317365269461</v>
      </c>
      <c r="H53" s="54">
        <v>-1541082</v>
      </c>
      <c r="I53" s="69">
        <f t="shared" si="3"/>
        <v>-46121.988172043013</v>
      </c>
      <c r="K53" s="58">
        <v>77</v>
      </c>
      <c r="L53" s="68">
        <f t="shared" si="4"/>
        <v>30.326086956521738</v>
      </c>
      <c r="M53" s="54">
        <v>-1136517</v>
      </c>
      <c r="N53" s="69">
        <f t="shared" si="5"/>
        <v>-37476.546236559137</v>
      </c>
      <c r="P53" s="58">
        <v>37</v>
      </c>
      <c r="Q53" s="68">
        <f t="shared" si="6"/>
        <v>33.41317365269461</v>
      </c>
      <c r="R53" s="54">
        <v>-1231599</v>
      </c>
      <c r="S53" s="69">
        <f t="shared" si="7"/>
        <v>-36859.683333333334</v>
      </c>
    </row>
    <row r="54" spans="1:20" x14ac:dyDescent="0.25">
      <c r="A54" s="58">
        <v>93</v>
      </c>
      <c r="B54" s="68">
        <f t="shared" si="0"/>
        <v>30.326086956521738</v>
      </c>
      <c r="C54" s="54">
        <v>-1560391</v>
      </c>
      <c r="D54" s="69">
        <f t="shared" si="1"/>
        <v>-51453.753405017924</v>
      </c>
      <c r="F54" s="58">
        <v>13</v>
      </c>
      <c r="G54" s="68">
        <f t="shared" si="2"/>
        <v>33.41317365269461</v>
      </c>
      <c r="H54" s="54">
        <v>-1570807</v>
      </c>
      <c r="I54" s="69">
        <f t="shared" si="3"/>
        <v>-47011.607347670251</v>
      </c>
      <c r="K54" s="58">
        <v>94</v>
      </c>
      <c r="L54" s="68">
        <f t="shared" si="4"/>
        <v>30.326086956521738</v>
      </c>
      <c r="M54" s="54">
        <v>-1189690</v>
      </c>
      <c r="N54" s="69">
        <f t="shared" si="5"/>
        <v>-39229.921146953406</v>
      </c>
      <c r="P54" s="58">
        <v>80</v>
      </c>
      <c r="Q54" s="68">
        <f t="shared" si="6"/>
        <v>33.41317365269461</v>
      </c>
      <c r="R54" s="54">
        <v>-1261366</v>
      </c>
      <c r="S54" s="69">
        <f t="shared" si="7"/>
        <v>-37750.559498207884</v>
      </c>
    </row>
    <row r="55" spans="1:20" x14ac:dyDescent="0.25">
      <c r="A55" s="58"/>
      <c r="B55" s="59"/>
      <c r="C55" s="54"/>
      <c r="D55" s="55"/>
      <c r="F55" s="58"/>
      <c r="G55" s="59"/>
      <c r="H55" s="54"/>
      <c r="I55" s="55"/>
      <c r="K55" s="58">
        <v>32</v>
      </c>
      <c r="L55" s="68">
        <f t="shared" si="4"/>
        <v>30.326086956521738</v>
      </c>
      <c r="M55" s="54">
        <v>-1238968</v>
      </c>
      <c r="N55" s="69">
        <f t="shared" si="5"/>
        <v>-40854.858781362011</v>
      </c>
      <c r="P55" s="58">
        <v>52</v>
      </c>
      <c r="Q55" s="68">
        <f t="shared" si="6"/>
        <v>33.41317365269461</v>
      </c>
      <c r="R55" s="54">
        <v>-1306284</v>
      </c>
      <c r="S55" s="69">
        <f t="shared" si="7"/>
        <v>-39094.879569892473</v>
      </c>
    </row>
    <row r="56" spans="1:20" x14ac:dyDescent="0.25">
      <c r="A56" s="58"/>
      <c r="B56" s="59"/>
      <c r="C56" s="54"/>
      <c r="D56" s="55"/>
      <c r="F56" s="58"/>
      <c r="G56" s="59"/>
      <c r="H56" s="54"/>
      <c r="I56" s="55"/>
      <c r="K56" s="58">
        <v>36</v>
      </c>
      <c r="L56" s="68">
        <f t="shared" si="4"/>
        <v>30.326086956521738</v>
      </c>
      <c r="M56" s="54">
        <v>-1281241</v>
      </c>
      <c r="N56" s="69">
        <f t="shared" si="5"/>
        <v>-42248.807168458785</v>
      </c>
      <c r="P56" s="58">
        <v>38</v>
      </c>
      <c r="Q56" s="68">
        <f t="shared" si="6"/>
        <v>33.41317365269461</v>
      </c>
      <c r="R56" s="54">
        <v>-1308829</v>
      </c>
      <c r="S56" s="69">
        <f t="shared" si="7"/>
        <v>-39171.047132616492</v>
      </c>
    </row>
    <row r="57" spans="1:20" x14ac:dyDescent="0.25">
      <c r="A57" s="58"/>
      <c r="B57" s="59"/>
      <c r="C57" s="54"/>
      <c r="D57" s="55"/>
      <c r="F57" s="58"/>
      <c r="G57" s="59"/>
      <c r="H57" s="54"/>
      <c r="I57" s="55"/>
      <c r="K57" s="58">
        <v>29</v>
      </c>
      <c r="L57" s="68">
        <f t="shared" si="4"/>
        <v>30.326086956521738</v>
      </c>
      <c r="M57" s="54">
        <v>-1329121</v>
      </c>
      <c r="N57" s="69">
        <f t="shared" si="5"/>
        <v>-43827.645878136202</v>
      </c>
      <c r="P57" s="58">
        <v>46</v>
      </c>
      <c r="Q57" s="68">
        <f t="shared" si="6"/>
        <v>33.41317365269461</v>
      </c>
      <c r="R57" s="54">
        <v>-1311822</v>
      </c>
      <c r="S57" s="69">
        <f t="shared" si="7"/>
        <v>-39260.622580645162</v>
      </c>
    </row>
    <row r="58" spans="1:20" x14ac:dyDescent="0.25">
      <c r="A58" s="58"/>
      <c r="B58" s="59"/>
      <c r="C58" s="54"/>
      <c r="D58" s="55"/>
      <c r="F58" s="58"/>
      <c r="G58" s="59"/>
      <c r="H58" s="54"/>
      <c r="I58" s="55"/>
      <c r="K58" s="58">
        <v>80</v>
      </c>
      <c r="L58" s="68">
        <f t="shared" si="4"/>
        <v>30.326086956521738</v>
      </c>
      <c r="M58" s="54">
        <v>-1382584</v>
      </c>
      <c r="N58" s="69">
        <f t="shared" si="5"/>
        <v>-45590.583512544807</v>
      </c>
      <c r="P58" s="58">
        <v>53</v>
      </c>
      <c r="Q58" s="68">
        <f t="shared" si="6"/>
        <v>33.41317365269461</v>
      </c>
      <c r="R58" s="54">
        <v>-1316172</v>
      </c>
      <c r="S58" s="69">
        <f t="shared" si="7"/>
        <v>-39390.810752688172</v>
      </c>
    </row>
    <row r="59" spans="1:20" x14ac:dyDescent="0.25">
      <c r="A59" s="58"/>
      <c r="B59" s="59"/>
      <c r="C59" s="54"/>
      <c r="D59" s="55"/>
      <c r="F59" s="58"/>
      <c r="G59" s="59"/>
      <c r="H59" s="54"/>
      <c r="I59" s="55"/>
      <c r="K59" s="58">
        <v>38</v>
      </c>
      <c r="L59" s="68">
        <f t="shared" si="4"/>
        <v>30.326086956521738</v>
      </c>
      <c r="M59" s="54">
        <v>-1454904</v>
      </c>
      <c r="N59" s="69">
        <f t="shared" si="5"/>
        <v>-47975.329032258065</v>
      </c>
      <c r="P59" s="58">
        <v>87</v>
      </c>
      <c r="Q59" s="68">
        <f t="shared" si="6"/>
        <v>33.41317365269461</v>
      </c>
      <c r="R59" s="54">
        <v>-1394051</v>
      </c>
      <c r="S59" s="69">
        <f t="shared" si="7"/>
        <v>-41721.598028673834</v>
      </c>
    </row>
    <row r="60" spans="1:20" x14ac:dyDescent="0.25">
      <c r="A60" s="58"/>
      <c r="B60" s="59"/>
      <c r="C60" s="54"/>
      <c r="D60" s="55"/>
      <c r="F60" s="58"/>
      <c r="G60" s="59"/>
      <c r="H60" s="54"/>
      <c r="I60" s="55"/>
      <c r="K60" s="58">
        <v>96</v>
      </c>
      <c r="L60" s="68">
        <f t="shared" si="4"/>
        <v>30.326086956521738</v>
      </c>
      <c r="M60" s="54">
        <v>-1495940</v>
      </c>
      <c r="N60" s="69">
        <f t="shared" si="5"/>
        <v>-49328.487455197137</v>
      </c>
      <c r="P60" s="58">
        <v>36</v>
      </c>
      <c r="Q60" s="68">
        <f t="shared" si="6"/>
        <v>33.41317365269461</v>
      </c>
      <c r="R60" s="54">
        <v>-1395762</v>
      </c>
      <c r="S60" s="69">
        <f t="shared" si="7"/>
        <v>-41772.805376344084</v>
      </c>
    </row>
    <row r="61" spans="1:20" x14ac:dyDescent="0.25">
      <c r="A61" s="58"/>
      <c r="B61" s="59"/>
      <c r="C61" s="54"/>
      <c r="D61" s="55"/>
      <c r="F61" s="58"/>
      <c r="G61" s="59"/>
      <c r="H61" s="54"/>
      <c r="I61" s="55"/>
      <c r="K61" s="58">
        <v>76</v>
      </c>
      <c r="L61" s="68">
        <f t="shared" si="4"/>
        <v>30.326086956521738</v>
      </c>
      <c r="M61" s="54">
        <v>-1505954</v>
      </c>
      <c r="N61" s="69">
        <f t="shared" si="5"/>
        <v>-49658.698207885303</v>
      </c>
      <c r="P61" s="58">
        <v>42</v>
      </c>
      <c r="Q61" s="68">
        <f t="shared" si="6"/>
        <v>33.41317365269461</v>
      </c>
      <c r="R61" s="54">
        <v>-1449513</v>
      </c>
      <c r="S61" s="69">
        <f t="shared" si="7"/>
        <v>-43381.48225806452</v>
      </c>
    </row>
    <row r="62" spans="1:20" x14ac:dyDescent="0.25">
      <c r="A62" s="58"/>
      <c r="B62" s="59"/>
      <c r="C62" s="54"/>
      <c r="D62" s="55"/>
      <c r="F62" s="58"/>
      <c r="G62" s="59"/>
      <c r="H62" s="54"/>
      <c r="I62" s="55"/>
      <c r="K62" s="58">
        <v>52</v>
      </c>
      <c r="L62" s="68">
        <f t="shared" si="4"/>
        <v>30.326086956521738</v>
      </c>
      <c r="M62" s="54">
        <v>-1572435</v>
      </c>
      <c r="N62" s="69">
        <f t="shared" si="5"/>
        <v>-51850.903225806454</v>
      </c>
      <c r="P62" s="58">
        <v>28</v>
      </c>
      <c r="Q62" s="68">
        <f t="shared" si="6"/>
        <v>33.41317365269461</v>
      </c>
      <c r="R62" s="54">
        <v>-1475625</v>
      </c>
      <c r="S62" s="69">
        <f t="shared" si="7"/>
        <v>-44162.970430107525</v>
      </c>
    </row>
    <row r="63" spans="1:20" x14ac:dyDescent="0.25">
      <c r="A63" s="58"/>
      <c r="B63" s="59"/>
      <c r="C63" s="54"/>
      <c r="D63" s="55"/>
      <c r="F63" s="58"/>
      <c r="G63" s="59"/>
      <c r="H63" s="54"/>
      <c r="I63" s="55"/>
      <c r="K63" s="58">
        <v>100</v>
      </c>
      <c r="L63" s="68">
        <f t="shared" si="4"/>
        <v>30.326086956521738</v>
      </c>
      <c r="M63" s="54">
        <v>-1597710</v>
      </c>
      <c r="N63" s="69">
        <f t="shared" si="5"/>
        <v>-52684.344086021505</v>
      </c>
      <c r="P63" s="95">
        <v>83</v>
      </c>
      <c r="Q63" s="96">
        <f t="shared" si="6"/>
        <v>33.41317365269461</v>
      </c>
      <c r="R63" s="97">
        <v>-1533913</v>
      </c>
      <c r="S63" s="98">
        <f t="shared" si="7"/>
        <v>-45907.432078853046</v>
      </c>
      <c r="T63">
        <v>0</v>
      </c>
    </row>
    <row r="64" spans="1:20" x14ac:dyDescent="0.25">
      <c r="A64" s="58"/>
      <c r="B64" s="59"/>
      <c r="C64" s="54"/>
      <c r="D64" s="55"/>
      <c r="F64" s="58"/>
      <c r="G64" s="59"/>
      <c r="H64" s="54"/>
      <c r="I64" s="55"/>
      <c r="K64" s="58">
        <v>51</v>
      </c>
      <c r="L64" s="68">
        <f t="shared" si="4"/>
        <v>30.326086956521738</v>
      </c>
      <c r="M64" s="54">
        <v>-1602000</v>
      </c>
      <c r="N64" s="69">
        <f t="shared" si="5"/>
        <v>-52825.806451612902</v>
      </c>
      <c r="P64" s="58">
        <v>77</v>
      </c>
      <c r="Q64" s="68">
        <f t="shared" si="6"/>
        <v>33.41317365269461</v>
      </c>
      <c r="R64" s="54">
        <v>-1545855</v>
      </c>
      <c r="S64" s="69">
        <f t="shared" si="7"/>
        <v>-46264.836021505376</v>
      </c>
    </row>
    <row r="65" spans="1:19" x14ac:dyDescent="0.25">
      <c r="A65" s="58"/>
      <c r="B65" s="59"/>
      <c r="C65" s="54"/>
      <c r="D65" s="55"/>
      <c r="F65" s="58"/>
      <c r="G65" s="59"/>
      <c r="H65" s="54"/>
      <c r="I65" s="55"/>
      <c r="K65" s="58"/>
      <c r="L65" s="59"/>
      <c r="M65" s="54"/>
      <c r="N65" s="55"/>
      <c r="P65" s="58"/>
      <c r="Q65" s="59"/>
      <c r="R65" s="54"/>
      <c r="S65" s="55"/>
    </row>
    <row r="66" spans="1:19" x14ac:dyDescent="0.25">
      <c r="A66" s="58"/>
      <c r="B66" s="59"/>
      <c r="C66" s="54"/>
      <c r="D66" s="55"/>
      <c r="F66" s="58"/>
      <c r="G66" s="59"/>
      <c r="H66" s="54"/>
      <c r="I66" s="55"/>
      <c r="K66" s="58"/>
      <c r="L66" s="59"/>
      <c r="M66" s="54"/>
      <c r="N66" s="55"/>
      <c r="P66" s="58"/>
      <c r="Q66" s="59"/>
      <c r="R66" s="54"/>
      <c r="S66" s="55"/>
    </row>
    <row r="67" spans="1:19" x14ac:dyDescent="0.25">
      <c r="A67" s="58"/>
      <c r="B67" s="59"/>
      <c r="C67" s="54"/>
      <c r="D67" s="55"/>
      <c r="F67" s="58"/>
      <c r="G67" s="59"/>
      <c r="H67" s="54"/>
      <c r="I67" s="55"/>
      <c r="K67" s="58"/>
      <c r="L67" s="59"/>
      <c r="M67" s="54"/>
      <c r="N67" s="55"/>
      <c r="P67" s="58"/>
      <c r="Q67" s="59"/>
      <c r="R67" s="54"/>
      <c r="S67" s="55"/>
    </row>
    <row r="68" spans="1:19" x14ac:dyDescent="0.25">
      <c r="A68" s="58"/>
      <c r="B68" s="59"/>
      <c r="C68" s="54"/>
      <c r="D68" s="55"/>
      <c r="F68" s="58"/>
      <c r="G68" s="59"/>
      <c r="H68" s="54"/>
      <c r="I68" s="55"/>
      <c r="K68" s="58"/>
      <c r="L68" s="59"/>
      <c r="M68" s="54"/>
      <c r="N68" s="55"/>
      <c r="P68" s="58"/>
      <c r="Q68" s="59"/>
      <c r="R68" s="54"/>
      <c r="S68" s="55"/>
    </row>
    <row r="69" spans="1:19" x14ac:dyDescent="0.25">
      <c r="A69" s="58"/>
      <c r="B69" s="59"/>
      <c r="C69" s="54"/>
      <c r="D69" s="55"/>
      <c r="F69" s="58"/>
      <c r="G69" s="59"/>
      <c r="H69" s="54"/>
      <c r="I69" s="55"/>
      <c r="K69" s="58"/>
      <c r="L69" s="59"/>
      <c r="M69" s="54"/>
      <c r="N69" s="55"/>
      <c r="P69" s="58"/>
      <c r="Q69" s="59"/>
      <c r="R69" s="54"/>
      <c r="S69" s="55"/>
    </row>
    <row r="70" spans="1:19" x14ac:dyDescent="0.25">
      <c r="A70" s="58"/>
      <c r="B70" s="59"/>
      <c r="C70" s="54"/>
      <c r="D70" s="55"/>
      <c r="F70" s="58"/>
      <c r="G70" s="59"/>
      <c r="H70" s="54"/>
      <c r="I70" s="55"/>
      <c r="K70" s="58"/>
      <c r="L70" s="59"/>
      <c r="M70" s="54"/>
      <c r="N70" s="55"/>
      <c r="P70" s="58"/>
      <c r="Q70" s="59"/>
      <c r="R70" s="54"/>
      <c r="S70" s="55"/>
    </row>
    <row r="71" spans="1:19" x14ac:dyDescent="0.25">
      <c r="A71" s="58"/>
      <c r="B71" s="59"/>
      <c r="C71" s="54"/>
      <c r="D71" s="55"/>
      <c r="F71" s="58"/>
      <c r="G71" s="59"/>
      <c r="H71" s="54"/>
      <c r="I71" s="55"/>
      <c r="K71" s="58"/>
      <c r="L71" s="59"/>
      <c r="M71" s="54"/>
      <c r="N71" s="55"/>
      <c r="P71" s="58"/>
      <c r="Q71" s="59"/>
      <c r="R71" s="54"/>
      <c r="S71" s="55"/>
    </row>
    <row r="72" spans="1:19" x14ac:dyDescent="0.25">
      <c r="A72" s="58"/>
      <c r="B72" s="59"/>
      <c r="C72" s="54"/>
      <c r="D72" s="55"/>
      <c r="F72" s="58"/>
      <c r="G72" s="59"/>
      <c r="H72" s="54"/>
      <c r="I72" s="55"/>
      <c r="K72" s="58"/>
      <c r="L72" s="59"/>
      <c r="M72" s="54"/>
      <c r="N72" s="55"/>
      <c r="P72" s="58"/>
      <c r="Q72" s="59"/>
      <c r="R72" s="54"/>
      <c r="S72" s="55"/>
    </row>
    <row r="73" spans="1:19" x14ac:dyDescent="0.25">
      <c r="A73" s="58"/>
      <c r="B73" s="59"/>
      <c r="C73" s="54"/>
      <c r="D73" s="55"/>
      <c r="F73" s="58"/>
      <c r="G73" s="59"/>
      <c r="H73" s="54"/>
      <c r="I73" s="55"/>
      <c r="K73" s="58"/>
      <c r="L73" s="59"/>
      <c r="M73" s="54"/>
      <c r="N73" s="55"/>
      <c r="P73" s="58"/>
      <c r="Q73" s="59"/>
      <c r="R73" s="54"/>
      <c r="S73" s="55"/>
    </row>
    <row r="74" spans="1:19" x14ac:dyDescent="0.25">
      <c r="A74" s="58"/>
      <c r="B74" s="59"/>
      <c r="C74" s="54"/>
      <c r="D74" s="55"/>
      <c r="F74" s="58"/>
      <c r="G74" s="59"/>
      <c r="H74" s="54"/>
      <c r="I74" s="55"/>
      <c r="K74" s="58"/>
      <c r="L74" s="59"/>
      <c r="M74" s="54"/>
      <c r="N74" s="55"/>
      <c r="P74" s="58"/>
      <c r="Q74" s="59"/>
      <c r="R74" s="54"/>
      <c r="S74" s="55"/>
    </row>
    <row r="75" spans="1:19" x14ac:dyDescent="0.25">
      <c r="A75" s="58"/>
      <c r="B75" s="59"/>
      <c r="C75" s="54"/>
      <c r="D75" s="55"/>
      <c r="F75" s="58"/>
      <c r="G75" s="59"/>
      <c r="H75" s="54"/>
      <c r="I75" s="55"/>
      <c r="K75" s="58"/>
      <c r="L75" s="59"/>
      <c r="M75" s="54"/>
      <c r="N75" s="55"/>
      <c r="P75" s="58"/>
      <c r="Q75" s="59"/>
      <c r="R75" s="54"/>
      <c r="S75" s="55"/>
    </row>
    <row r="76" spans="1:19" x14ac:dyDescent="0.25">
      <c r="A76" s="58"/>
      <c r="B76" s="59"/>
      <c r="C76" s="54"/>
      <c r="D76" s="55"/>
      <c r="F76" s="58"/>
      <c r="G76" s="59"/>
      <c r="H76" s="54"/>
      <c r="I76" s="55"/>
      <c r="K76" s="58"/>
      <c r="L76" s="59"/>
      <c r="M76" s="54"/>
      <c r="N76" s="55"/>
      <c r="P76" s="58"/>
      <c r="Q76" s="59"/>
      <c r="R76" s="54"/>
      <c r="S76" s="55"/>
    </row>
    <row r="77" spans="1:19" x14ac:dyDescent="0.25">
      <c r="A77" s="58"/>
      <c r="B77" s="59"/>
      <c r="C77" s="54"/>
      <c r="D77" s="55"/>
      <c r="F77" s="58"/>
      <c r="G77" s="59"/>
      <c r="H77" s="54"/>
      <c r="I77" s="55"/>
      <c r="K77" s="58"/>
      <c r="L77" s="59"/>
      <c r="M77" s="54"/>
      <c r="N77" s="55"/>
      <c r="P77" s="58"/>
      <c r="Q77" s="59"/>
      <c r="R77" s="54"/>
      <c r="S77" s="55"/>
    </row>
    <row r="78" spans="1:19" x14ac:dyDescent="0.25">
      <c r="A78" s="58"/>
      <c r="B78" s="59"/>
      <c r="C78" s="54"/>
      <c r="D78" s="55"/>
      <c r="F78" s="58"/>
      <c r="G78" s="59"/>
      <c r="H78" s="54"/>
      <c r="I78" s="55"/>
      <c r="K78" s="58"/>
      <c r="L78" s="59"/>
      <c r="M78" s="54"/>
      <c r="N78" s="55"/>
      <c r="P78" s="58"/>
      <c r="Q78" s="59"/>
      <c r="R78" s="54"/>
      <c r="S78" s="55"/>
    </row>
    <row r="79" spans="1:19" x14ac:dyDescent="0.25">
      <c r="A79" s="58"/>
      <c r="B79" s="59"/>
      <c r="C79" s="54"/>
      <c r="D79" s="55"/>
      <c r="F79" s="58"/>
      <c r="G79" s="59"/>
      <c r="H79" s="54"/>
      <c r="I79" s="55"/>
      <c r="K79" s="58"/>
      <c r="L79" s="59"/>
      <c r="M79" s="54"/>
      <c r="N79" s="55"/>
      <c r="P79" s="58"/>
      <c r="Q79" s="59"/>
      <c r="R79" s="54"/>
      <c r="S79" s="55"/>
    </row>
    <row r="80" spans="1:19" x14ac:dyDescent="0.25">
      <c r="A80" s="58"/>
      <c r="B80" s="59"/>
      <c r="C80" s="54"/>
      <c r="D80" s="55"/>
      <c r="F80" s="58"/>
      <c r="G80" s="59"/>
      <c r="H80" s="54"/>
      <c r="I80" s="55"/>
      <c r="K80" s="58"/>
      <c r="L80" s="59"/>
      <c r="M80" s="54"/>
      <c r="N80" s="55"/>
      <c r="P80" s="58"/>
      <c r="Q80" s="59"/>
      <c r="R80" s="54"/>
      <c r="S80" s="55"/>
    </row>
    <row r="81" spans="1:19" x14ac:dyDescent="0.25">
      <c r="A81" s="58"/>
      <c r="B81" s="59"/>
      <c r="C81" s="54"/>
      <c r="D81" s="55"/>
      <c r="F81" s="58"/>
      <c r="G81" s="59"/>
      <c r="H81" s="54"/>
      <c r="I81" s="55"/>
      <c r="K81" s="58"/>
      <c r="L81" s="59"/>
      <c r="M81" s="54"/>
      <c r="N81" s="55"/>
      <c r="P81" s="58"/>
      <c r="Q81" s="59"/>
      <c r="R81" s="54"/>
      <c r="S81" s="55"/>
    </row>
    <row r="82" spans="1:19" x14ac:dyDescent="0.25">
      <c r="A82" s="58"/>
      <c r="B82" s="59"/>
      <c r="C82" s="54"/>
      <c r="D82" s="55"/>
      <c r="F82" s="58"/>
      <c r="G82" s="59"/>
      <c r="H82" s="54"/>
      <c r="I82" s="55"/>
      <c r="K82" s="58"/>
      <c r="L82" s="59"/>
      <c r="M82" s="54"/>
      <c r="N82" s="55"/>
      <c r="P82" s="58"/>
      <c r="Q82" s="59"/>
      <c r="R82" s="54"/>
      <c r="S82" s="55"/>
    </row>
    <row r="83" spans="1:19" x14ac:dyDescent="0.25">
      <c r="A83" s="58"/>
      <c r="B83" s="59"/>
      <c r="C83" s="54"/>
      <c r="D83" s="55"/>
      <c r="F83" s="58"/>
      <c r="G83" s="59"/>
      <c r="H83" s="54"/>
      <c r="I83" s="55"/>
      <c r="K83" s="58"/>
      <c r="L83" s="59"/>
      <c r="M83" s="54"/>
      <c r="N83" s="55"/>
      <c r="P83" s="58"/>
      <c r="Q83" s="59"/>
      <c r="R83" s="54"/>
      <c r="S83" s="55"/>
    </row>
    <row r="84" spans="1:19" x14ac:dyDescent="0.25">
      <c r="A84" s="58"/>
      <c r="B84" s="59"/>
      <c r="C84" s="54"/>
      <c r="D84" s="55"/>
      <c r="F84" s="58"/>
      <c r="G84" s="59"/>
      <c r="H84" s="54"/>
      <c r="I84" s="55"/>
      <c r="K84" s="58"/>
      <c r="L84" s="59"/>
      <c r="M84" s="54"/>
      <c r="N84" s="55"/>
      <c r="P84" s="58"/>
      <c r="Q84" s="59"/>
      <c r="R84" s="54"/>
      <c r="S84" s="55"/>
    </row>
    <row r="85" spans="1:19" x14ac:dyDescent="0.25">
      <c r="A85" s="58"/>
      <c r="B85" s="59"/>
      <c r="C85" s="54"/>
      <c r="D85" s="55"/>
      <c r="F85" s="58"/>
      <c r="G85" s="59"/>
      <c r="H85" s="54"/>
      <c r="I85" s="55"/>
      <c r="K85" s="58"/>
      <c r="L85" s="59"/>
      <c r="M85" s="54"/>
      <c r="N85" s="55"/>
      <c r="P85" s="58"/>
      <c r="Q85" s="59"/>
      <c r="R85" s="54"/>
      <c r="S85" s="55"/>
    </row>
    <row r="86" spans="1:19" x14ac:dyDescent="0.25">
      <c r="A86" s="58"/>
      <c r="B86" s="59"/>
      <c r="C86" s="54"/>
      <c r="D86" s="55"/>
      <c r="F86" s="58"/>
      <c r="G86" s="59"/>
      <c r="H86" s="54"/>
      <c r="I86" s="55"/>
      <c r="K86" s="58"/>
      <c r="L86" s="59"/>
      <c r="M86" s="54"/>
      <c r="N86" s="55"/>
      <c r="P86" s="58"/>
      <c r="Q86" s="59"/>
      <c r="R86" s="54"/>
      <c r="S86" s="55"/>
    </row>
    <row r="87" spans="1:19" x14ac:dyDescent="0.25">
      <c r="A87" s="58"/>
      <c r="B87" s="59"/>
      <c r="C87" s="54"/>
      <c r="D87" s="55"/>
      <c r="F87" s="58"/>
      <c r="G87" s="59"/>
      <c r="H87" s="54"/>
      <c r="I87" s="55"/>
      <c r="K87" s="58"/>
      <c r="L87" s="59"/>
      <c r="M87" s="54"/>
      <c r="N87" s="55"/>
      <c r="P87" s="58"/>
      <c r="Q87" s="59"/>
      <c r="R87" s="54"/>
      <c r="S87" s="55"/>
    </row>
    <row r="88" spans="1:19" x14ac:dyDescent="0.25">
      <c r="A88" s="58"/>
      <c r="B88" s="59"/>
      <c r="C88" s="54"/>
      <c r="D88" s="55"/>
      <c r="F88" s="58"/>
      <c r="G88" s="59"/>
      <c r="H88" s="54"/>
      <c r="I88" s="55"/>
      <c r="K88" s="58"/>
      <c r="L88" s="59"/>
      <c r="M88" s="54"/>
      <c r="N88" s="55"/>
      <c r="P88" s="58"/>
      <c r="Q88" s="59"/>
      <c r="R88" s="54"/>
      <c r="S88" s="55"/>
    </row>
    <row r="89" spans="1:19" x14ac:dyDescent="0.25">
      <c r="A89" s="58"/>
      <c r="B89" s="59"/>
      <c r="C89" s="54"/>
      <c r="D89" s="55"/>
      <c r="F89" s="58"/>
      <c r="G89" s="59"/>
      <c r="H89" s="54"/>
      <c r="I89" s="55"/>
      <c r="K89" s="58"/>
      <c r="L89" s="59"/>
      <c r="M89" s="54"/>
      <c r="N89" s="55"/>
      <c r="P89" s="58"/>
      <c r="Q89" s="59"/>
      <c r="R89" s="54"/>
      <c r="S89" s="55"/>
    </row>
    <row r="90" spans="1:19" x14ac:dyDescent="0.25">
      <c r="A90" s="58"/>
      <c r="B90" s="59"/>
      <c r="C90" s="54"/>
      <c r="D90" s="55"/>
      <c r="F90" s="58"/>
      <c r="G90" s="59"/>
      <c r="H90" s="54"/>
      <c r="I90" s="55"/>
      <c r="K90" s="58"/>
      <c r="L90" s="59"/>
      <c r="M90" s="54"/>
      <c r="N90" s="55"/>
      <c r="P90" s="58"/>
      <c r="Q90" s="59"/>
      <c r="R90" s="54"/>
      <c r="S90" s="55"/>
    </row>
    <row r="91" spans="1:19" x14ac:dyDescent="0.25">
      <c r="A91" s="58"/>
      <c r="B91" s="59"/>
      <c r="C91" s="54"/>
      <c r="D91" s="55"/>
      <c r="F91" s="58"/>
      <c r="G91" s="59"/>
      <c r="H91" s="54"/>
      <c r="I91" s="55"/>
      <c r="K91" s="58"/>
      <c r="L91" s="59"/>
      <c r="M91" s="54"/>
      <c r="N91" s="55"/>
      <c r="P91" s="58"/>
      <c r="Q91" s="59"/>
      <c r="R91" s="54"/>
      <c r="S91" s="55"/>
    </row>
    <row r="92" spans="1:19" x14ac:dyDescent="0.25">
      <c r="A92" s="58"/>
      <c r="B92" s="59"/>
      <c r="C92" s="54"/>
      <c r="D92" s="55"/>
      <c r="F92" s="58"/>
      <c r="G92" s="59"/>
      <c r="H92" s="54"/>
      <c r="I92" s="55"/>
      <c r="K92" s="58"/>
      <c r="L92" s="59"/>
      <c r="M92" s="54"/>
      <c r="N92" s="55"/>
      <c r="P92" s="58"/>
      <c r="Q92" s="59"/>
      <c r="R92" s="54"/>
      <c r="S92" s="55"/>
    </row>
    <row r="93" spans="1:19" x14ac:dyDescent="0.25">
      <c r="A93" s="58"/>
      <c r="B93" s="59"/>
      <c r="C93" s="54"/>
      <c r="D93" s="55"/>
      <c r="F93" s="58"/>
      <c r="G93" s="59"/>
      <c r="H93" s="54"/>
      <c r="I93" s="55"/>
      <c r="K93" s="58"/>
      <c r="L93" s="59"/>
      <c r="M93" s="54"/>
      <c r="N93" s="55"/>
      <c r="P93" s="58"/>
      <c r="Q93" s="59"/>
      <c r="R93" s="54"/>
      <c r="S93" s="55"/>
    </row>
    <row r="94" spans="1:19" x14ac:dyDescent="0.25">
      <c r="A94" s="58"/>
      <c r="B94" s="59"/>
      <c r="C94" s="54"/>
      <c r="D94" s="55"/>
      <c r="F94" s="58"/>
      <c r="G94" s="59"/>
      <c r="H94" s="54"/>
      <c r="I94" s="55"/>
      <c r="K94" s="58"/>
      <c r="L94" s="59"/>
      <c r="M94" s="54"/>
      <c r="N94" s="55"/>
      <c r="P94" s="58"/>
      <c r="Q94" s="59"/>
      <c r="R94" s="54"/>
      <c r="S94" s="55"/>
    </row>
    <row r="95" spans="1:19" x14ac:dyDescent="0.25">
      <c r="A95" s="58"/>
      <c r="B95" s="59"/>
      <c r="C95" s="54"/>
      <c r="D95" s="55"/>
      <c r="F95" s="58"/>
      <c r="G95" s="59"/>
      <c r="H95" s="54"/>
      <c r="I95" s="55"/>
      <c r="K95" s="58"/>
      <c r="L95" s="59"/>
      <c r="M95" s="54"/>
      <c r="N95" s="55"/>
      <c r="P95" s="58"/>
      <c r="Q95" s="59"/>
      <c r="R95" s="54"/>
      <c r="S95" s="55"/>
    </row>
    <row r="96" spans="1:19" x14ac:dyDescent="0.25">
      <c r="A96" s="58"/>
      <c r="B96" s="59"/>
      <c r="C96" s="54"/>
      <c r="D96" s="55"/>
      <c r="F96" s="58"/>
      <c r="G96" s="59"/>
      <c r="H96" s="54"/>
      <c r="I96" s="55"/>
      <c r="K96" s="58"/>
      <c r="L96" s="59"/>
      <c r="M96" s="54"/>
      <c r="N96" s="55"/>
      <c r="P96" s="58"/>
      <c r="Q96" s="59"/>
      <c r="R96" s="54"/>
      <c r="S96" s="55"/>
    </row>
    <row r="97" spans="1:19" x14ac:dyDescent="0.25">
      <c r="A97" s="58"/>
      <c r="B97" s="59"/>
      <c r="C97" s="54"/>
      <c r="D97" s="55"/>
      <c r="F97" s="58"/>
      <c r="G97" s="59"/>
      <c r="H97" s="54"/>
      <c r="I97" s="55"/>
      <c r="K97" s="58"/>
      <c r="L97" s="59"/>
      <c r="M97" s="54"/>
      <c r="N97" s="55"/>
      <c r="P97" s="58"/>
      <c r="Q97" s="59"/>
      <c r="R97" s="54"/>
      <c r="S97" s="55"/>
    </row>
    <row r="98" spans="1:19" x14ac:dyDescent="0.25">
      <c r="A98" s="58"/>
      <c r="B98" s="59"/>
      <c r="C98" s="54"/>
      <c r="D98" s="55"/>
      <c r="F98" s="58"/>
      <c r="G98" s="59"/>
      <c r="H98" s="54"/>
      <c r="I98" s="55"/>
      <c r="K98" s="58"/>
      <c r="L98" s="59"/>
      <c r="M98" s="54"/>
      <c r="N98" s="55"/>
      <c r="P98" s="58"/>
      <c r="Q98" s="59"/>
      <c r="R98" s="54"/>
      <c r="S98" s="55"/>
    </row>
    <row r="99" spans="1:19" x14ac:dyDescent="0.25">
      <c r="A99" s="58"/>
      <c r="B99" s="59"/>
      <c r="C99" s="54"/>
      <c r="D99" s="55"/>
      <c r="F99" s="58"/>
      <c r="G99" s="59"/>
      <c r="H99" s="54"/>
      <c r="I99" s="55"/>
      <c r="K99" s="58"/>
      <c r="L99" s="59"/>
      <c r="M99" s="54"/>
      <c r="N99" s="55"/>
      <c r="P99" s="58"/>
      <c r="Q99" s="59"/>
      <c r="R99" s="54"/>
      <c r="S99" s="55"/>
    </row>
    <row r="100" spans="1:19" x14ac:dyDescent="0.25">
      <c r="A100" s="58"/>
      <c r="B100" s="59"/>
      <c r="C100" s="54"/>
      <c r="D100" s="55"/>
      <c r="F100" s="58"/>
      <c r="G100" s="59"/>
      <c r="H100" s="54"/>
      <c r="I100" s="55"/>
      <c r="K100" s="58"/>
      <c r="L100" s="59"/>
      <c r="M100" s="54"/>
      <c r="N100" s="55"/>
      <c r="P100" s="58"/>
      <c r="Q100" s="59"/>
      <c r="R100" s="54"/>
      <c r="S100" s="55"/>
    </row>
    <row r="101" spans="1:19" x14ac:dyDescent="0.25">
      <c r="A101" s="58"/>
      <c r="B101" s="59"/>
      <c r="C101" s="54"/>
      <c r="D101" s="55"/>
      <c r="F101" s="58"/>
      <c r="G101" s="59"/>
      <c r="H101" s="54"/>
      <c r="I101" s="55"/>
      <c r="K101" s="58"/>
      <c r="L101" s="59"/>
      <c r="M101" s="54"/>
      <c r="N101" s="55"/>
      <c r="P101" s="58"/>
      <c r="Q101" s="59"/>
      <c r="R101" s="54"/>
      <c r="S101" s="55"/>
    </row>
    <row r="102" spans="1:19" x14ac:dyDescent="0.25">
      <c r="A102" s="58"/>
      <c r="B102" s="59"/>
      <c r="C102" s="54"/>
      <c r="D102" s="55"/>
      <c r="F102" s="58"/>
      <c r="G102" s="59"/>
      <c r="H102" s="54"/>
      <c r="I102" s="55"/>
      <c r="K102" s="58"/>
      <c r="L102" s="59"/>
      <c r="M102" s="54"/>
      <c r="N102" s="55"/>
      <c r="P102" s="58"/>
      <c r="Q102" s="59"/>
      <c r="R102" s="54"/>
      <c r="S102" s="55"/>
    </row>
    <row r="103" spans="1:19" x14ac:dyDescent="0.25">
      <c r="A103" s="58"/>
      <c r="B103" s="59"/>
      <c r="C103" s="54"/>
      <c r="D103" s="55"/>
      <c r="F103" s="58"/>
      <c r="G103" s="59"/>
      <c r="H103" s="54"/>
      <c r="I103" s="55"/>
      <c r="K103" s="58"/>
      <c r="L103" s="59"/>
      <c r="M103" s="54"/>
      <c r="N103" s="55"/>
      <c r="P103" s="58"/>
      <c r="Q103" s="59"/>
      <c r="R103" s="54"/>
      <c r="S103" s="55"/>
    </row>
    <row r="104" spans="1:19" x14ac:dyDescent="0.25">
      <c r="A104" s="58"/>
      <c r="B104" s="59"/>
      <c r="C104" s="54"/>
      <c r="D104" s="55"/>
      <c r="F104" s="58"/>
      <c r="G104" s="59"/>
      <c r="H104" s="54"/>
      <c r="I104" s="55"/>
      <c r="K104" s="58"/>
      <c r="L104" s="59"/>
      <c r="M104" s="54"/>
      <c r="N104" s="55"/>
      <c r="P104" s="58"/>
      <c r="Q104" s="59"/>
      <c r="R104" s="54"/>
      <c r="S104" s="55"/>
    </row>
    <row r="105" spans="1:19" x14ac:dyDescent="0.25">
      <c r="A105" s="58"/>
      <c r="B105" s="59"/>
      <c r="C105" s="54"/>
      <c r="D105" s="55"/>
      <c r="F105" s="58"/>
      <c r="G105" s="59"/>
      <c r="H105" s="54"/>
      <c r="I105" s="55"/>
      <c r="K105" s="58"/>
      <c r="L105" s="59"/>
      <c r="M105" s="54"/>
      <c r="N105" s="55"/>
      <c r="P105" s="58"/>
      <c r="Q105" s="59"/>
      <c r="R105" s="54"/>
      <c r="S105" s="55"/>
    </row>
    <row r="106" spans="1:19" x14ac:dyDescent="0.25">
      <c r="A106" s="58"/>
      <c r="B106" s="59"/>
      <c r="C106" s="54"/>
      <c r="D106" s="55"/>
      <c r="F106" s="58"/>
      <c r="G106" s="59"/>
      <c r="H106" s="54"/>
      <c r="I106" s="55"/>
      <c r="K106" s="58"/>
      <c r="L106" s="59"/>
      <c r="M106" s="54"/>
      <c r="N106" s="55"/>
      <c r="P106" s="58"/>
      <c r="Q106" s="59"/>
      <c r="R106" s="54"/>
      <c r="S106" s="55"/>
    </row>
    <row r="107" spans="1:19" x14ac:dyDescent="0.25">
      <c r="A107" s="58"/>
      <c r="B107" s="59"/>
      <c r="C107" s="54"/>
      <c r="D107" s="55"/>
      <c r="F107" s="58"/>
      <c r="G107" s="59"/>
      <c r="H107" s="54"/>
      <c r="I107" s="55"/>
      <c r="K107" s="58"/>
      <c r="L107" s="59"/>
      <c r="M107" s="54"/>
      <c r="N107" s="55"/>
      <c r="P107" s="58"/>
      <c r="Q107" s="59"/>
      <c r="R107" s="54"/>
      <c r="S107" s="55"/>
    </row>
    <row r="108" spans="1:19" x14ac:dyDescent="0.25">
      <c r="A108" s="58"/>
      <c r="B108" s="59"/>
      <c r="C108" s="54"/>
      <c r="D108" s="55"/>
      <c r="F108" s="58"/>
      <c r="G108" s="59"/>
      <c r="H108" s="54"/>
      <c r="I108" s="55"/>
      <c r="K108" s="58"/>
      <c r="L108" s="59"/>
      <c r="M108" s="54"/>
      <c r="N108" s="55"/>
      <c r="P108" s="58"/>
      <c r="Q108" s="59"/>
      <c r="R108" s="54"/>
      <c r="S108" s="55"/>
    </row>
    <row r="109" spans="1:19" x14ac:dyDescent="0.25">
      <c r="A109" s="58"/>
      <c r="B109" s="59"/>
      <c r="C109" s="54"/>
      <c r="D109" s="55"/>
      <c r="F109" s="58"/>
      <c r="G109" s="59"/>
      <c r="H109" s="54"/>
      <c r="I109" s="55"/>
      <c r="K109" s="58"/>
      <c r="L109" s="59"/>
      <c r="M109" s="54"/>
      <c r="N109" s="55"/>
      <c r="P109" s="58"/>
      <c r="Q109" s="59"/>
      <c r="R109" s="54"/>
      <c r="S109" s="55"/>
    </row>
    <row r="110" spans="1:19" x14ac:dyDescent="0.25">
      <c r="A110" s="58"/>
      <c r="B110" s="59"/>
      <c r="C110" s="54"/>
      <c r="D110" s="55"/>
      <c r="F110" s="58"/>
      <c r="G110" s="59"/>
      <c r="H110" s="54"/>
      <c r="I110" s="55"/>
      <c r="K110" s="58"/>
      <c r="L110" s="59"/>
      <c r="M110" s="54"/>
      <c r="N110" s="55"/>
      <c r="P110" s="58"/>
      <c r="Q110" s="59"/>
      <c r="R110" s="54"/>
      <c r="S110" s="55"/>
    </row>
    <row r="111" spans="1:19" x14ac:dyDescent="0.25">
      <c r="A111" s="58"/>
      <c r="B111" s="59"/>
      <c r="C111" s="54"/>
      <c r="D111" s="55"/>
      <c r="F111" s="58"/>
      <c r="G111" s="59"/>
      <c r="H111" s="54"/>
      <c r="I111" s="55"/>
      <c r="K111" s="58"/>
      <c r="L111" s="59"/>
      <c r="M111" s="54"/>
      <c r="N111" s="55"/>
      <c r="P111" s="58"/>
      <c r="Q111" s="59"/>
      <c r="R111" s="54"/>
      <c r="S111" s="55"/>
    </row>
    <row r="112" spans="1:19" x14ac:dyDescent="0.25">
      <c r="A112" s="58"/>
      <c r="B112" s="59"/>
      <c r="C112" s="54"/>
      <c r="D112" s="55"/>
      <c r="F112" s="58"/>
      <c r="G112" s="59"/>
      <c r="H112" s="54"/>
      <c r="I112" s="55"/>
      <c r="K112" s="58"/>
      <c r="L112" s="59"/>
      <c r="M112" s="54"/>
      <c r="N112" s="55"/>
      <c r="P112" s="58"/>
      <c r="Q112" s="59"/>
      <c r="R112" s="54"/>
      <c r="S112" s="55"/>
    </row>
    <row r="113" spans="1:19" x14ac:dyDescent="0.25">
      <c r="A113" s="58"/>
      <c r="B113" s="59"/>
      <c r="C113" s="54"/>
      <c r="D113" s="55"/>
      <c r="F113" s="58"/>
      <c r="G113" s="59"/>
      <c r="H113" s="54"/>
      <c r="I113" s="55"/>
      <c r="K113" s="58"/>
      <c r="L113" s="59"/>
      <c r="M113" s="54"/>
      <c r="N113" s="55"/>
      <c r="P113" s="58"/>
      <c r="Q113" s="59"/>
      <c r="R113" s="54"/>
      <c r="S113" s="55"/>
    </row>
    <row r="114" spans="1:19" x14ac:dyDescent="0.25">
      <c r="A114" s="58"/>
      <c r="B114" s="59"/>
      <c r="C114" s="54"/>
      <c r="D114" s="55"/>
      <c r="F114" s="58"/>
      <c r="G114" s="59"/>
      <c r="H114" s="54"/>
      <c r="I114" s="55"/>
      <c r="K114" s="58"/>
      <c r="L114" s="59"/>
      <c r="M114" s="54"/>
      <c r="N114" s="55"/>
      <c r="P114" s="58"/>
      <c r="Q114" s="59"/>
      <c r="R114" s="54"/>
      <c r="S114" s="55"/>
    </row>
    <row r="115" spans="1:19" x14ac:dyDescent="0.25">
      <c r="A115" s="58"/>
      <c r="B115" s="59"/>
      <c r="C115" s="54"/>
      <c r="D115" s="55"/>
      <c r="F115" s="58"/>
      <c r="G115" s="59"/>
      <c r="H115" s="54"/>
      <c r="I115" s="55"/>
      <c r="K115" s="58"/>
      <c r="L115" s="59"/>
      <c r="M115" s="54"/>
      <c r="N115" s="55"/>
      <c r="P115" s="58"/>
      <c r="Q115" s="59"/>
      <c r="R115" s="54"/>
      <c r="S115" s="55"/>
    </row>
    <row r="116" spans="1:19" x14ac:dyDescent="0.25">
      <c r="A116" s="58"/>
      <c r="B116" s="59"/>
      <c r="C116" s="54"/>
      <c r="D116" s="55"/>
      <c r="F116" s="58"/>
      <c r="G116" s="59"/>
      <c r="H116" s="54"/>
      <c r="I116" s="55"/>
      <c r="K116" s="58"/>
      <c r="L116" s="59"/>
      <c r="M116" s="54"/>
      <c r="N116" s="55"/>
      <c r="P116" s="58"/>
      <c r="Q116" s="59"/>
      <c r="R116" s="54"/>
      <c r="S116" s="55"/>
    </row>
    <row r="117" spans="1:19" x14ac:dyDescent="0.25">
      <c r="A117" s="58"/>
      <c r="B117" s="59"/>
      <c r="C117" s="54"/>
      <c r="D117" s="55"/>
      <c r="F117" s="58"/>
      <c r="G117" s="59"/>
      <c r="H117" s="54"/>
      <c r="I117" s="55"/>
      <c r="K117" s="58"/>
      <c r="L117" s="59"/>
      <c r="M117" s="54"/>
      <c r="N117" s="55"/>
      <c r="P117" s="58"/>
      <c r="Q117" s="59"/>
      <c r="R117" s="54"/>
      <c r="S117" s="55"/>
    </row>
    <row r="118" spans="1:19" ht="15.75" thickBot="1" x14ac:dyDescent="0.3">
      <c r="A118" s="60"/>
      <c r="B118" s="61"/>
      <c r="C118" s="56"/>
      <c r="D118" s="57"/>
      <c r="F118" s="60"/>
      <c r="G118" s="61"/>
      <c r="H118" s="56"/>
      <c r="I118" s="57"/>
      <c r="K118" s="58"/>
      <c r="L118" s="59"/>
      <c r="M118" s="54"/>
      <c r="N118" s="55"/>
      <c r="P118" s="58"/>
      <c r="Q118" s="59"/>
      <c r="R118" s="54"/>
      <c r="S118" s="55"/>
    </row>
    <row r="119" spans="1:19" x14ac:dyDescent="0.25">
      <c r="K119" s="58"/>
      <c r="L119" s="59"/>
      <c r="M119" s="54"/>
      <c r="N119" s="55"/>
      <c r="P119" s="58"/>
      <c r="Q119" s="59"/>
      <c r="R119" s="54"/>
      <c r="S119" s="55"/>
    </row>
    <row r="120" spans="1:19" x14ac:dyDescent="0.25">
      <c r="K120" s="58"/>
      <c r="L120" s="59"/>
      <c r="M120" s="54"/>
      <c r="N120" s="55"/>
      <c r="P120" s="58"/>
      <c r="Q120" s="59"/>
      <c r="R120" s="54"/>
      <c r="S120" s="55"/>
    </row>
    <row r="121" spans="1:19" x14ac:dyDescent="0.25">
      <c r="K121" s="58"/>
      <c r="L121" s="59"/>
      <c r="M121" s="54"/>
      <c r="N121" s="55"/>
      <c r="P121" s="58"/>
      <c r="Q121" s="59"/>
      <c r="R121" s="54"/>
      <c r="S121" s="55"/>
    </row>
    <row r="122" spans="1:19" x14ac:dyDescent="0.25">
      <c r="K122" s="58"/>
      <c r="L122" s="59"/>
      <c r="M122" s="54"/>
      <c r="N122" s="55"/>
      <c r="P122" s="58"/>
      <c r="Q122" s="59"/>
      <c r="R122" s="54"/>
      <c r="S122" s="55"/>
    </row>
    <row r="123" spans="1:19" x14ac:dyDescent="0.25">
      <c r="K123" s="58"/>
      <c r="L123" s="59"/>
      <c r="M123" s="54"/>
      <c r="N123" s="55"/>
      <c r="P123" s="58"/>
      <c r="Q123" s="59"/>
      <c r="R123" s="54"/>
      <c r="S123" s="55"/>
    </row>
    <row r="124" spans="1:19" x14ac:dyDescent="0.25">
      <c r="K124" s="58"/>
      <c r="L124" s="59"/>
      <c r="M124" s="54"/>
      <c r="N124" s="55"/>
      <c r="P124" s="58"/>
      <c r="Q124" s="59"/>
      <c r="R124" s="54"/>
      <c r="S124" s="55"/>
    </row>
    <row r="125" spans="1:19" x14ac:dyDescent="0.25">
      <c r="K125" s="58"/>
      <c r="L125" s="59"/>
      <c r="M125" s="54"/>
      <c r="N125" s="55"/>
      <c r="P125" s="58"/>
      <c r="Q125" s="59"/>
      <c r="R125" s="54"/>
      <c r="S125" s="55"/>
    </row>
    <row r="126" spans="1:19" x14ac:dyDescent="0.25">
      <c r="K126" s="58"/>
      <c r="L126" s="59"/>
      <c r="M126" s="54"/>
      <c r="N126" s="55"/>
      <c r="P126" s="58"/>
      <c r="Q126" s="59"/>
      <c r="R126" s="54"/>
      <c r="S126" s="55"/>
    </row>
    <row r="127" spans="1:19" x14ac:dyDescent="0.25">
      <c r="K127" s="58"/>
      <c r="L127" s="59"/>
      <c r="M127" s="54"/>
      <c r="N127" s="55"/>
      <c r="P127" s="58"/>
      <c r="Q127" s="59"/>
      <c r="R127" s="54"/>
      <c r="S127" s="55"/>
    </row>
    <row r="128" spans="1:19" x14ac:dyDescent="0.25">
      <c r="K128" s="58"/>
      <c r="L128" s="59"/>
      <c r="M128" s="54"/>
      <c r="N128" s="55"/>
      <c r="P128" s="58"/>
      <c r="Q128" s="59"/>
      <c r="R128" s="54"/>
      <c r="S128" s="55"/>
    </row>
    <row r="129" spans="11:19" x14ac:dyDescent="0.25">
      <c r="K129" s="58"/>
      <c r="L129" s="59"/>
      <c r="M129" s="54"/>
      <c r="N129" s="55"/>
      <c r="P129" s="58"/>
      <c r="Q129" s="59"/>
      <c r="R129" s="54"/>
      <c r="S129" s="55"/>
    </row>
    <row r="130" spans="11:19" x14ac:dyDescent="0.25">
      <c r="K130" s="58"/>
      <c r="L130" s="59"/>
      <c r="M130" s="54"/>
      <c r="N130" s="55"/>
      <c r="P130" s="58"/>
      <c r="Q130" s="59"/>
      <c r="R130" s="54"/>
      <c r="S130" s="55"/>
    </row>
    <row r="131" spans="11:19" x14ac:dyDescent="0.25">
      <c r="K131" s="58"/>
      <c r="L131" s="59"/>
      <c r="M131" s="54"/>
      <c r="N131" s="55"/>
      <c r="P131" s="58"/>
      <c r="Q131" s="59"/>
      <c r="R131" s="54"/>
      <c r="S131" s="55"/>
    </row>
    <row r="132" spans="11:19" x14ac:dyDescent="0.25">
      <c r="K132" s="58"/>
      <c r="L132" s="59"/>
      <c r="M132" s="54"/>
      <c r="N132" s="55"/>
      <c r="P132" s="58"/>
      <c r="Q132" s="59"/>
      <c r="R132" s="54"/>
      <c r="S132" s="55"/>
    </row>
    <row r="133" spans="11:19" x14ac:dyDescent="0.25">
      <c r="K133" s="58"/>
      <c r="L133" s="59"/>
      <c r="M133" s="54"/>
      <c r="N133" s="55"/>
      <c r="P133" s="58"/>
      <c r="Q133" s="59"/>
      <c r="R133" s="54"/>
      <c r="S133" s="55"/>
    </row>
    <row r="134" spans="11:19" x14ac:dyDescent="0.25">
      <c r="K134" s="58"/>
      <c r="L134" s="59"/>
      <c r="M134" s="54"/>
      <c r="N134" s="55"/>
      <c r="P134" s="58"/>
      <c r="Q134" s="59"/>
      <c r="R134" s="54"/>
      <c r="S134" s="55"/>
    </row>
    <row r="135" spans="11:19" x14ac:dyDescent="0.25">
      <c r="K135" s="58"/>
      <c r="L135" s="59"/>
      <c r="M135" s="54"/>
      <c r="N135" s="55"/>
      <c r="P135" s="58"/>
      <c r="Q135" s="59"/>
      <c r="R135" s="54"/>
      <c r="S135" s="55"/>
    </row>
    <row r="136" spans="11:19" x14ac:dyDescent="0.25">
      <c r="K136" s="58"/>
      <c r="L136" s="59"/>
      <c r="M136" s="54"/>
      <c r="N136" s="55"/>
      <c r="P136" s="58"/>
      <c r="Q136" s="59"/>
      <c r="R136" s="54"/>
      <c r="S136" s="55"/>
    </row>
    <row r="137" spans="11:19" x14ac:dyDescent="0.25">
      <c r="K137" s="58"/>
      <c r="L137" s="59"/>
      <c r="M137" s="54"/>
      <c r="N137" s="55"/>
      <c r="P137" s="58"/>
      <c r="Q137" s="59"/>
      <c r="R137" s="54"/>
      <c r="S137" s="55"/>
    </row>
    <row r="138" spans="11:19" x14ac:dyDescent="0.25">
      <c r="K138" s="58"/>
      <c r="L138" s="59"/>
      <c r="M138" s="54"/>
      <c r="N138" s="55"/>
      <c r="P138" s="58"/>
      <c r="Q138" s="59"/>
      <c r="R138" s="54"/>
      <c r="S138" s="55"/>
    </row>
    <row r="139" spans="11:19" x14ac:dyDescent="0.25">
      <c r="K139" s="58"/>
      <c r="L139" s="59"/>
      <c r="M139" s="54"/>
      <c r="N139" s="55"/>
      <c r="P139" s="58"/>
      <c r="Q139" s="59"/>
      <c r="R139" s="54"/>
      <c r="S139" s="55"/>
    </row>
    <row r="140" spans="11:19" x14ac:dyDescent="0.25">
      <c r="K140" s="58"/>
      <c r="L140" s="59"/>
      <c r="M140" s="54"/>
      <c r="N140" s="55"/>
      <c r="P140" s="58"/>
      <c r="Q140" s="59"/>
      <c r="R140" s="54"/>
      <c r="S140" s="55"/>
    </row>
    <row r="141" spans="11:19" x14ac:dyDescent="0.25">
      <c r="K141" s="58"/>
      <c r="L141" s="59"/>
      <c r="M141" s="54"/>
      <c r="N141" s="55"/>
      <c r="P141" s="58"/>
      <c r="Q141" s="59"/>
      <c r="R141" s="54"/>
      <c r="S141" s="55"/>
    </row>
    <row r="142" spans="11:19" x14ac:dyDescent="0.25">
      <c r="K142" s="58"/>
      <c r="L142" s="59"/>
      <c r="M142" s="54"/>
      <c r="N142" s="55"/>
      <c r="P142" s="58"/>
      <c r="Q142" s="59"/>
      <c r="R142" s="54"/>
      <c r="S142" s="55"/>
    </row>
    <row r="143" spans="11:19" x14ac:dyDescent="0.25">
      <c r="K143" s="58"/>
      <c r="L143" s="59"/>
      <c r="M143" s="54"/>
      <c r="N143" s="55"/>
      <c r="P143" s="58"/>
      <c r="Q143" s="59"/>
      <c r="R143" s="54"/>
      <c r="S143" s="55"/>
    </row>
    <row r="144" spans="11:19" x14ac:dyDescent="0.25">
      <c r="K144" s="58"/>
      <c r="L144" s="59"/>
      <c r="M144" s="54"/>
      <c r="N144" s="55"/>
      <c r="P144" s="58"/>
      <c r="Q144" s="59"/>
      <c r="R144" s="54"/>
      <c r="S144" s="55"/>
    </row>
    <row r="145" spans="11:19" x14ac:dyDescent="0.25">
      <c r="K145" s="58"/>
      <c r="L145" s="59"/>
      <c r="M145" s="54"/>
      <c r="N145" s="55"/>
      <c r="P145" s="58"/>
      <c r="Q145" s="59"/>
      <c r="R145" s="54"/>
      <c r="S145" s="55"/>
    </row>
    <row r="146" spans="11:19" x14ac:dyDescent="0.25">
      <c r="K146" s="58"/>
      <c r="L146" s="59"/>
      <c r="M146" s="54"/>
      <c r="N146" s="55"/>
      <c r="P146" s="58"/>
      <c r="Q146" s="59"/>
      <c r="R146" s="54"/>
      <c r="S146" s="55"/>
    </row>
    <row r="147" spans="11:19" x14ac:dyDescent="0.25">
      <c r="K147" s="58"/>
      <c r="L147" s="59"/>
      <c r="M147" s="54"/>
      <c r="N147" s="55"/>
      <c r="P147" s="58"/>
      <c r="Q147" s="59"/>
      <c r="R147" s="54"/>
      <c r="S147" s="55"/>
    </row>
    <row r="148" spans="11:19" x14ac:dyDescent="0.25">
      <c r="K148" s="58"/>
      <c r="L148" s="59"/>
      <c r="M148" s="54"/>
      <c r="N148" s="55"/>
      <c r="P148" s="58"/>
      <c r="Q148" s="59"/>
      <c r="R148" s="54"/>
      <c r="S148" s="55"/>
    </row>
    <row r="149" spans="11:19" x14ac:dyDescent="0.25">
      <c r="K149" s="58"/>
      <c r="L149" s="59"/>
      <c r="M149" s="54"/>
      <c r="N149" s="55"/>
      <c r="P149" s="58"/>
      <c r="Q149" s="59"/>
      <c r="R149" s="54"/>
      <c r="S149" s="55"/>
    </row>
    <row r="150" spans="11:19" x14ac:dyDescent="0.25">
      <c r="K150" s="58"/>
      <c r="L150" s="59"/>
      <c r="M150" s="54"/>
      <c r="N150" s="55"/>
      <c r="P150" s="58"/>
      <c r="Q150" s="59"/>
      <c r="R150" s="54"/>
      <c r="S150" s="55"/>
    </row>
    <row r="151" spans="11:19" x14ac:dyDescent="0.25">
      <c r="K151" s="58"/>
      <c r="L151" s="59"/>
      <c r="M151" s="54"/>
      <c r="N151" s="55"/>
      <c r="P151" s="58"/>
      <c r="Q151" s="59"/>
      <c r="R151" s="54"/>
      <c r="S151" s="55"/>
    </row>
    <row r="152" spans="11:19" x14ac:dyDescent="0.25">
      <c r="K152" s="58"/>
      <c r="L152" s="59"/>
      <c r="M152" s="54"/>
      <c r="N152" s="55"/>
      <c r="P152" s="58"/>
      <c r="Q152" s="59"/>
      <c r="R152" s="54"/>
      <c r="S152" s="55"/>
    </row>
    <row r="153" spans="11:19" x14ac:dyDescent="0.25">
      <c r="K153" s="58"/>
      <c r="L153" s="59"/>
      <c r="M153" s="54"/>
      <c r="N153" s="55"/>
      <c r="P153" s="58"/>
      <c r="Q153" s="59"/>
      <c r="R153" s="54"/>
      <c r="S153" s="55"/>
    </row>
    <row r="154" spans="11:19" x14ac:dyDescent="0.25">
      <c r="K154" s="58"/>
      <c r="L154" s="59"/>
      <c r="M154" s="54"/>
      <c r="N154" s="55"/>
      <c r="P154" s="58"/>
      <c r="Q154" s="59"/>
      <c r="R154" s="54"/>
      <c r="S154" s="55"/>
    </row>
    <row r="155" spans="11:19" x14ac:dyDescent="0.25">
      <c r="K155" s="58"/>
      <c r="L155" s="59"/>
      <c r="M155" s="54"/>
      <c r="N155" s="55"/>
      <c r="P155" s="58"/>
      <c r="Q155" s="59"/>
      <c r="R155" s="54"/>
      <c r="S155" s="55"/>
    </row>
    <row r="156" spans="11:19" x14ac:dyDescent="0.25">
      <c r="K156" s="58"/>
      <c r="L156" s="59"/>
      <c r="M156" s="54"/>
      <c r="N156" s="55"/>
      <c r="P156" s="58"/>
      <c r="Q156" s="59"/>
      <c r="R156" s="54"/>
      <c r="S156" s="55"/>
    </row>
    <row r="157" spans="11:19" x14ac:dyDescent="0.25">
      <c r="K157" s="58"/>
      <c r="L157" s="59"/>
      <c r="M157" s="54"/>
      <c r="N157" s="55"/>
      <c r="P157" s="58"/>
      <c r="Q157" s="59"/>
      <c r="R157" s="54"/>
      <c r="S157" s="55"/>
    </row>
    <row r="158" spans="11:19" x14ac:dyDescent="0.25">
      <c r="K158" s="58"/>
      <c r="L158" s="59"/>
      <c r="M158" s="54"/>
      <c r="N158" s="55"/>
      <c r="P158" s="58"/>
      <c r="Q158" s="59"/>
      <c r="R158" s="54"/>
      <c r="S158" s="55"/>
    </row>
    <row r="159" spans="11:19" x14ac:dyDescent="0.25">
      <c r="K159" s="58"/>
      <c r="L159" s="59"/>
      <c r="M159" s="54"/>
      <c r="N159" s="55"/>
      <c r="P159" s="58"/>
      <c r="Q159" s="59"/>
      <c r="R159" s="54"/>
      <c r="S159" s="55"/>
    </row>
    <row r="160" spans="11:19" x14ac:dyDescent="0.25">
      <c r="K160" s="58"/>
      <c r="L160" s="59"/>
      <c r="M160" s="54"/>
      <c r="N160" s="55"/>
      <c r="P160" s="58"/>
      <c r="Q160" s="59"/>
      <c r="R160" s="54"/>
      <c r="S160" s="55"/>
    </row>
    <row r="161" spans="11:19" x14ac:dyDescent="0.25">
      <c r="K161" s="58"/>
      <c r="L161" s="59"/>
      <c r="M161" s="54"/>
      <c r="N161" s="55"/>
      <c r="P161" s="58"/>
      <c r="Q161" s="59"/>
      <c r="R161" s="54"/>
      <c r="S161" s="55"/>
    </row>
    <row r="162" spans="11:19" x14ac:dyDescent="0.25">
      <c r="K162" s="58"/>
      <c r="L162" s="59"/>
      <c r="M162" s="54"/>
      <c r="N162" s="55"/>
      <c r="P162" s="58"/>
      <c r="Q162" s="59"/>
      <c r="R162" s="54"/>
      <c r="S162" s="55"/>
    </row>
    <row r="163" spans="11:19" x14ac:dyDescent="0.25">
      <c r="K163" s="58"/>
      <c r="L163" s="59"/>
      <c r="M163" s="54"/>
      <c r="N163" s="55"/>
      <c r="P163" s="58"/>
      <c r="Q163" s="59"/>
      <c r="R163" s="54"/>
      <c r="S163" s="55"/>
    </row>
    <row r="164" spans="11:19" x14ac:dyDescent="0.25">
      <c r="K164" s="58"/>
      <c r="L164" s="59"/>
      <c r="M164" s="54"/>
      <c r="N164" s="55"/>
      <c r="P164" s="58"/>
      <c r="Q164" s="59"/>
      <c r="R164" s="54"/>
      <c r="S164" s="55"/>
    </row>
    <row r="165" spans="11:19" x14ac:dyDescent="0.25">
      <c r="K165" s="58"/>
      <c r="L165" s="59"/>
      <c r="M165" s="54"/>
      <c r="N165" s="55"/>
      <c r="P165" s="58"/>
      <c r="Q165" s="59"/>
      <c r="R165" s="54"/>
      <c r="S165" s="55"/>
    </row>
    <row r="166" spans="11:19" x14ac:dyDescent="0.25">
      <c r="K166" s="58"/>
      <c r="L166" s="59"/>
      <c r="M166" s="54"/>
      <c r="N166" s="55"/>
      <c r="P166" s="58"/>
      <c r="Q166" s="59"/>
      <c r="R166" s="54"/>
      <c r="S166" s="55"/>
    </row>
    <row r="167" spans="11:19" x14ac:dyDescent="0.25">
      <c r="K167" s="58"/>
      <c r="L167" s="59"/>
      <c r="M167" s="54"/>
      <c r="N167" s="55"/>
      <c r="P167" s="58"/>
      <c r="Q167" s="59"/>
      <c r="R167" s="54"/>
      <c r="S167" s="55"/>
    </row>
    <row r="168" spans="11:19" x14ac:dyDescent="0.25">
      <c r="K168" s="58"/>
      <c r="L168" s="59"/>
      <c r="M168" s="54"/>
      <c r="N168" s="55"/>
      <c r="P168" s="58"/>
      <c r="Q168" s="59"/>
      <c r="R168" s="54"/>
      <c r="S168" s="55"/>
    </row>
    <row r="169" spans="11:19" x14ac:dyDescent="0.25">
      <c r="K169" s="58"/>
      <c r="L169" s="59"/>
      <c r="M169" s="54"/>
      <c r="N169" s="55"/>
      <c r="P169" s="58"/>
      <c r="Q169" s="59"/>
      <c r="R169" s="54"/>
      <c r="S169" s="55"/>
    </row>
    <row r="170" spans="11:19" x14ac:dyDescent="0.25">
      <c r="K170" s="58"/>
      <c r="L170" s="59"/>
      <c r="M170" s="54"/>
      <c r="N170" s="55"/>
      <c r="P170" s="58"/>
      <c r="Q170" s="59"/>
      <c r="R170" s="54"/>
      <c r="S170" s="55"/>
    </row>
    <row r="171" spans="11:19" x14ac:dyDescent="0.25">
      <c r="K171" s="58"/>
      <c r="L171" s="59"/>
      <c r="M171" s="54"/>
      <c r="N171" s="55"/>
      <c r="P171" s="58"/>
      <c r="Q171" s="59"/>
      <c r="R171" s="54"/>
      <c r="S171" s="55"/>
    </row>
    <row r="172" spans="11:19" x14ac:dyDescent="0.25">
      <c r="K172" s="58"/>
      <c r="L172" s="59"/>
      <c r="M172" s="54"/>
      <c r="N172" s="55"/>
      <c r="P172" s="58"/>
      <c r="Q172" s="59"/>
      <c r="R172" s="54"/>
      <c r="S172" s="55"/>
    </row>
    <row r="173" spans="11:19" x14ac:dyDescent="0.25">
      <c r="K173" s="58"/>
      <c r="L173" s="59"/>
      <c r="M173" s="54"/>
      <c r="N173" s="55"/>
      <c r="P173" s="58"/>
      <c r="Q173" s="59"/>
      <c r="R173" s="54"/>
      <c r="S173" s="55"/>
    </row>
    <row r="174" spans="11:19" x14ac:dyDescent="0.25">
      <c r="K174" s="58"/>
      <c r="L174" s="59"/>
      <c r="M174" s="54"/>
      <c r="N174" s="55"/>
      <c r="P174" s="58"/>
      <c r="Q174" s="59"/>
      <c r="R174" s="54"/>
      <c r="S174" s="55"/>
    </row>
    <row r="175" spans="11:19" x14ac:dyDescent="0.25">
      <c r="K175" s="58"/>
      <c r="L175" s="59"/>
      <c r="M175" s="54"/>
      <c r="N175" s="55"/>
      <c r="P175" s="58"/>
      <c r="Q175" s="59"/>
      <c r="R175" s="54"/>
      <c r="S175" s="55"/>
    </row>
    <row r="176" spans="11:19" x14ac:dyDescent="0.25">
      <c r="K176" s="58"/>
      <c r="L176" s="59"/>
      <c r="M176" s="54"/>
      <c r="N176" s="55"/>
      <c r="P176" s="58"/>
      <c r="Q176" s="59"/>
      <c r="R176" s="54"/>
      <c r="S176" s="55"/>
    </row>
    <row r="177" spans="11:19" x14ac:dyDescent="0.25">
      <c r="K177" s="58"/>
      <c r="L177" s="59"/>
      <c r="M177" s="54"/>
      <c r="N177" s="55"/>
      <c r="P177" s="58"/>
      <c r="Q177" s="59"/>
      <c r="R177" s="54"/>
      <c r="S177" s="55"/>
    </row>
    <row r="178" spans="11:19" x14ac:dyDescent="0.25">
      <c r="K178" s="58"/>
      <c r="L178" s="59"/>
      <c r="M178" s="54"/>
      <c r="N178" s="55"/>
      <c r="P178" s="58"/>
      <c r="Q178" s="59"/>
      <c r="R178" s="54"/>
      <c r="S178" s="55"/>
    </row>
    <row r="179" spans="11:19" x14ac:dyDescent="0.25">
      <c r="K179" s="58"/>
      <c r="L179" s="59"/>
      <c r="M179" s="54"/>
      <c r="N179" s="55"/>
      <c r="P179" s="58"/>
      <c r="Q179" s="59"/>
      <c r="R179" s="54"/>
      <c r="S179" s="55"/>
    </row>
    <row r="180" spans="11:19" x14ac:dyDescent="0.25">
      <c r="K180" s="58"/>
      <c r="L180" s="59"/>
      <c r="M180" s="54"/>
      <c r="N180" s="55"/>
      <c r="P180" s="58"/>
      <c r="Q180" s="59"/>
      <c r="R180" s="54"/>
      <c r="S180" s="55"/>
    </row>
    <row r="181" spans="11:19" x14ac:dyDescent="0.25">
      <c r="K181" s="58"/>
      <c r="L181" s="59"/>
      <c r="M181" s="54"/>
      <c r="N181" s="55"/>
      <c r="P181" s="58"/>
      <c r="Q181" s="59"/>
      <c r="R181" s="54"/>
      <c r="S181" s="55"/>
    </row>
    <row r="182" spans="11:19" x14ac:dyDescent="0.25">
      <c r="K182" s="58"/>
      <c r="L182" s="59"/>
      <c r="M182" s="54"/>
      <c r="N182" s="55"/>
      <c r="P182" s="58"/>
      <c r="Q182" s="59"/>
      <c r="R182" s="54"/>
      <c r="S182" s="55"/>
    </row>
    <row r="183" spans="11:19" x14ac:dyDescent="0.25">
      <c r="K183" s="58"/>
      <c r="L183" s="59"/>
      <c r="M183" s="54"/>
      <c r="N183" s="55"/>
      <c r="P183" s="58"/>
      <c r="Q183" s="59"/>
      <c r="R183" s="54"/>
      <c r="S183" s="55"/>
    </row>
    <row r="184" spans="11:19" x14ac:dyDescent="0.25">
      <c r="K184" s="58"/>
      <c r="L184" s="59"/>
      <c r="M184" s="54"/>
      <c r="N184" s="55"/>
      <c r="P184" s="58"/>
      <c r="Q184" s="59"/>
      <c r="R184" s="54"/>
      <c r="S184" s="55"/>
    </row>
    <row r="185" spans="11:19" x14ac:dyDescent="0.25">
      <c r="K185" s="58"/>
      <c r="L185" s="59"/>
      <c r="M185" s="54"/>
      <c r="N185" s="55"/>
      <c r="P185" s="58"/>
      <c r="Q185" s="59"/>
      <c r="R185" s="54"/>
      <c r="S185" s="55"/>
    </row>
    <row r="186" spans="11:19" x14ac:dyDescent="0.25">
      <c r="K186" s="58"/>
      <c r="L186" s="59"/>
      <c r="M186" s="54"/>
      <c r="N186" s="55"/>
      <c r="P186" s="58"/>
      <c r="Q186" s="59"/>
      <c r="R186" s="54"/>
      <c r="S186" s="55"/>
    </row>
    <row r="187" spans="11:19" x14ac:dyDescent="0.25">
      <c r="K187" s="58"/>
      <c r="L187" s="59"/>
      <c r="M187" s="54"/>
      <c r="N187" s="55"/>
      <c r="P187" s="58"/>
      <c r="Q187" s="59"/>
      <c r="R187" s="54"/>
      <c r="S187" s="55"/>
    </row>
    <row r="188" spans="11:19" x14ac:dyDescent="0.25">
      <c r="K188" s="58"/>
      <c r="L188" s="59"/>
      <c r="M188" s="54"/>
      <c r="N188" s="55"/>
      <c r="P188" s="58"/>
      <c r="Q188" s="59"/>
      <c r="R188" s="54"/>
      <c r="S188" s="55"/>
    </row>
    <row r="189" spans="11:19" x14ac:dyDescent="0.25">
      <c r="K189" s="58"/>
      <c r="L189" s="59"/>
      <c r="M189" s="54"/>
      <c r="N189" s="55"/>
      <c r="P189" s="58"/>
      <c r="Q189" s="59"/>
      <c r="R189" s="54"/>
      <c r="S189" s="55"/>
    </row>
    <row r="190" spans="11:19" x14ac:dyDescent="0.25">
      <c r="K190" s="58"/>
      <c r="L190" s="59"/>
      <c r="M190" s="54"/>
      <c r="N190" s="55"/>
      <c r="P190" s="58"/>
      <c r="Q190" s="59"/>
      <c r="R190" s="54"/>
      <c r="S190" s="55"/>
    </row>
    <row r="191" spans="11:19" x14ac:dyDescent="0.25">
      <c r="K191" s="58"/>
      <c r="L191" s="59"/>
      <c r="M191" s="54"/>
      <c r="N191" s="55"/>
      <c r="P191" s="58"/>
      <c r="Q191" s="59"/>
      <c r="R191" s="54"/>
      <c r="S191" s="55"/>
    </row>
    <row r="192" spans="11:19" x14ac:dyDescent="0.25">
      <c r="K192" s="58"/>
      <c r="L192" s="59"/>
      <c r="M192" s="54"/>
      <c r="N192" s="55"/>
      <c r="P192" s="58"/>
      <c r="Q192" s="59"/>
      <c r="R192" s="54"/>
      <c r="S192" s="55"/>
    </row>
    <row r="193" spans="11:19" x14ac:dyDescent="0.25">
      <c r="K193" s="58"/>
      <c r="L193" s="59"/>
      <c r="M193" s="54"/>
      <c r="N193" s="55"/>
      <c r="P193" s="58"/>
      <c r="Q193" s="59"/>
      <c r="R193" s="54"/>
      <c r="S193" s="55"/>
    </row>
    <row r="194" spans="11:19" x14ac:dyDescent="0.25">
      <c r="K194" s="58"/>
      <c r="L194" s="59"/>
      <c r="M194" s="54"/>
      <c r="N194" s="55"/>
      <c r="P194" s="58"/>
      <c r="Q194" s="59"/>
      <c r="R194" s="54"/>
      <c r="S194" s="55"/>
    </row>
    <row r="195" spans="11:19" x14ac:dyDescent="0.25">
      <c r="K195" s="58"/>
      <c r="L195" s="59"/>
      <c r="M195" s="54"/>
      <c r="N195" s="55"/>
      <c r="P195" s="58"/>
      <c r="Q195" s="59"/>
      <c r="R195" s="54"/>
      <c r="S195" s="55"/>
    </row>
    <row r="196" spans="11:19" x14ac:dyDescent="0.25">
      <c r="K196" s="58"/>
      <c r="L196" s="59"/>
      <c r="M196" s="54"/>
      <c r="N196" s="55"/>
      <c r="P196" s="58"/>
      <c r="Q196" s="59"/>
      <c r="R196" s="54"/>
      <c r="S196" s="55"/>
    </row>
    <row r="197" spans="11:19" x14ac:dyDescent="0.25">
      <c r="K197" s="58"/>
      <c r="L197" s="59"/>
      <c r="M197" s="54"/>
      <c r="N197" s="55"/>
      <c r="P197" s="58"/>
      <c r="Q197" s="59"/>
      <c r="R197" s="54"/>
      <c r="S197" s="55"/>
    </row>
    <row r="198" spans="11:19" x14ac:dyDescent="0.25">
      <c r="K198" s="58"/>
      <c r="L198" s="59"/>
      <c r="M198" s="54"/>
      <c r="N198" s="55"/>
      <c r="P198" s="58"/>
      <c r="Q198" s="59"/>
      <c r="R198" s="54"/>
      <c r="S198" s="55"/>
    </row>
    <row r="199" spans="11:19" x14ac:dyDescent="0.25">
      <c r="K199" s="58"/>
      <c r="L199" s="59"/>
      <c r="M199" s="54"/>
      <c r="N199" s="55"/>
      <c r="P199" s="58"/>
      <c r="Q199" s="59"/>
      <c r="R199" s="54"/>
      <c r="S199" s="55"/>
    </row>
    <row r="200" spans="11:19" x14ac:dyDescent="0.25">
      <c r="K200" s="58"/>
      <c r="L200" s="59"/>
      <c r="M200" s="54"/>
      <c r="N200" s="55"/>
      <c r="P200" s="58"/>
      <c r="Q200" s="59"/>
      <c r="R200" s="54"/>
      <c r="S200" s="55"/>
    </row>
    <row r="201" spans="11:19" x14ac:dyDescent="0.25">
      <c r="K201" s="58"/>
      <c r="L201" s="59"/>
      <c r="M201" s="54"/>
      <c r="N201" s="55"/>
      <c r="P201" s="58"/>
      <c r="Q201" s="59"/>
      <c r="R201" s="54"/>
      <c r="S201" s="55"/>
    </row>
    <row r="202" spans="11:19" x14ac:dyDescent="0.25">
      <c r="K202" s="58"/>
      <c r="L202" s="59"/>
      <c r="M202" s="54"/>
      <c r="N202" s="55"/>
      <c r="P202" s="58"/>
      <c r="Q202" s="59"/>
      <c r="R202" s="54"/>
      <c r="S202" s="55"/>
    </row>
    <row r="203" spans="11:19" x14ac:dyDescent="0.25">
      <c r="K203" s="58"/>
      <c r="L203" s="59"/>
      <c r="M203" s="54"/>
      <c r="N203" s="55"/>
      <c r="P203" s="58"/>
      <c r="Q203" s="59"/>
      <c r="R203" s="54"/>
      <c r="S203" s="55"/>
    </row>
    <row r="204" spans="11:19" x14ac:dyDescent="0.25">
      <c r="K204" s="58"/>
      <c r="L204" s="59"/>
      <c r="M204" s="54"/>
      <c r="N204" s="55"/>
      <c r="P204" s="58"/>
      <c r="Q204" s="59"/>
      <c r="R204" s="54"/>
      <c r="S204" s="55"/>
    </row>
    <row r="205" spans="11:19" x14ac:dyDescent="0.25">
      <c r="K205" s="58"/>
      <c r="L205" s="59"/>
      <c r="M205" s="54"/>
      <c r="N205" s="55"/>
      <c r="P205" s="58"/>
      <c r="Q205" s="59"/>
      <c r="R205" s="54"/>
      <c r="S205" s="55"/>
    </row>
    <row r="206" spans="11:19" x14ac:dyDescent="0.25">
      <c r="K206" s="58"/>
      <c r="L206" s="59"/>
      <c r="M206" s="54"/>
      <c r="N206" s="55"/>
      <c r="P206" s="58"/>
      <c r="Q206" s="59"/>
      <c r="R206" s="54"/>
      <c r="S206" s="55"/>
    </row>
    <row r="207" spans="11:19" x14ac:dyDescent="0.25">
      <c r="K207" s="58"/>
      <c r="L207" s="59"/>
      <c r="M207" s="54"/>
      <c r="N207" s="55"/>
      <c r="P207" s="58"/>
      <c r="Q207" s="59"/>
      <c r="R207" s="54"/>
      <c r="S207" s="55"/>
    </row>
    <row r="208" spans="11:19" x14ac:dyDescent="0.25">
      <c r="K208" s="58"/>
      <c r="L208" s="59"/>
      <c r="M208" s="54"/>
      <c r="N208" s="55"/>
      <c r="P208" s="58"/>
      <c r="Q208" s="59"/>
      <c r="R208" s="54"/>
      <c r="S208" s="55"/>
    </row>
    <row r="209" spans="11:19" x14ac:dyDescent="0.25">
      <c r="K209" s="58"/>
      <c r="L209" s="59"/>
      <c r="M209" s="54"/>
      <c r="N209" s="55"/>
      <c r="P209" s="58"/>
      <c r="Q209" s="59"/>
      <c r="R209" s="54"/>
      <c r="S209" s="55"/>
    </row>
    <row r="210" spans="11:19" x14ac:dyDescent="0.25">
      <c r="K210" s="58"/>
      <c r="L210" s="59"/>
      <c r="M210" s="54"/>
      <c r="N210" s="55"/>
      <c r="P210" s="58"/>
      <c r="Q210" s="59"/>
      <c r="R210" s="54"/>
      <c r="S210" s="55"/>
    </row>
    <row r="211" spans="11:19" x14ac:dyDescent="0.25">
      <c r="K211" s="58"/>
      <c r="L211" s="59"/>
      <c r="M211" s="54"/>
      <c r="N211" s="55"/>
      <c r="P211" s="58"/>
      <c r="Q211" s="59"/>
      <c r="R211" s="54"/>
      <c r="S211" s="55"/>
    </row>
    <row r="212" spans="11:19" x14ac:dyDescent="0.25">
      <c r="K212" s="58"/>
      <c r="L212" s="59"/>
      <c r="M212" s="54"/>
      <c r="N212" s="55"/>
      <c r="P212" s="58"/>
      <c r="Q212" s="59"/>
      <c r="R212" s="54"/>
      <c r="S212" s="55"/>
    </row>
    <row r="213" spans="11:19" x14ac:dyDescent="0.25">
      <c r="K213" s="58"/>
      <c r="L213" s="59"/>
      <c r="M213" s="54"/>
      <c r="N213" s="55"/>
      <c r="P213" s="58"/>
      <c r="Q213" s="59"/>
      <c r="R213" s="54"/>
      <c r="S213" s="55"/>
    </row>
    <row r="214" spans="11:19" x14ac:dyDescent="0.25">
      <c r="K214" s="58"/>
      <c r="L214" s="59"/>
      <c r="M214" s="54"/>
      <c r="N214" s="55"/>
      <c r="P214" s="58"/>
      <c r="Q214" s="59"/>
      <c r="R214" s="54"/>
      <c r="S214" s="55"/>
    </row>
    <row r="215" spans="11:19" x14ac:dyDescent="0.25">
      <c r="K215" s="58"/>
      <c r="L215" s="59"/>
      <c r="M215" s="54"/>
      <c r="N215" s="55"/>
      <c r="P215" s="58"/>
      <c r="Q215" s="59"/>
      <c r="R215" s="54"/>
      <c r="S215" s="55"/>
    </row>
    <row r="216" spans="11:19" x14ac:dyDescent="0.25">
      <c r="K216" s="58"/>
      <c r="L216" s="59"/>
      <c r="M216" s="54"/>
      <c r="N216" s="55"/>
      <c r="P216" s="58"/>
      <c r="Q216" s="59"/>
      <c r="R216" s="54"/>
      <c r="S216" s="55"/>
    </row>
    <row r="217" spans="11:19" x14ac:dyDescent="0.25">
      <c r="K217" s="58"/>
      <c r="L217" s="59"/>
      <c r="M217" s="54"/>
      <c r="N217" s="55"/>
      <c r="P217" s="58"/>
      <c r="Q217" s="59"/>
      <c r="R217" s="54"/>
      <c r="S217" s="55"/>
    </row>
    <row r="218" spans="11:19" x14ac:dyDescent="0.25">
      <c r="K218" s="58"/>
      <c r="L218" s="59"/>
      <c r="M218" s="54"/>
      <c r="N218" s="55"/>
      <c r="P218" s="58"/>
      <c r="Q218" s="59"/>
      <c r="R218" s="54"/>
      <c r="S218" s="55"/>
    </row>
    <row r="219" spans="11:19" x14ac:dyDescent="0.25">
      <c r="K219" s="58"/>
      <c r="L219" s="59"/>
      <c r="M219" s="54"/>
      <c r="N219" s="55"/>
      <c r="P219" s="58"/>
      <c r="Q219" s="59"/>
      <c r="R219" s="54"/>
      <c r="S219" s="55"/>
    </row>
    <row r="220" spans="11:19" x14ac:dyDescent="0.25">
      <c r="K220" s="58"/>
      <c r="L220" s="59"/>
      <c r="M220" s="54"/>
      <c r="N220" s="55"/>
      <c r="P220" s="58"/>
      <c r="Q220" s="59"/>
      <c r="R220" s="54"/>
      <c r="S220" s="55"/>
    </row>
    <row r="221" spans="11:19" x14ac:dyDescent="0.25">
      <c r="K221" s="58"/>
      <c r="L221" s="59"/>
      <c r="M221" s="54"/>
      <c r="N221" s="55"/>
      <c r="P221" s="58"/>
      <c r="Q221" s="59"/>
      <c r="R221" s="54"/>
      <c r="S221" s="55"/>
    </row>
    <row r="222" spans="11:19" x14ac:dyDescent="0.25">
      <c r="K222" s="58"/>
      <c r="L222" s="59"/>
      <c r="M222" s="54"/>
      <c r="N222" s="55"/>
      <c r="P222" s="58"/>
      <c r="Q222" s="59"/>
      <c r="R222" s="54"/>
      <c r="S222" s="55"/>
    </row>
    <row r="223" spans="11:19" x14ac:dyDescent="0.25">
      <c r="K223" s="58"/>
      <c r="L223" s="59"/>
      <c r="M223" s="54"/>
      <c r="N223" s="55"/>
      <c r="P223" s="58"/>
      <c r="Q223" s="59"/>
      <c r="R223" s="54"/>
      <c r="S223" s="55"/>
    </row>
    <row r="224" spans="11:19" x14ac:dyDescent="0.25">
      <c r="K224" s="58"/>
      <c r="L224" s="59"/>
      <c r="M224" s="54"/>
      <c r="N224" s="55"/>
      <c r="P224" s="58"/>
      <c r="Q224" s="59"/>
      <c r="R224" s="54"/>
      <c r="S224" s="55"/>
    </row>
    <row r="225" spans="11:19" x14ac:dyDescent="0.25">
      <c r="K225" s="58"/>
      <c r="L225" s="59"/>
      <c r="M225" s="54"/>
      <c r="N225" s="55"/>
      <c r="P225" s="58"/>
      <c r="Q225" s="59"/>
      <c r="R225" s="54"/>
      <c r="S225" s="55"/>
    </row>
    <row r="226" spans="11:19" x14ac:dyDescent="0.25">
      <c r="K226" s="58"/>
      <c r="L226" s="59"/>
      <c r="M226" s="54"/>
      <c r="N226" s="55"/>
      <c r="P226" s="58"/>
      <c r="Q226" s="59"/>
      <c r="R226" s="54"/>
      <c r="S226" s="55"/>
    </row>
    <row r="227" spans="11:19" x14ac:dyDescent="0.25">
      <c r="K227" s="58"/>
      <c r="L227" s="59"/>
      <c r="M227" s="54"/>
      <c r="N227" s="55"/>
      <c r="P227" s="58"/>
      <c r="Q227" s="59"/>
      <c r="R227" s="54"/>
      <c r="S227" s="55"/>
    </row>
    <row r="228" spans="11:19" x14ac:dyDescent="0.25">
      <c r="K228" s="58"/>
      <c r="L228" s="59"/>
      <c r="M228" s="54"/>
      <c r="N228" s="55"/>
      <c r="P228" s="58"/>
      <c r="Q228" s="59"/>
      <c r="R228" s="54"/>
      <c r="S228" s="55"/>
    </row>
    <row r="229" spans="11:19" x14ac:dyDescent="0.25">
      <c r="K229" s="58"/>
      <c r="L229" s="59"/>
      <c r="M229" s="54"/>
      <c r="N229" s="55"/>
      <c r="P229" s="58"/>
      <c r="Q229" s="59"/>
      <c r="R229" s="54"/>
      <c r="S229" s="55"/>
    </row>
    <row r="230" spans="11:19" x14ac:dyDescent="0.25">
      <c r="K230" s="58"/>
      <c r="L230" s="59"/>
      <c r="M230" s="54"/>
      <c r="N230" s="55"/>
      <c r="P230" s="58"/>
      <c r="Q230" s="59"/>
      <c r="R230" s="54"/>
      <c r="S230" s="55"/>
    </row>
    <row r="231" spans="11:19" x14ac:dyDescent="0.25">
      <c r="K231" s="58"/>
      <c r="L231" s="59"/>
      <c r="M231" s="54"/>
      <c r="N231" s="55"/>
      <c r="P231" s="58"/>
      <c r="Q231" s="59"/>
      <c r="R231" s="54"/>
      <c r="S231" s="55"/>
    </row>
    <row r="232" spans="11:19" x14ac:dyDescent="0.25">
      <c r="K232" s="58"/>
      <c r="L232" s="59"/>
      <c r="M232" s="54"/>
      <c r="N232" s="55"/>
      <c r="P232" s="58"/>
      <c r="Q232" s="59"/>
      <c r="R232" s="54"/>
      <c r="S232" s="55"/>
    </row>
    <row r="233" spans="11:19" x14ac:dyDescent="0.25">
      <c r="K233" s="58"/>
      <c r="L233" s="59"/>
      <c r="M233" s="54"/>
      <c r="N233" s="55"/>
      <c r="P233" s="58"/>
      <c r="Q233" s="59"/>
      <c r="R233" s="54"/>
      <c r="S233" s="55"/>
    </row>
    <row r="234" spans="11:19" x14ac:dyDescent="0.25">
      <c r="K234" s="58"/>
      <c r="L234" s="59"/>
      <c r="M234" s="54"/>
      <c r="N234" s="55"/>
      <c r="P234" s="58"/>
      <c r="Q234" s="59"/>
      <c r="R234" s="54"/>
      <c r="S234" s="55"/>
    </row>
    <row r="235" spans="11:19" x14ac:dyDescent="0.25">
      <c r="K235" s="58"/>
      <c r="L235" s="59"/>
      <c r="M235" s="54"/>
      <c r="N235" s="55"/>
      <c r="P235" s="58"/>
      <c r="Q235" s="59"/>
      <c r="R235" s="54"/>
      <c r="S235" s="55"/>
    </row>
    <row r="236" spans="11:19" x14ac:dyDescent="0.25">
      <c r="K236" s="58"/>
      <c r="L236" s="59"/>
      <c r="M236" s="54"/>
      <c r="N236" s="55"/>
      <c r="P236" s="58"/>
      <c r="Q236" s="59"/>
      <c r="R236" s="54"/>
      <c r="S236" s="55"/>
    </row>
    <row r="237" spans="11:19" x14ac:dyDescent="0.25">
      <c r="K237" s="58"/>
      <c r="L237" s="59"/>
      <c r="M237" s="54"/>
      <c r="N237" s="55"/>
      <c r="P237" s="58"/>
      <c r="Q237" s="59"/>
      <c r="R237" s="54"/>
      <c r="S237" s="55"/>
    </row>
    <row r="238" spans="11:19" x14ac:dyDescent="0.25">
      <c r="K238" s="58"/>
      <c r="L238" s="59"/>
      <c r="M238" s="54"/>
      <c r="N238" s="55"/>
      <c r="P238" s="58"/>
      <c r="Q238" s="59"/>
      <c r="R238" s="54"/>
      <c r="S238" s="55"/>
    </row>
    <row r="239" spans="11:19" x14ac:dyDescent="0.25">
      <c r="K239" s="58"/>
      <c r="L239" s="59"/>
      <c r="M239" s="54"/>
      <c r="N239" s="55"/>
      <c r="P239" s="58"/>
      <c r="Q239" s="59"/>
      <c r="R239" s="54"/>
      <c r="S239" s="55"/>
    </row>
    <row r="240" spans="11:19" x14ac:dyDescent="0.25">
      <c r="K240" s="58"/>
      <c r="L240" s="59"/>
      <c r="M240" s="54"/>
      <c r="N240" s="55"/>
      <c r="P240" s="58"/>
      <c r="Q240" s="59"/>
      <c r="R240" s="54"/>
      <c r="S240" s="55"/>
    </row>
    <row r="241" spans="11:19" x14ac:dyDescent="0.25">
      <c r="K241" s="58"/>
      <c r="L241" s="59"/>
      <c r="M241" s="54"/>
      <c r="N241" s="55"/>
      <c r="P241" s="58"/>
      <c r="Q241" s="59"/>
      <c r="R241" s="54"/>
      <c r="S241" s="55"/>
    </row>
    <row r="242" spans="11:19" x14ac:dyDescent="0.25">
      <c r="K242" s="58"/>
      <c r="L242" s="59"/>
      <c r="M242" s="54"/>
      <c r="N242" s="55"/>
      <c r="P242" s="58"/>
      <c r="Q242" s="59"/>
      <c r="R242" s="54"/>
      <c r="S242" s="55"/>
    </row>
    <row r="243" spans="11:19" x14ac:dyDescent="0.25">
      <c r="K243" s="58"/>
      <c r="L243" s="59"/>
      <c r="M243" s="54"/>
      <c r="N243" s="55"/>
      <c r="P243" s="58"/>
      <c r="Q243" s="59"/>
      <c r="R243" s="54"/>
      <c r="S243" s="55"/>
    </row>
    <row r="244" spans="11:19" x14ac:dyDescent="0.25">
      <c r="K244" s="58"/>
      <c r="L244" s="59"/>
      <c r="M244" s="54"/>
      <c r="N244" s="55"/>
      <c r="P244" s="58"/>
      <c r="Q244" s="59"/>
      <c r="R244" s="54"/>
      <c r="S244" s="55"/>
    </row>
    <row r="245" spans="11:19" x14ac:dyDescent="0.25">
      <c r="K245" s="58"/>
      <c r="L245" s="59"/>
      <c r="M245" s="54"/>
      <c r="N245" s="55"/>
      <c r="P245" s="58"/>
      <c r="Q245" s="59"/>
      <c r="R245" s="54"/>
      <c r="S245" s="55"/>
    </row>
    <row r="246" spans="11:19" x14ac:dyDescent="0.25">
      <c r="K246" s="58"/>
      <c r="L246" s="59"/>
      <c r="M246" s="54"/>
      <c r="N246" s="55"/>
      <c r="P246" s="58"/>
      <c r="Q246" s="59"/>
      <c r="R246" s="54"/>
      <c r="S246" s="55"/>
    </row>
    <row r="247" spans="11:19" x14ac:dyDescent="0.25">
      <c r="K247" s="58"/>
      <c r="L247" s="59"/>
      <c r="M247" s="54"/>
      <c r="N247" s="55"/>
      <c r="P247" s="58"/>
      <c r="Q247" s="59"/>
      <c r="R247" s="54"/>
      <c r="S247" s="55"/>
    </row>
    <row r="248" spans="11:19" x14ac:dyDescent="0.25">
      <c r="K248" s="58"/>
      <c r="L248" s="59"/>
      <c r="M248" s="54"/>
      <c r="N248" s="55"/>
      <c r="P248" s="58"/>
      <c r="Q248" s="59"/>
      <c r="R248" s="54"/>
      <c r="S248" s="55"/>
    </row>
    <row r="249" spans="11:19" x14ac:dyDescent="0.25">
      <c r="K249" s="58"/>
      <c r="L249" s="59"/>
      <c r="M249" s="54"/>
      <c r="N249" s="55"/>
      <c r="P249" s="58"/>
      <c r="Q249" s="59"/>
      <c r="R249" s="54"/>
      <c r="S249" s="55"/>
    </row>
    <row r="250" spans="11:19" x14ac:dyDescent="0.25">
      <c r="K250" s="58"/>
      <c r="L250" s="59"/>
      <c r="M250" s="54"/>
      <c r="N250" s="55"/>
      <c r="P250" s="58"/>
      <c r="Q250" s="59"/>
      <c r="R250" s="54"/>
      <c r="S250" s="55"/>
    </row>
    <row r="251" spans="11:19" x14ac:dyDescent="0.25">
      <c r="K251" s="58"/>
      <c r="L251" s="59"/>
      <c r="M251" s="54"/>
      <c r="N251" s="55"/>
      <c r="P251" s="58"/>
      <c r="Q251" s="59"/>
      <c r="R251" s="54"/>
      <c r="S251" s="55"/>
    </row>
    <row r="252" spans="11:19" x14ac:dyDescent="0.25">
      <c r="K252" s="58"/>
      <c r="L252" s="59"/>
      <c r="M252" s="54"/>
      <c r="N252" s="55"/>
      <c r="P252" s="58"/>
      <c r="Q252" s="59"/>
      <c r="R252" s="54"/>
      <c r="S252" s="55"/>
    </row>
    <row r="253" spans="11:19" x14ac:dyDescent="0.25">
      <c r="K253" s="58"/>
      <c r="L253" s="59"/>
      <c r="M253" s="54"/>
      <c r="N253" s="55"/>
      <c r="P253" s="58"/>
      <c r="Q253" s="59"/>
      <c r="R253" s="54"/>
      <c r="S253" s="55"/>
    </row>
    <row r="254" spans="11:19" x14ac:dyDescent="0.25">
      <c r="K254" s="58"/>
      <c r="L254" s="59"/>
      <c r="M254" s="54"/>
      <c r="N254" s="55"/>
      <c r="P254" s="58"/>
      <c r="Q254" s="59"/>
      <c r="R254" s="54"/>
      <c r="S254" s="55"/>
    </row>
    <row r="255" spans="11:19" x14ac:dyDescent="0.25">
      <c r="K255" s="58"/>
      <c r="L255" s="59"/>
      <c r="M255" s="54"/>
      <c r="N255" s="55"/>
      <c r="P255" s="58"/>
      <c r="Q255" s="59"/>
      <c r="R255" s="54"/>
      <c r="S255" s="55"/>
    </row>
    <row r="256" spans="11:19" x14ac:dyDescent="0.25">
      <c r="K256" s="58"/>
      <c r="L256" s="59"/>
      <c r="M256" s="54"/>
      <c r="N256" s="55"/>
      <c r="P256" s="58"/>
      <c r="Q256" s="59"/>
      <c r="R256" s="54"/>
      <c r="S256" s="55"/>
    </row>
    <row r="257" spans="11:19" x14ac:dyDescent="0.25">
      <c r="K257" s="58"/>
      <c r="L257" s="59"/>
      <c r="M257" s="54"/>
      <c r="N257" s="55"/>
      <c r="P257" s="58"/>
      <c r="Q257" s="59"/>
      <c r="R257" s="54"/>
      <c r="S257" s="55"/>
    </row>
    <row r="258" spans="11:19" x14ac:dyDescent="0.25">
      <c r="K258" s="58"/>
      <c r="L258" s="59"/>
      <c r="M258" s="54"/>
      <c r="N258" s="55"/>
      <c r="P258" s="58"/>
      <c r="Q258" s="59"/>
      <c r="R258" s="54"/>
      <c r="S258" s="55"/>
    </row>
    <row r="259" spans="11:19" x14ac:dyDescent="0.25">
      <c r="K259" s="58"/>
      <c r="L259" s="59"/>
      <c r="M259" s="54"/>
      <c r="N259" s="55"/>
      <c r="P259" s="58"/>
      <c r="Q259" s="59"/>
      <c r="R259" s="54"/>
      <c r="S259" s="55"/>
    </row>
    <row r="260" spans="11:19" x14ac:dyDescent="0.25">
      <c r="K260" s="58"/>
      <c r="L260" s="59"/>
      <c r="M260" s="54"/>
      <c r="N260" s="55"/>
      <c r="P260" s="58"/>
      <c r="Q260" s="59"/>
      <c r="R260" s="54"/>
      <c r="S260" s="55"/>
    </row>
    <row r="261" spans="11:19" x14ac:dyDescent="0.25">
      <c r="K261" s="58"/>
      <c r="L261" s="59"/>
      <c r="M261" s="54"/>
      <c r="N261" s="55"/>
      <c r="P261" s="58"/>
      <c r="Q261" s="59"/>
      <c r="R261" s="54"/>
      <c r="S261" s="55"/>
    </row>
    <row r="262" spans="11:19" x14ac:dyDescent="0.25">
      <c r="K262" s="58"/>
      <c r="L262" s="59"/>
      <c r="M262" s="54"/>
      <c r="N262" s="55"/>
      <c r="P262" s="58"/>
      <c r="Q262" s="59"/>
      <c r="R262" s="54"/>
      <c r="S262" s="55"/>
    </row>
    <row r="263" spans="11:19" x14ac:dyDescent="0.25">
      <c r="K263" s="58"/>
      <c r="L263" s="59"/>
      <c r="M263" s="54"/>
      <c r="N263" s="55"/>
      <c r="P263" s="58"/>
      <c r="Q263" s="59"/>
      <c r="R263" s="54"/>
      <c r="S263" s="55"/>
    </row>
    <row r="264" spans="11:19" x14ac:dyDescent="0.25">
      <c r="K264" s="58"/>
      <c r="L264" s="59"/>
      <c r="M264" s="54"/>
      <c r="N264" s="55"/>
      <c r="P264" s="58"/>
      <c r="Q264" s="59"/>
      <c r="R264" s="54"/>
      <c r="S264" s="55"/>
    </row>
    <row r="265" spans="11:19" x14ac:dyDescent="0.25">
      <c r="K265" s="58"/>
      <c r="L265" s="59"/>
      <c r="M265" s="54"/>
      <c r="N265" s="55"/>
      <c r="P265" s="58"/>
      <c r="Q265" s="59"/>
      <c r="R265" s="54"/>
      <c r="S265" s="55"/>
    </row>
    <row r="266" spans="11:19" x14ac:dyDescent="0.25">
      <c r="K266" s="58"/>
      <c r="L266" s="59"/>
      <c r="M266" s="54"/>
      <c r="N266" s="55"/>
      <c r="P266" s="58"/>
      <c r="Q266" s="59"/>
      <c r="R266" s="54"/>
      <c r="S266" s="55"/>
    </row>
    <row r="267" spans="11:19" x14ac:dyDescent="0.25">
      <c r="K267" s="58"/>
      <c r="L267" s="59"/>
      <c r="M267" s="54"/>
      <c r="N267" s="55"/>
      <c r="P267" s="58"/>
      <c r="Q267" s="59"/>
      <c r="R267" s="54"/>
      <c r="S267" s="55"/>
    </row>
    <row r="268" spans="11:19" x14ac:dyDescent="0.25">
      <c r="K268" s="58"/>
      <c r="L268" s="59"/>
      <c r="M268" s="54"/>
      <c r="N268" s="55"/>
      <c r="P268" s="58"/>
      <c r="Q268" s="59"/>
      <c r="R268" s="54"/>
      <c r="S268" s="55"/>
    </row>
    <row r="269" spans="11:19" x14ac:dyDescent="0.25">
      <c r="K269" s="58"/>
      <c r="L269" s="59"/>
      <c r="M269" s="54"/>
      <c r="N269" s="55"/>
      <c r="P269" s="58"/>
      <c r="Q269" s="59"/>
      <c r="R269" s="54"/>
      <c r="S269" s="55"/>
    </row>
    <row r="270" spans="11:19" x14ac:dyDescent="0.25">
      <c r="K270" s="58"/>
      <c r="L270" s="59"/>
      <c r="M270" s="54"/>
      <c r="N270" s="55"/>
      <c r="P270" s="58"/>
      <c r="Q270" s="59"/>
      <c r="R270" s="54"/>
      <c r="S270" s="55"/>
    </row>
    <row r="271" spans="11:19" x14ac:dyDescent="0.25">
      <c r="K271" s="58"/>
      <c r="L271" s="59"/>
      <c r="M271" s="54"/>
      <c r="N271" s="55"/>
      <c r="P271" s="58"/>
      <c r="Q271" s="59"/>
      <c r="R271" s="54"/>
      <c r="S271" s="55"/>
    </row>
    <row r="272" spans="11:19" x14ac:dyDescent="0.25">
      <c r="K272" s="58"/>
      <c r="L272" s="59"/>
      <c r="M272" s="54"/>
      <c r="N272" s="55"/>
      <c r="P272" s="58"/>
      <c r="Q272" s="59"/>
      <c r="R272" s="54"/>
      <c r="S272" s="55"/>
    </row>
    <row r="273" spans="11:19" x14ac:dyDescent="0.25">
      <c r="K273" s="58"/>
      <c r="L273" s="59"/>
      <c r="M273" s="54"/>
      <c r="N273" s="55"/>
      <c r="P273" s="58"/>
      <c r="Q273" s="59"/>
      <c r="R273" s="54"/>
      <c r="S273" s="55"/>
    </row>
    <row r="274" spans="11:19" x14ac:dyDescent="0.25">
      <c r="K274" s="58"/>
      <c r="L274" s="59"/>
      <c r="M274" s="54"/>
      <c r="N274" s="55"/>
      <c r="P274" s="58"/>
      <c r="Q274" s="59"/>
      <c r="R274" s="54"/>
      <c r="S274" s="55"/>
    </row>
    <row r="275" spans="11:19" x14ac:dyDescent="0.25">
      <c r="K275" s="58"/>
      <c r="L275" s="59"/>
      <c r="M275" s="54"/>
      <c r="N275" s="55"/>
      <c r="P275" s="58"/>
      <c r="Q275" s="59"/>
      <c r="R275" s="54"/>
      <c r="S275" s="55"/>
    </row>
    <row r="276" spans="11:19" x14ac:dyDescent="0.25">
      <c r="K276" s="58"/>
      <c r="L276" s="59"/>
      <c r="M276" s="54"/>
      <c r="N276" s="55"/>
      <c r="P276" s="58"/>
      <c r="Q276" s="59"/>
      <c r="R276" s="54"/>
      <c r="S276" s="55"/>
    </row>
    <row r="277" spans="11:19" x14ac:dyDescent="0.25">
      <c r="K277" s="58"/>
      <c r="L277" s="59"/>
      <c r="M277" s="54"/>
      <c r="N277" s="55"/>
      <c r="P277" s="58"/>
      <c r="Q277" s="59"/>
      <c r="R277" s="54"/>
      <c r="S277" s="55"/>
    </row>
    <row r="278" spans="11:19" x14ac:dyDescent="0.25">
      <c r="K278" s="58"/>
      <c r="L278" s="59"/>
      <c r="M278" s="54"/>
      <c r="N278" s="55"/>
      <c r="P278" s="58"/>
      <c r="Q278" s="59"/>
      <c r="R278" s="54"/>
      <c r="S278" s="55"/>
    </row>
    <row r="279" spans="11:19" x14ac:dyDescent="0.25">
      <c r="K279" s="58"/>
      <c r="L279" s="59"/>
      <c r="M279" s="54"/>
      <c r="N279" s="55"/>
      <c r="P279" s="58"/>
      <c r="Q279" s="59"/>
      <c r="R279" s="54"/>
      <c r="S279" s="55"/>
    </row>
    <row r="280" spans="11:19" x14ac:dyDescent="0.25">
      <c r="K280" s="58"/>
      <c r="L280" s="59"/>
      <c r="M280" s="54"/>
      <c r="N280" s="55"/>
      <c r="P280" s="58"/>
      <c r="Q280" s="59"/>
      <c r="R280" s="54"/>
      <c r="S280" s="55"/>
    </row>
    <row r="281" spans="11:19" x14ac:dyDescent="0.25">
      <c r="K281" s="58"/>
      <c r="L281" s="59"/>
      <c r="M281" s="54"/>
      <c r="N281" s="55"/>
      <c r="P281" s="58"/>
      <c r="Q281" s="59"/>
      <c r="R281" s="54"/>
      <c r="S281" s="55"/>
    </row>
    <row r="282" spans="11:19" x14ac:dyDescent="0.25">
      <c r="K282" s="58"/>
      <c r="L282" s="59"/>
      <c r="M282" s="54"/>
      <c r="N282" s="55"/>
      <c r="P282" s="58"/>
      <c r="Q282" s="59"/>
      <c r="R282" s="54"/>
      <c r="S282" s="55"/>
    </row>
    <row r="283" spans="11:19" x14ac:dyDescent="0.25">
      <c r="K283" s="58"/>
      <c r="L283" s="59"/>
      <c r="M283" s="54"/>
      <c r="N283" s="55"/>
      <c r="P283" s="58"/>
      <c r="Q283" s="59"/>
      <c r="R283" s="54"/>
      <c r="S283" s="55"/>
    </row>
    <row r="284" spans="11:19" x14ac:dyDescent="0.25">
      <c r="K284" s="58"/>
      <c r="L284" s="59"/>
      <c r="M284" s="54"/>
      <c r="N284" s="55"/>
      <c r="P284" s="58"/>
      <c r="Q284" s="59"/>
      <c r="R284" s="54"/>
      <c r="S284" s="55"/>
    </row>
    <row r="285" spans="11:19" x14ac:dyDescent="0.25">
      <c r="K285" s="58"/>
      <c r="L285" s="59"/>
      <c r="M285" s="54"/>
      <c r="N285" s="55"/>
      <c r="P285" s="58"/>
      <c r="Q285" s="59"/>
      <c r="R285" s="54"/>
      <c r="S285" s="55"/>
    </row>
    <row r="286" spans="11:19" x14ac:dyDescent="0.25">
      <c r="K286" s="58"/>
      <c r="L286" s="59"/>
      <c r="M286" s="54"/>
      <c r="N286" s="55"/>
      <c r="P286" s="58"/>
      <c r="Q286" s="59"/>
      <c r="R286" s="54"/>
      <c r="S286" s="55"/>
    </row>
    <row r="287" spans="11:19" x14ac:dyDescent="0.25">
      <c r="K287" s="58"/>
      <c r="L287" s="59"/>
      <c r="M287" s="54"/>
      <c r="N287" s="55"/>
      <c r="P287" s="58"/>
      <c r="Q287" s="59"/>
      <c r="R287" s="54"/>
      <c r="S287" s="55"/>
    </row>
    <row r="288" spans="11:19" x14ac:dyDescent="0.25">
      <c r="K288" s="58"/>
      <c r="L288" s="59"/>
      <c r="M288" s="54"/>
      <c r="N288" s="55"/>
      <c r="P288" s="58"/>
      <c r="Q288" s="59"/>
      <c r="R288" s="54"/>
      <c r="S288" s="55"/>
    </row>
    <row r="289" spans="11:19" x14ac:dyDescent="0.25">
      <c r="K289" s="58"/>
      <c r="L289" s="59"/>
      <c r="M289" s="54"/>
      <c r="N289" s="55"/>
      <c r="P289" s="58"/>
      <c r="Q289" s="59"/>
      <c r="R289" s="54"/>
      <c r="S289" s="55"/>
    </row>
    <row r="290" spans="11:19" x14ac:dyDescent="0.25">
      <c r="K290" s="58"/>
      <c r="L290" s="59"/>
      <c r="M290" s="54"/>
      <c r="N290" s="55"/>
      <c r="P290" s="58"/>
      <c r="Q290" s="59"/>
      <c r="R290" s="54"/>
      <c r="S290" s="55"/>
    </row>
    <row r="291" spans="11:19" x14ac:dyDescent="0.25">
      <c r="K291" s="58"/>
      <c r="L291" s="59"/>
      <c r="M291" s="54"/>
      <c r="N291" s="55"/>
      <c r="P291" s="58"/>
      <c r="Q291" s="59"/>
      <c r="R291" s="54"/>
      <c r="S291" s="55"/>
    </row>
    <row r="292" spans="11:19" x14ac:dyDescent="0.25">
      <c r="K292" s="58"/>
      <c r="L292" s="59"/>
      <c r="M292" s="54"/>
      <c r="N292" s="55"/>
      <c r="P292" s="58"/>
      <c r="Q292" s="59"/>
      <c r="R292" s="54"/>
      <c r="S292" s="55"/>
    </row>
    <row r="293" spans="11:19" x14ac:dyDescent="0.25">
      <c r="K293" s="58"/>
      <c r="L293" s="59"/>
      <c r="M293" s="54"/>
      <c r="N293" s="55"/>
      <c r="P293" s="58"/>
      <c r="Q293" s="59"/>
      <c r="R293" s="54"/>
      <c r="S293" s="55"/>
    </row>
    <row r="294" spans="11:19" x14ac:dyDescent="0.25">
      <c r="K294" s="58"/>
      <c r="L294" s="59"/>
      <c r="M294" s="54"/>
      <c r="N294" s="55"/>
      <c r="P294" s="58"/>
      <c r="Q294" s="59"/>
      <c r="R294" s="54"/>
      <c r="S294" s="55"/>
    </row>
    <row r="295" spans="11:19" x14ac:dyDescent="0.25">
      <c r="K295" s="58"/>
      <c r="L295" s="59"/>
      <c r="M295" s="54"/>
      <c r="N295" s="55"/>
      <c r="P295" s="58"/>
      <c r="Q295" s="59"/>
      <c r="R295" s="54"/>
      <c r="S295" s="55"/>
    </row>
    <row r="296" spans="11:19" x14ac:dyDescent="0.25">
      <c r="K296" s="58"/>
      <c r="L296" s="59"/>
      <c r="M296" s="54"/>
      <c r="N296" s="55"/>
      <c r="P296" s="58"/>
      <c r="Q296" s="59"/>
      <c r="R296" s="54"/>
      <c r="S296" s="55"/>
    </row>
    <row r="297" spans="11:19" x14ac:dyDescent="0.25">
      <c r="K297" s="58"/>
      <c r="L297" s="59"/>
      <c r="M297" s="54"/>
      <c r="N297" s="55"/>
      <c r="P297" s="58"/>
      <c r="Q297" s="59"/>
      <c r="R297" s="54"/>
      <c r="S297" s="55"/>
    </row>
    <row r="298" spans="11:19" x14ac:dyDescent="0.25">
      <c r="K298" s="58"/>
      <c r="L298" s="59"/>
      <c r="M298" s="54"/>
      <c r="N298" s="55"/>
      <c r="P298" s="58"/>
      <c r="Q298" s="59"/>
      <c r="R298" s="54"/>
      <c r="S298" s="55"/>
    </row>
    <row r="299" spans="11:19" x14ac:dyDescent="0.25">
      <c r="K299" s="58"/>
      <c r="L299" s="59"/>
      <c r="M299" s="54"/>
      <c r="N299" s="55"/>
      <c r="P299" s="58"/>
      <c r="Q299" s="59"/>
      <c r="R299" s="54"/>
      <c r="S299" s="55"/>
    </row>
    <row r="300" spans="11:19" x14ac:dyDescent="0.25">
      <c r="K300" s="58"/>
      <c r="L300" s="59"/>
      <c r="M300" s="54"/>
      <c r="N300" s="55"/>
      <c r="P300" s="58"/>
      <c r="Q300" s="59"/>
      <c r="R300" s="54"/>
      <c r="S300" s="55"/>
    </row>
    <row r="301" spans="11:19" x14ac:dyDescent="0.25">
      <c r="K301" s="58"/>
      <c r="L301" s="59"/>
      <c r="M301" s="54"/>
      <c r="N301" s="55"/>
      <c r="P301" s="58"/>
      <c r="Q301" s="59"/>
      <c r="R301" s="54"/>
      <c r="S301" s="55"/>
    </row>
    <row r="302" spans="11:19" x14ac:dyDescent="0.25">
      <c r="K302" s="58"/>
      <c r="L302" s="59"/>
      <c r="M302" s="54"/>
      <c r="N302" s="55"/>
      <c r="P302" s="58"/>
      <c r="Q302" s="59"/>
      <c r="R302" s="54"/>
      <c r="S302" s="55"/>
    </row>
    <row r="303" spans="11:19" x14ac:dyDescent="0.25">
      <c r="K303" s="58"/>
      <c r="L303" s="59"/>
      <c r="M303" s="54"/>
      <c r="N303" s="55"/>
      <c r="P303" s="58"/>
      <c r="Q303" s="59"/>
      <c r="R303" s="54"/>
      <c r="S303" s="55"/>
    </row>
    <row r="304" spans="11:19" x14ac:dyDescent="0.25">
      <c r="K304" s="58"/>
      <c r="L304" s="59"/>
      <c r="M304" s="54"/>
      <c r="N304" s="55"/>
      <c r="P304" s="58"/>
      <c r="Q304" s="59"/>
      <c r="R304" s="54"/>
      <c r="S304" s="55"/>
    </row>
    <row r="305" spans="11:19" x14ac:dyDescent="0.25">
      <c r="K305" s="58"/>
      <c r="L305" s="59"/>
      <c r="M305" s="54"/>
      <c r="N305" s="55"/>
      <c r="P305" s="58"/>
      <c r="Q305" s="59"/>
      <c r="R305" s="54"/>
      <c r="S305" s="55"/>
    </row>
    <row r="306" spans="11:19" x14ac:dyDescent="0.25">
      <c r="K306" s="58"/>
      <c r="L306" s="59"/>
      <c r="M306" s="54"/>
      <c r="N306" s="55"/>
      <c r="P306" s="58"/>
      <c r="Q306" s="59"/>
      <c r="R306" s="54"/>
      <c r="S306" s="55"/>
    </row>
    <row r="307" spans="11:19" x14ac:dyDescent="0.25">
      <c r="K307" s="58"/>
      <c r="L307" s="59"/>
      <c r="M307" s="54"/>
      <c r="N307" s="55"/>
      <c r="P307" s="58"/>
      <c r="Q307" s="59"/>
      <c r="R307" s="54"/>
      <c r="S307" s="55"/>
    </row>
    <row r="308" spans="11:19" x14ac:dyDescent="0.25">
      <c r="K308" s="58"/>
      <c r="L308" s="59"/>
      <c r="M308" s="54"/>
      <c r="N308" s="55"/>
      <c r="P308" s="58"/>
      <c r="Q308" s="59"/>
      <c r="R308" s="54"/>
      <c r="S308" s="55"/>
    </row>
    <row r="309" spans="11:19" x14ac:dyDescent="0.25">
      <c r="K309" s="58"/>
      <c r="L309" s="59"/>
      <c r="M309" s="54"/>
      <c r="N309" s="55"/>
      <c r="P309" s="58"/>
      <c r="Q309" s="59"/>
      <c r="R309" s="54"/>
      <c r="S309" s="55"/>
    </row>
    <row r="310" spans="11:19" x14ac:dyDescent="0.25">
      <c r="K310" s="58"/>
      <c r="L310" s="59"/>
      <c r="M310" s="54"/>
      <c r="N310" s="55"/>
      <c r="P310" s="58"/>
      <c r="Q310" s="59"/>
      <c r="R310" s="54"/>
      <c r="S310" s="55"/>
    </row>
    <row r="311" spans="11:19" x14ac:dyDescent="0.25">
      <c r="K311" s="58"/>
      <c r="L311" s="59"/>
      <c r="M311" s="54"/>
      <c r="N311" s="55"/>
      <c r="P311" s="58"/>
      <c r="Q311" s="59"/>
      <c r="R311" s="54"/>
      <c r="S311" s="55"/>
    </row>
    <row r="312" spans="11:19" x14ac:dyDescent="0.25">
      <c r="K312" s="58"/>
      <c r="L312" s="59"/>
      <c r="M312" s="54"/>
      <c r="N312" s="55"/>
      <c r="P312" s="58"/>
      <c r="Q312" s="59"/>
      <c r="R312" s="54"/>
      <c r="S312" s="55"/>
    </row>
    <row r="313" spans="11:19" x14ac:dyDescent="0.25">
      <c r="K313" s="58"/>
      <c r="L313" s="59"/>
      <c r="M313" s="54"/>
      <c r="N313" s="55"/>
      <c r="P313" s="58"/>
      <c r="Q313" s="59"/>
      <c r="R313" s="54"/>
      <c r="S313" s="55"/>
    </row>
    <row r="314" spans="11:19" x14ac:dyDescent="0.25">
      <c r="K314" s="58"/>
      <c r="L314" s="59"/>
      <c r="M314" s="54"/>
      <c r="N314" s="55"/>
      <c r="P314" s="58"/>
      <c r="Q314" s="59"/>
      <c r="R314" s="54"/>
      <c r="S314" s="55"/>
    </row>
    <row r="315" spans="11:19" x14ac:dyDescent="0.25">
      <c r="K315" s="58"/>
      <c r="L315" s="59"/>
      <c r="M315" s="54"/>
      <c r="N315" s="55"/>
      <c r="P315" s="58"/>
      <c r="Q315" s="59"/>
      <c r="R315" s="54"/>
      <c r="S315" s="55"/>
    </row>
    <row r="316" spans="11:19" x14ac:dyDescent="0.25">
      <c r="K316" s="58"/>
      <c r="L316" s="59"/>
      <c r="M316" s="54"/>
      <c r="N316" s="55"/>
      <c r="P316" s="58"/>
      <c r="Q316" s="59"/>
      <c r="R316" s="54"/>
      <c r="S316" s="55"/>
    </row>
    <row r="317" spans="11:19" x14ac:dyDescent="0.25">
      <c r="K317" s="58"/>
      <c r="L317" s="59"/>
      <c r="M317" s="54"/>
      <c r="N317" s="55"/>
      <c r="P317" s="58"/>
      <c r="Q317" s="59"/>
      <c r="R317" s="54"/>
      <c r="S317" s="55"/>
    </row>
    <row r="318" spans="11:19" x14ac:dyDescent="0.25">
      <c r="K318" s="58"/>
      <c r="L318" s="59"/>
      <c r="M318" s="54"/>
      <c r="N318" s="55"/>
      <c r="P318" s="58"/>
      <c r="Q318" s="59"/>
      <c r="R318" s="54"/>
      <c r="S318" s="55"/>
    </row>
    <row r="319" spans="11:19" x14ac:dyDescent="0.25">
      <c r="K319" s="58"/>
      <c r="L319" s="59"/>
      <c r="M319" s="54"/>
      <c r="N319" s="55"/>
      <c r="P319" s="58"/>
      <c r="Q319" s="59"/>
      <c r="R319" s="54"/>
      <c r="S319" s="55"/>
    </row>
    <row r="320" spans="11:19" x14ac:dyDescent="0.25">
      <c r="K320" s="58"/>
      <c r="L320" s="59"/>
      <c r="M320" s="54"/>
      <c r="N320" s="55"/>
      <c r="P320" s="58"/>
      <c r="Q320" s="59"/>
      <c r="R320" s="54"/>
      <c r="S320" s="55"/>
    </row>
    <row r="321" spans="11:19" x14ac:dyDescent="0.25">
      <c r="K321" s="58"/>
      <c r="L321" s="59"/>
      <c r="M321" s="54"/>
      <c r="N321" s="55"/>
      <c r="P321" s="58"/>
      <c r="Q321" s="59"/>
      <c r="R321" s="54"/>
      <c r="S321" s="55"/>
    </row>
    <row r="322" spans="11:19" x14ac:dyDescent="0.25">
      <c r="K322" s="58"/>
      <c r="L322" s="59"/>
      <c r="M322" s="54"/>
      <c r="N322" s="55"/>
      <c r="P322" s="58"/>
      <c r="Q322" s="59"/>
      <c r="R322" s="54"/>
      <c r="S322" s="55"/>
    </row>
    <row r="323" spans="11:19" x14ac:dyDescent="0.25">
      <c r="K323" s="58"/>
      <c r="L323" s="59"/>
      <c r="M323" s="54"/>
      <c r="N323" s="55"/>
      <c r="P323" s="58"/>
      <c r="Q323" s="59"/>
      <c r="R323" s="54"/>
      <c r="S323" s="55"/>
    </row>
    <row r="324" spans="11:19" x14ac:dyDescent="0.25">
      <c r="K324" s="58"/>
      <c r="L324" s="59"/>
      <c r="M324" s="54"/>
      <c r="N324" s="55"/>
      <c r="P324" s="58"/>
      <c r="Q324" s="59"/>
      <c r="R324" s="54"/>
      <c r="S324" s="55"/>
    </row>
    <row r="325" spans="11:19" x14ac:dyDescent="0.25">
      <c r="K325" s="58"/>
      <c r="L325" s="59"/>
      <c r="M325" s="54"/>
      <c r="N325" s="55"/>
      <c r="P325" s="58"/>
      <c r="Q325" s="59"/>
      <c r="R325" s="54"/>
      <c r="S325" s="55"/>
    </row>
    <row r="326" spans="11:19" x14ac:dyDescent="0.25">
      <c r="K326" s="58"/>
      <c r="L326" s="59"/>
      <c r="M326" s="54"/>
      <c r="N326" s="55"/>
      <c r="P326" s="58"/>
      <c r="Q326" s="59"/>
      <c r="R326" s="54"/>
      <c r="S326" s="55"/>
    </row>
    <row r="327" spans="11:19" x14ac:dyDescent="0.25">
      <c r="K327" s="58"/>
      <c r="L327" s="59"/>
      <c r="M327" s="54"/>
      <c r="N327" s="55"/>
      <c r="P327" s="58"/>
      <c r="Q327" s="59"/>
      <c r="R327" s="54"/>
      <c r="S327" s="55"/>
    </row>
    <row r="328" spans="11:19" x14ac:dyDescent="0.25">
      <c r="K328" s="58"/>
      <c r="L328" s="59"/>
      <c r="M328" s="54"/>
      <c r="N328" s="55"/>
      <c r="P328" s="58"/>
      <c r="Q328" s="59"/>
      <c r="R328" s="54"/>
      <c r="S328" s="55"/>
    </row>
    <row r="329" spans="11:19" x14ac:dyDescent="0.25">
      <c r="K329" s="58"/>
      <c r="L329" s="59"/>
      <c r="M329" s="54"/>
      <c r="N329" s="55"/>
      <c r="P329" s="58"/>
      <c r="Q329" s="59"/>
      <c r="R329" s="54"/>
      <c r="S329" s="55"/>
    </row>
    <row r="330" spans="11:19" x14ac:dyDescent="0.25">
      <c r="K330" s="58"/>
      <c r="L330" s="59"/>
      <c r="M330" s="54"/>
      <c r="N330" s="55"/>
      <c r="P330" s="58"/>
      <c r="Q330" s="59"/>
      <c r="R330" s="54"/>
      <c r="S330" s="55"/>
    </row>
    <row r="331" spans="11:19" x14ac:dyDescent="0.25">
      <c r="K331" s="58"/>
      <c r="L331" s="59"/>
      <c r="M331" s="54"/>
      <c r="N331" s="55"/>
      <c r="P331" s="58"/>
      <c r="Q331" s="59"/>
      <c r="R331" s="54"/>
      <c r="S331" s="55"/>
    </row>
    <row r="332" spans="11:19" x14ac:dyDescent="0.25">
      <c r="K332" s="58"/>
      <c r="L332" s="59"/>
      <c r="M332" s="54"/>
      <c r="N332" s="55"/>
      <c r="P332" s="58"/>
      <c r="Q332" s="59"/>
      <c r="R332" s="54"/>
      <c r="S332" s="55"/>
    </row>
    <row r="333" spans="11:19" x14ac:dyDescent="0.25">
      <c r="K333" s="58"/>
      <c r="L333" s="59"/>
      <c r="M333" s="54"/>
      <c r="N333" s="55"/>
      <c r="P333" s="58"/>
      <c r="Q333" s="59"/>
      <c r="R333" s="54"/>
      <c r="S333" s="55"/>
    </row>
    <row r="334" spans="11:19" x14ac:dyDescent="0.25">
      <c r="K334" s="58"/>
      <c r="L334" s="59"/>
      <c r="M334" s="54"/>
      <c r="N334" s="55"/>
      <c r="P334" s="58"/>
      <c r="Q334" s="59"/>
      <c r="R334" s="54"/>
      <c r="S334" s="55"/>
    </row>
    <row r="335" spans="11:19" x14ac:dyDescent="0.25">
      <c r="K335" s="58"/>
      <c r="L335" s="59"/>
      <c r="M335" s="54"/>
      <c r="N335" s="55"/>
      <c r="P335" s="58"/>
      <c r="Q335" s="59"/>
      <c r="R335" s="54"/>
      <c r="S335" s="55"/>
    </row>
    <row r="336" spans="11:19" x14ac:dyDescent="0.25">
      <c r="K336" s="58"/>
      <c r="L336" s="59"/>
      <c r="M336" s="54"/>
      <c r="N336" s="55"/>
      <c r="P336" s="58"/>
      <c r="Q336" s="59"/>
      <c r="R336" s="54"/>
      <c r="S336" s="55"/>
    </row>
    <row r="337" spans="11:19" x14ac:dyDescent="0.25">
      <c r="K337" s="58"/>
      <c r="L337" s="59"/>
      <c r="M337" s="54"/>
      <c r="N337" s="55"/>
      <c r="P337" s="58"/>
      <c r="Q337" s="59"/>
      <c r="R337" s="54"/>
      <c r="S337" s="55"/>
    </row>
    <row r="338" spans="11:19" x14ac:dyDescent="0.25">
      <c r="K338" s="58"/>
      <c r="L338" s="59"/>
      <c r="M338" s="54"/>
      <c r="N338" s="55"/>
      <c r="P338" s="58"/>
      <c r="Q338" s="59"/>
      <c r="R338" s="54"/>
      <c r="S338" s="55"/>
    </row>
    <row r="339" spans="11:19" x14ac:dyDescent="0.25">
      <c r="K339" s="58"/>
      <c r="L339" s="59"/>
      <c r="M339" s="54"/>
      <c r="N339" s="55"/>
      <c r="P339" s="58"/>
      <c r="Q339" s="59"/>
      <c r="R339" s="54"/>
      <c r="S339" s="55"/>
    </row>
    <row r="340" spans="11:19" x14ac:dyDescent="0.25">
      <c r="K340" s="58"/>
      <c r="L340" s="59"/>
      <c r="M340" s="54"/>
      <c r="N340" s="55"/>
      <c r="P340" s="58"/>
      <c r="Q340" s="59"/>
      <c r="R340" s="54"/>
      <c r="S340" s="55"/>
    </row>
    <row r="341" spans="11:19" x14ac:dyDescent="0.25">
      <c r="K341" s="58"/>
      <c r="L341" s="59"/>
      <c r="M341" s="54"/>
      <c r="N341" s="55"/>
      <c r="P341" s="58"/>
      <c r="Q341" s="59"/>
      <c r="R341" s="54"/>
      <c r="S341" s="55"/>
    </row>
    <row r="342" spans="11:19" x14ac:dyDescent="0.25">
      <c r="K342" s="58"/>
      <c r="L342" s="59"/>
      <c r="M342" s="54"/>
      <c r="N342" s="55"/>
      <c r="P342" s="58"/>
      <c r="Q342" s="59"/>
      <c r="R342" s="54"/>
      <c r="S342" s="55"/>
    </row>
    <row r="343" spans="11:19" x14ac:dyDescent="0.25">
      <c r="K343" s="58"/>
      <c r="L343" s="59"/>
      <c r="M343" s="54"/>
      <c r="N343" s="55"/>
      <c r="P343" s="58"/>
      <c r="Q343" s="59"/>
      <c r="R343" s="54"/>
      <c r="S343" s="55"/>
    </row>
    <row r="344" spans="11:19" x14ac:dyDescent="0.25">
      <c r="K344" s="58"/>
      <c r="L344" s="59"/>
      <c r="M344" s="54"/>
      <c r="N344" s="55"/>
      <c r="P344" s="58"/>
      <c r="Q344" s="59"/>
      <c r="R344" s="54"/>
      <c r="S344" s="55"/>
    </row>
    <row r="345" spans="11:19" x14ac:dyDescent="0.25">
      <c r="K345" s="58"/>
      <c r="L345" s="59"/>
      <c r="M345" s="54"/>
      <c r="N345" s="55"/>
      <c r="P345" s="58"/>
      <c r="Q345" s="59"/>
      <c r="R345" s="54"/>
      <c r="S345" s="55"/>
    </row>
    <row r="346" spans="11:19" x14ac:dyDescent="0.25">
      <c r="K346" s="58"/>
      <c r="L346" s="59"/>
      <c r="M346" s="54"/>
      <c r="N346" s="55"/>
      <c r="P346" s="58"/>
      <c r="Q346" s="59"/>
      <c r="R346" s="54"/>
      <c r="S346" s="55"/>
    </row>
    <row r="347" spans="11:19" x14ac:dyDescent="0.25">
      <c r="K347" s="58"/>
      <c r="L347" s="59"/>
      <c r="M347" s="54"/>
      <c r="N347" s="55"/>
      <c r="P347" s="58"/>
      <c r="Q347" s="59"/>
      <c r="R347" s="54"/>
      <c r="S347" s="55"/>
    </row>
    <row r="348" spans="11:19" ht="15.75" thickBot="1" x14ac:dyDescent="0.3">
      <c r="K348" s="60"/>
      <c r="L348" s="61"/>
      <c r="M348" s="56"/>
      <c r="N348" s="57"/>
      <c r="P348" s="60"/>
      <c r="Q348" s="61"/>
      <c r="R348" s="56"/>
      <c r="S348" s="57"/>
    </row>
  </sheetData>
  <mergeCells count="4">
    <mergeCell ref="A8:D8"/>
    <mergeCell ref="F8:I8"/>
    <mergeCell ref="K8:N8"/>
    <mergeCell ref="P8:S8"/>
  </mergeCells>
  <conditionalFormatting sqref="G3">
    <cfRule type="cellIs" dxfId="89" priority="5" operator="greaterThan">
      <formula>$J$4</formula>
    </cfRule>
  </conditionalFormatting>
  <conditionalFormatting sqref="T5">
    <cfRule type="cellIs" dxfId="88" priority="1" operator="greaterThan">
      <formula>$T$6</formula>
    </cfRule>
    <cfRule type="cellIs" dxfId="87" priority="4" operator="lessThan">
      <formula>$T$6</formula>
    </cfRule>
  </conditionalFormatting>
  <conditionalFormatting sqref="T6">
    <cfRule type="cellIs" dxfId="86" priority="2" operator="greaterThan">
      <formula>$T$5</formula>
    </cfRule>
    <cfRule type="cellIs" dxfId="85" priority="3" operator="lessThan">
      <formula>$T$5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609E95-B499-4560-A205-3EE09C78FF3C}">
  <sheetPr codeName="Sheet35"/>
  <dimension ref="A1:T348"/>
  <sheetViews>
    <sheetView zoomScale="90" zoomScaleNormal="90" workbookViewId="0">
      <pane ySplit="9" topLeftCell="A10" activePane="bottomLeft" state="frozen"/>
      <selection pane="bottomLeft" activeCell="Q5" sqref="Q5"/>
    </sheetView>
  </sheetViews>
  <sheetFormatPr baseColWidth="10" defaultColWidth="9.140625" defaultRowHeight="15" x14ac:dyDescent="0.25"/>
  <cols>
    <col min="2" max="2" width="11.85546875" bestFit="1" customWidth="1"/>
    <col min="3" max="3" width="17.140625" bestFit="1" customWidth="1"/>
    <col min="4" max="4" width="14.5703125" customWidth="1"/>
    <col min="5" max="7" width="14.5703125" bestFit="1" customWidth="1"/>
    <col min="8" max="8" width="18.7109375" bestFit="1" customWidth="1"/>
    <col min="9" max="9" width="16.28515625" bestFit="1" customWidth="1"/>
    <col min="10" max="10" width="14" bestFit="1" customWidth="1"/>
    <col min="12" max="12" width="11.85546875" bestFit="1" customWidth="1"/>
    <col min="13" max="13" width="17.140625" bestFit="1" customWidth="1"/>
    <col min="14" max="14" width="14.42578125" bestFit="1" customWidth="1"/>
    <col min="15" max="15" width="8.7109375" customWidth="1"/>
    <col min="17" max="17" width="14.85546875" bestFit="1" customWidth="1"/>
    <col min="18" max="18" width="17.140625" bestFit="1" customWidth="1"/>
    <col min="19" max="19" width="14.85546875" bestFit="1" customWidth="1"/>
    <col min="20" max="20" width="12.42578125" bestFit="1" customWidth="1"/>
    <col min="22" max="23" width="14.5703125" bestFit="1" customWidth="1"/>
    <col min="24" max="24" width="15.85546875" bestFit="1" customWidth="1"/>
    <col min="26" max="26" width="15.85546875" bestFit="1" customWidth="1"/>
  </cols>
  <sheetData>
    <row r="1" spans="1:20" ht="15.75" thickBot="1" x14ac:dyDescent="0.3">
      <c r="C1" s="1" t="s">
        <v>0</v>
      </c>
      <c r="D1" s="2" t="s">
        <v>1</v>
      </c>
      <c r="E1" s="1" t="s">
        <v>2</v>
      </c>
      <c r="F1" s="2" t="s">
        <v>3</v>
      </c>
      <c r="G1" s="63" t="s">
        <v>4</v>
      </c>
      <c r="H1" s="81" t="s">
        <v>24</v>
      </c>
      <c r="I1" s="66" t="s">
        <v>5</v>
      </c>
      <c r="J1" s="3">
        <v>368</v>
      </c>
      <c r="M1" s="1" t="s">
        <v>5</v>
      </c>
      <c r="N1" s="4" t="s">
        <v>6</v>
      </c>
      <c r="P1" t="s">
        <v>0</v>
      </c>
      <c r="Q1">
        <f>SUM(E10:E54)</f>
        <v>6</v>
      </c>
      <c r="R1" t="s">
        <v>2</v>
      </c>
      <c r="S1">
        <f>(M3/M2)*Q1</f>
        <v>4</v>
      </c>
      <c r="T1">
        <f>S1-3</f>
        <v>1</v>
      </c>
    </row>
    <row r="2" spans="1:20" ht="15.75" thickBot="1" x14ac:dyDescent="0.3">
      <c r="B2" s="5" t="s">
        <v>7</v>
      </c>
      <c r="C2" s="6">
        <f>SUMPRODUCT(C10:C118,E10:E118)</f>
        <v>3985081</v>
      </c>
      <c r="D2" s="7">
        <f>SUMPRODUCT(H10:H118,J10:J118)</f>
        <v>0</v>
      </c>
      <c r="E2" s="6">
        <f>SUMPRODUCT(M10:M348,O10:O348)</f>
        <v>3221235</v>
      </c>
      <c r="F2" s="7">
        <f>SUMPRODUCT(R10:R348,T10:T348)</f>
        <v>0</v>
      </c>
      <c r="G2" s="64">
        <f>C2+D2+E2+F2</f>
        <v>7206316</v>
      </c>
      <c r="H2" s="82">
        <v>24786935</v>
      </c>
      <c r="I2" s="67" t="s">
        <v>6</v>
      </c>
      <c r="J2" s="8">
        <v>334</v>
      </c>
      <c r="L2" s="5" t="s">
        <v>8</v>
      </c>
      <c r="M2" s="9">
        <v>0.6</v>
      </c>
      <c r="N2" s="10">
        <v>0.25</v>
      </c>
      <c r="P2" t="s">
        <v>3</v>
      </c>
      <c r="Q2">
        <f>SUM(T10:T64)</f>
        <v>0</v>
      </c>
      <c r="R2" t="s">
        <v>1</v>
      </c>
      <c r="S2">
        <f>(N2/N3)*Q2</f>
        <v>0</v>
      </c>
    </row>
    <row r="3" spans="1:20" ht="15.75" thickBot="1" x14ac:dyDescent="0.3">
      <c r="B3" s="11" t="s">
        <v>9</v>
      </c>
      <c r="C3" s="12">
        <f>SUMPRODUCT(B10:B118,E10:E118)</f>
        <v>181.95652173913044</v>
      </c>
      <c r="D3" s="13">
        <f>SUMPRODUCT(G10:G118,J10:J118)</f>
        <v>0</v>
      </c>
      <c r="E3" s="12">
        <f>SUMPRODUCT(L10:L348,O10:O348)</f>
        <v>121.30434782608695</v>
      </c>
      <c r="F3" s="13">
        <f>SUMPRODUCT(Q10:Q348,T10:T348)</f>
        <v>0</v>
      </c>
      <c r="G3" s="65">
        <f>SUM(C3:F3)</f>
        <v>303.26086956521738</v>
      </c>
      <c r="H3" s="80">
        <f>(H2-G2)/G2</f>
        <v>2.4396125565406792</v>
      </c>
      <c r="I3" s="67" t="s">
        <v>10</v>
      </c>
      <c r="J3" s="8">
        <f>11160</f>
        <v>11160</v>
      </c>
      <c r="L3" s="14" t="s">
        <v>11</v>
      </c>
      <c r="M3" s="15">
        <v>0.4</v>
      </c>
      <c r="N3" s="16">
        <v>0.75</v>
      </c>
      <c r="P3" t="s">
        <v>0</v>
      </c>
      <c r="Q3">
        <v>1</v>
      </c>
      <c r="R3" t="s">
        <v>2</v>
      </c>
      <c r="S3">
        <f>(M3/M2)*Q3</f>
        <v>0.66666666666666674</v>
      </c>
    </row>
    <row r="4" spans="1:20" ht="15.75" thickBot="1" x14ac:dyDescent="0.3">
      <c r="B4" s="14" t="s">
        <v>12</v>
      </c>
      <c r="C4" s="17">
        <f>SUM(E10:E118)*J3</f>
        <v>66960</v>
      </c>
      <c r="D4" s="18">
        <f>SUM(J10:J118)*J3</f>
        <v>0</v>
      </c>
      <c r="E4" s="17">
        <f>SUM(O10:O348)*J3</f>
        <v>44640</v>
      </c>
      <c r="F4" s="18">
        <f>SUM(T10:T348)*J3</f>
        <v>0</v>
      </c>
      <c r="G4" s="19">
        <f>SUM(C4:F4)</f>
        <v>111600</v>
      </c>
      <c r="H4" s="20"/>
      <c r="I4" s="21" t="s">
        <v>13</v>
      </c>
      <c r="J4" s="22">
        <v>100000</v>
      </c>
      <c r="L4" s="5" t="s">
        <v>14</v>
      </c>
      <c r="M4" s="76">
        <f>C4/(C4+E4)</f>
        <v>0.6</v>
      </c>
      <c r="N4" s="77" t="e">
        <f>D4/(D4+F4)</f>
        <v>#DIV/0!</v>
      </c>
      <c r="O4" s="23"/>
      <c r="P4" t="s">
        <v>3</v>
      </c>
      <c r="Q4">
        <v>1</v>
      </c>
      <c r="R4" t="s">
        <v>1</v>
      </c>
      <c r="S4">
        <f>(N2/N3)*Q4</f>
        <v>0.33333333333333331</v>
      </c>
    </row>
    <row r="5" spans="1:20" ht="15.75" thickBot="1" x14ac:dyDescent="0.3">
      <c r="B5" s="24" t="s">
        <v>15</v>
      </c>
      <c r="C5" s="25">
        <v>217620</v>
      </c>
      <c r="D5" s="26">
        <v>74400</v>
      </c>
      <c r="E5" s="27">
        <v>145080</v>
      </c>
      <c r="F5" s="26">
        <v>223200</v>
      </c>
      <c r="G5" s="28">
        <f>SUM(C5:F5)</f>
        <v>660300</v>
      </c>
      <c r="H5" s="20"/>
      <c r="I5" s="20"/>
      <c r="L5" s="29" t="s">
        <v>16</v>
      </c>
      <c r="M5" s="78">
        <f>E4/(C4+E4)</f>
        <v>0.4</v>
      </c>
      <c r="N5" s="79" t="e">
        <f>F4/(D4+F4)</f>
        <v>#DIV/0!</v>
      </c>
      <c r="O5" s="23"/>
      <c r="P5" t="s">
        <v>0</v>
      </c>
      <c r="Q5" s="88">
        <v>17934.65806451613</v>
      </c>
      <c r="R5" t="s">
        <v>2</v>
      </c>
      <c r="S5" s="88">
        <v>25223.729032258067</v>
      </c>
      <c r="T5">
        <f>Q5*Q3+S5*S3</f>
        <v>34750.477419354844</v>
      </c>
    </row>
    <row r="6" spans="1:20" ht="15.75" thickBot="1" x14ac:dyDescent="0.3">
      <c r="B6" s="24" t="s">
        <v>17</v>
      </c>
      <c r="C6" s="27">
        <f>C5-C4</f>
        <v>150660</v>
      </c>
      <c r="D6" s="30">
        <f>D5-D4</f>
        <v>74400</v>
      </c>
      <c r="E6" s="27">
        <f>E5-E4</f>
        <v>100440</v>
      </c>
      <c r="F6" s="30">
        <f>F5-F4</f>
        <v>223200</v>
      </c>
      <c r="H6" s="20"/>
      <c r="I6" s="20"/>
      <c r="J6" s="62"/>
      <c r="N6" s="23"/>
      <c r="O6" s="23"/>
      <c r="P6" t="s">
        <v>3</v>
      </c>
      <c r="Q6" s="88">
        <v>24785.014695340502</v>
      </c>
      <c r="R6" t="s">
        <v>1</v>
      </c>
      <c r="S6" s="88">
        <v>25114.615232974909</v>
      </c>
      <c r="T6">
        <f>Q6*Q4+S6*S4</f>
        <v>33156.55310633214</v>
      </c>
    </row>
    <row r="7" spans="1:20" ht="15.75" thickBot="1" x14ac:dyDescent="0.3"/>
    <row r="8" spans="1:20" ht="15.75" thickBot="1" x14ac:dyDescent="0.3">
      <c r="A8" s="113" t="s">
        <v>18</v>
      </c>
      <c r="B8" s="114"/>
      <c r="C8" s="114"/>
      <c r="D8" s="115"/>
      <c r="E8" s="31"/>
      <c r="F8" s="113" t="s">
        <v>19</v>
      </c>
      <c r="G8" s="114"/>
      <c r="H8" s="114"/>
      <c r="I8" s="115"/>
      <c r="J8" s="31"/>
      <c r="K8" s="113" t="s">
        <v>20</v>
      </c>
      <c r="L8" s="114"/>
      <c r="M8" s="114"/>
      <c r="N8" s="115"/>
      <c r="O8" s="31"/>
      <c r="P8" s="113" t="s">
        <v>21</v>
      </c>
      <c r="Q8" s="114"/>
      <c r="R8" s="114"/>
      <c r="S8" s="115"/>
    </row>
    <row r="9" spans="1:20" ht="15.75" thickBot="1" x14ac:dyDescent="0.3">
      <c r="A9" s="32" t="s">
        <v>22</v>
      </c>
      <c r="B9" s="33" t="s">
        <v>9</v>
      </c>
      <c r="C9" s="33" t="s">
        <v>7</v>
      </c>
      <c r="D9" s="34" t="s">
        <v>23</v>
      </c>
      <c r="E9" s="31"/>
      <c r="F9" s="32" t="s">
        <v>22</v>
      </c>
      <c r="G9" s="33" t="s">
        <v>9</v>
      </c>
      <c r="H9" s="33" t="s">
        <v>7</v>
      </c>
      <c r="I9" s="34" t="s">
        <v>23</v>
      </c>
      <c r="J9" s="31"/>
      <c r="K9" s="32" t="s">
        <v>22</v>
      </c>
      <c r="L9" s="33" t="s">
        <v>9</v>
      </c>
      <c r="M9" s="33" t="s">
        <v>7</v>
      </c>
      <c r="N9" s="34" t="s">
        <v>23</v>
      </c>
      <c r="O9" s="31"/>
      <c r="P9" s="35" t="s">
        <v>22</v>
      </c>
      <c r="Q9" s="36" t="s">
        <v>9</v>
      </c>
      <c r="R9" s="36" t="s">
        <v>7</v>
      </c>
      <c r="S9" s="37" t="s">
        <v>23</v>
      </c>
    </row>
    <row r="10" spans="1:20" x14ac:dyDescent="0.25">
      <c r="A10" s="38">
        <v>15</v>
      </c>
      <c r="B10" s="39">
        <f>$J$3/$J$1</f>
        <v>30.326086956521738</v>
      </c>
      <c r="C10" s="40">
        <v>823261</v>
      </c>
      <c r="D10" s="41">
        <f>C10/B10</f>
        <v>27146.957706093192</v>
      </c>
      <c r="E10">
        <v>1</v>
      </c>
      <c r="F10" s="86">
        <v>9</v>
      </c>
      <c r="G10" s="68">
        <f>$J$3/$J$2</f>
        <v>33.41317365269461</v>
      </c>
      <c r="H10" s="87">
        <v>839159</v>
      </c>
      <c r="I10" s="69">
        <f>H10/G10</f>
        <v>25114.615232974909</v>
      </c>
      <c r="K10" s="38">
        <v>99</v>
      </c>
      <c r="L10" s="39">
        <f>$J$3/$J$1</f>
        <v>30.326086956521738</v>
      </c>
      <c r="M10" s="40">
        <v>891762</v>
      </c>
      <c r="N10" s="41">
        <f>M10/L10</f>
        <v>29405.772043010755</v>
      </c>
      <c r="O10">
        <v>1</v>
      </c>
      <c r="P10" s="86">
        <v>31</v>
      </c>
      <c r="Q10" s="68">
        <f>$J$3/$J$2</f>
        <v>33.41317365269461</v>
      </c>
      <c r="R10" s="87">
        <v>828146</v>
      </c>
      <c r="S10" s="69">
        <f>R10/Q10</f>
        <v>24785.014695340502</v>
      </c>
    </row>
    <row r="11" spans="1:20" x14ac:dyDescent="0.25">
      <c r="A11" s="46">
        <v>4</v>
      </c>
      <c r="B11" s="39">
        <f t="shared" ref="B11:B54" si="0">$J$3/$J$1</f>
        <v>30.326086956521738</v>
      </c>
      <c r="C11" s="47">
        <v>748702</v>
      </c>
      <c r="D11" s="41">
        <f t="shared" ref="D11:D54" si="1">C11/B11</f>
        <v>24688.381362007171</v>
      </c>
      <c r="E11">
        <v>1</v>
      </c>
      <c r="F11" s="58">
        <v>1</v>
      </c>
      <c r="G11" s="68">
        <f t="shared" ref="G11:G54" si="2">$J$3/$J$2</f>
        <v>33.41317365269461</v>
      </c>
      <c r="H11" s="54">
        <v>816679</v>
      </c>
      <c r="I11" s="69">
        <f t="shared" ref="I11:I54" si="3">H11/G11</f>
        <v>24441.826702508963</v>
      </c>
      <c r="K11" s="46">
        <v>22</v>
      </c>
      <c r="L11" s="39">
        <f t="shared" ref="L11:L64" si="4">$J$3/$J$1</f>
        <v>30.326086956521738</v>
      </c>
      <c r="M11" s="47">
        <v>787867</v>
      </c>
      <c r="N11" s="41">
        <f t="shared" ref="N11:N64" si="5">M11/L11</f>
        <v>25979.843727598567</v>
      </c>
      <c r="O11">
        <v>1</v>
      </c>
      <c r="P11" s="58">
        <v>95</v>
      </c>
      <c r="Q11" s="68">
        <f t="shared" ref="Q11:Q64" si="6">$J$3/$J$2</f>
        <v>33.41317365269461</v>
      </c>
      <c r="R11" s="54">
        <v>778683</v>
      </c>
      <c r="S11" s="69">
        <f t="shared" ref="S11:S64" si="7">R11/Q11</f>
        <v>23304.670430107526</v>
      </c>
    </row>
    <row r="12" spans="1:20" x14ac:dyDescent="0.25">
      <c r="A12" s="46">
        <v>75</v>
      </c>
      <c r="B12" s="39">
        <f t="shared" si="0"/>
        <v>30.326086956521738</v>
      </c>
      <c r="C12" s="47">
        <v>700923</v>
      </c>
      <c r="D12" s="41">
        <f t="shared" si="1"/>
        <v>23112.873118279571</v>
      </c>
      <c r="E12">
        <v>1</v>
      </c>
      <c r="F12" s="58">
        <v>3</v>
      </c>
      <c r="G12" s="68">
        <f t="shared" si="2"/>
        <v>33.41317365269461</v>
      </c>
      <c r="H12" s="54">
        <v>637399</v>
      </c>
      <c r="I12" s="69">
        <f t="shared" si="3"/>
        <v>19076.278315412186</v>
      </c>
      <c r="K12" s="46">
        <v>83</v>
      </c>
      <c r="L12" s="39">
        <f t="shared" si="4"/>
        <v>30.326086956521738</v>
      </c>
      <c r="M12" s="47">
        <v>776669</v>
      </c>
      <c r="N12" s="41">
        <f t="shared" si="5"/>
        <v>25610.590681003585</v>
      </c>
      <c r="O12">
        <v>1</v>
      </c>
      <c r="P12" s="58">
        <v>32</v>
      </c>
      <c r="Q12" s="68">
        <f t="shared" si="6"/>
        <v>33.41317365269461</v>
      </c>
      <c r="R12" s="54">
        <v>742165</v>
      </c>
      <c r="S12" s="69">
        <f t="shared" si="7"/>
        <v>22211.748207885306</v>
      </c>
    </row>
    <row r="13" spans="1:20" x14ac:dyDescent="0.25">
      <c r="A13" s="46">
        <v>61</v>
      </c>
      <c r="B13" s="39">
        <f t="shared" si="0"/>
        <v>30.326086956521738</v>
      </c>
      <c r="C13" s="47">
        <v>594344</v>
      </c>
      <c r="D13" s="41">
        <f t="shared" si="1"/>
        <v>19598.440143369175</v>
      </c>
      <c r="E13">
        <v>1</v>
      </c>
      <c r="F13" s="58">
        <v>89</v>
      </c>
      <c r="G13" s="68">
        <f t="shared" si="2"/>
        <v>33.41317365269461</v>
      </c>
      <c r="H13" s="54">
        <v>626952</v>
      </c>
      <c r="I13" s="69">
        <f t="shared" si="3"/>
        <v>18763.617204301077</v>
      </c>
      <c r="K13" s="46">
        <v>57</v>
      </c>
      <c r="L13" s="39">
        <f t="shared" si="4"/>
        <v>30.326086956521738</v>
      </c>
      <c r="M13" s="47">
        <v>764937</v>
      </c>
      <c r="N13" s="41">
        <f t="shared" si="5"/>
        <v>25223.729032258067</v>
      </c>
      <c r="O13">
        <v>1</v>
      </c>
      <c r="P13" s="58">
        <v>86</v>
      </c>
      <c r="Q13" s="68">
        <f t="shared" si="6"/>
        <v>33.41317365269461</v>
      </c>
      <c r="R13" s="54">
        <v>708838</v>
      </c>
      <c r="S13" s="69">
        <f t="shared" si="7"/>
        <v>21214.327240143371</v>
      </c>
    </row>
    <row r="14" spans="1:20" x14ac:dyDescent="0.25">
      <c r="A14" s="46">
        <v>2</v>
      </c>
      <c r="B14" s="39">
        <f t="shared" si="0"/>
        <v>30.326086956521738</v>
      </c>
      <c r="C14" s="47">
        <v>573963</v>
      </c>
      <c r="D14" s="41">
        <f t="shared" si="1"/>
        <v>18926.378494623656</v>
      </c>
      <c r="E14">
        <v>1</v>
      </c>
      <c r="F14" s="58">
        <v>74</v>
      </c>
      <c r="G14" s="68">
        <f t="shared" si="2"/>
        <v>33.41317365269461</v>
      </c>
      <c r="H14" s="54">
        <v>528188</v>
      </c>
      <c r="I14" s="69">
        <f t="shared" si="3"/>
        <v>15807.7770609319</v>
      </c>
      <c r="K14" s="58">
        <v>33</v>
      </c>
      <c r="L14" s="68">
        <f t="shared" si="4"/>
        <v>30.326086956521738</v>
      </c>
      <c r="M14" s="54">
        <v>739492</v>
      </c>
      <c r="N14" s="69">
        <f t="shared" si="5"/>
        <v>24384.682437275987</v>
      </c>
      <c r="P14" s="58">
        <v>44</v>
      </c>
      <c r="Q14" s="68">
        <f t="shared" si="6"/>
        <v>33.41317365269461</v>
      </c>
      <c r="R14" s="54">
        <v>644475</v>
      </c>
      <c r="S14" s="69">
        <f t="shared" si="7"/>
        <v>19288.051075268817</v>
      </c>
    </row>
    <row r="15" spans="1:20" x14ac:dyDescent="0.25">
      <c r="A15" s="46">
        <v>66</v>
      </c>
      <c r="B15" s="39">
        <f t="shared" si="0"/>
        <v>30.326086956521738</v>
      </c>
      <c r="C15" s="47">
        <v>543888</v>
      </c>
      <c r="D15" s="41">
        <f t="shared" si="1"/>
        <v>17934.65806451613</v>
      </c>
      <c r="E15">
        <v>1</v>
      </c>
      <c r="F15" s="58">
        <v>7</v>
      </c>
      <c r="G15" s="68">
        <f t="shared" si="2"/>
        <v>33.41317365269461</v>
      </c>
      <c r="H15" s="54">
        <v>517706</v>
      </c>
      <c r="I15" s="69">
        <f t="shared" si="3"/>
        <v>15494.068458781363</v>
      </c>
      <c r="K15" s="58">
        <v>34</v>
      </c>
      <c r="L15" s="68">
        <f t="shared" si="4"/>
        <v>30.326086956521738</v>
      </c>
      <c r="M15" s="54">
        <v>706466</v>
      </c>
      <c r="N15" s="69">
        <f t="shared" si="5"/>
        <v>23295.653046594984</v>
      </c>
      <c r="P15" s="58">
        <v>43</v>
      </c>
      <c r="Q15" s="68">
        <f t="shared" si="6"/>
        <v>33.41317365269461</v>
      </c>
      <c r="R15" s="54">
        <v>600711</v>
      </c>
      <c r="S15" s="69">
        <f t="shared" si="7"/>
        <v>17978.268279569893</v>
      </c>
    </row>
    <row r="16" spans="1:20" x14ac:dyDescent="0.25">
      <c r="A16" s="58">
        <v>9</v>
      </c>
      <c r="B16" s="68">
        <f t="shared" si="0"/>
        <v>30.326086956521738</v>
      </c>
      <c r="C16" s="54">
        <v>458407</v>
      </c>
      <c r="D16" s="69">
        <f t="shared" si="1"/>
        <v>15115.929749103943</v>
      </c>
      <c r="F16" s="58">
        <v>16</v>
      </c>
      <c r="G16" s="68">
        <f t="shared" si="2"/>
        <v>33.41317365269461</v>
      </c>
      <c r="H16" s="54">
        <v>471825</v>
      </c>
      <c r="I16" s="69">
        <f t="shared" si="3"/>
        <v>14120.927419354839</v>
      </c>
      <c r="K16" s="58">
        <v>54</v>
      </c>
      <c r="L16" s="68">
        <f t="shared" si="4"/>
        <v>30.326086956521738</v>
      </c>
      <c r="M16" s="54">
        <v>704680</v>
      </c>
      <c r="N16" s="69">
        <f t="shared" si="5"/>
        <v>23236.759856630826</v>
      </c>
      <c r="P16" s="58">
        <v>54</v>
      </c>
      <c r="Q16" s="68">
        <f t="shared" si="6"/>
        <v>33.41317365269461</v>
      </c>
      <c r="R16" s="54">
        <v>600526</v>
      </c>
      <c r="S16" s="69">
        <f t="shared" si="7"/>
        <v>17972.73154121864</v>
      </c>
    </row>
    <row r="17" spans="1:20" x14ac:dyDescent="0.25">
      <c r="A17" s="58">
        <v>6</v>
      </c>
      <c r="B17" s="68">
        <f t="shared" si="0"/>
        <v>30.326086956521738</v>
      </c>
      <c r="C17" s="54">
        <v>413342</v>
      </c>
      <c r="D17" s="69">
        <f t="shared" si="1"/>
        <v>13629.915412186379</v>
      </c>
      <c r="F17" s="58">
        <v>20</v>
      </c>
      <c r="G17" s="68">
        <f t="shared" si="2"/>
        <v>33.41317365269461</v>
      </c>
      <c r="H17" s="54">
        <v>465526</v>
      </c>
      <c r="I17" s="69">
        <f t="shared" si="3"/>
        <v>13932.408960573477</v>
      </c>
      <c r="K17" s="58">
        <v>46</v>
      </c>
      <c r="L17" s="68">
        <f t="shared" si="4"/>
        <v>30.326086956521738</v>
      </c>
      <c r="M17" s="54">
        <v>647685</v>
      </c>
      <c r="N17" s="69">
        <f t="shared" si="5"/>
        <v>21357.354838709678</v>
      </c>
      <c r="P17" s="58">
        <v>33</v>
      </c>
      <c r="Q17" s="68">
        <f t="shared" si="6"/>
        <v>33.41317365269461</v>
      </c>
      <c r="R17" s="54">
        <v>533105</v>
      </c>
      <c r="S17" s="69">
        <f t="shared" si="7"/>
        <v>15954.934587813621</v>
      </c>
    </row>
    <row r="18" spans="1:20" x14ac:dyDescent="0.25">
      <c r="A18" s="58">
        <v>90</v>
      </c>
      <c r="B18" s="68">
        <f t="shared" si="0"/>
        <v>30.326086956521738</v>
      </c>
      <c r="C18" s="54">
        <v>390167</v>
      </c>
      <c r="D18" s="69">
        <f t="shared" si="1"/>
        <v>12865.721863799283</v>
      </c>
      <c r="F18" s="58">
        <v>71</v>
      </c>
      <c r="G18" s="68">
        <f t="shared" si="2"/>
        <v>33.41317365269461</v>
      </c>
      <c r="H18" s="54">
        <v>459240</v>
      </c>
      <c r="I18" s="69">
        <f t="shared" si="3"/>
        <v>13744.279569892473</v>
      </c>
      <c r="K18" s="58">
        <v>35</v>
      </c>
      <c r="L18" s="68">
        <f t="shared" si="4"/>
        <v>30.326086956521738</v>
      </c>
      <c r="M18" s="54">
        <v>520964</v>
      </c>
      <c r="N18" s="69">
        <f t="shared" si="5"/>
        <v>17178.741218637992</v>
      </c>
      <c r="P18" s="58">
        <v>29</v>
      </c>
      <c r="Q18" s="68">
        <f t="shared" si="6"/>
        <v>33.41317365269461</v>
      </c>
      <c r="R18" s="54">
        <v>466819</v>
      </c>
      <c r="S18" s="69">
        <f t="shared" si="7"/>
        <v>13971.106272401434</v>
      </c>
    </row>
    <row r="19" spans="1:20" x14ac:dyDescent="0.25">
      <c r="A19" s="58">
        <v>10</v>
      </c>
      <c r="B19" s="68">
        <f t="shared" si="0"/>
        <v>30.326086956521738</v>
      </c>
      <c r="C19" s="54">
        <v>374487</v>
      </c>
      <c r="D19" s="69">
        <f t="shared" si="1"/>
        <v>12348.675268817206</v>
      </c>
      <c r="F19" s="58">
        <v>73</v>
      </c>
      <c r="G19" s="68">
        <f t="shared" si="2"/>
        <v>33.41317365269461</v>
      </c>
      <c r="H19" s="54">
        <v>435675</v>
      </c>
      <c r="I19" s="69">
        <f t="shared" si="3"/>
        <v>13039.018817204302</v>
      </c>
      <c r="K19" s="58">
        <v>28</v>
      </c>
      <c r="L19" s="68">
        <f t="shared" si="4"/>
        <v>30.326086956521738</v>
      </c>
      <c r="M19" s="54">
        <v>485282</v>
      </c>
      <c r="N19" s="69">
        <f t="shared" si="5"/>
        <v>16002.130465949822</v>
      </c>
      <c r="P19" s="58">
        <v>39</v>
      </c>
      <c r="Q19" s="68">
        <f t="shared" si="6"/>
        <v>33.41317365269461</v>
      </c>
      <c r="R19" s="54">
        <v>443533</v>
      </c>
      <c r="S19" s="69">
        <f t="shared" si="7"/>
        <v>13274.195519713261</v>
      </c>
    </row>
    <row r="20" spans="1:20" x14ac:dyDescent="0.25">
      <c r="A20" s="58">
        <v>72</v>
      </c>
      <c r="B20" s="68">
        <f t="shared" si="0"/>
        <v>30.326086956521738</v>
      </c>
      <c r="C20" s="54">
        <v>339217</v>
      </c>
      <c r="D20" s="69">
        <f t="shared" si="1"/>
        <v>11185.65017921147</v>
      </c>
      <c r="F20" s="95">
        <v>4</v>
      </c>
      <c r="G20" s="96">
        <f t="shared" si="2"/>
        <v>33.41317365269461</v>
      </c>
      <c r="H20" s="97">
        <v>435251</v>
      </c>
      <c r="I20" s="98">
        <f t="shared" si="3"/>
        <v>13026.329211469534</v>
      </c>
      <c r="J20">
        <v>0</v>
      </c>
      <c r="K20" s="58">
        <v>25</v>
      </c>
      <c r="L20" s="68">
        <f t="shared" si="4"/>
        <v>30.326086956521738</v>
      </c>
      <c r="M20" s="54">
        <v>428682</v>
      </c>
      <c r="N20" s="69">
        <f t="shared" si="5"/>
        <v>14135.750537634409</v>
      </c>
      <c r="P20" s="58">
        <v>85</v>
      </c>
      <c r="Q20" s="68">
        <f t="shared" si="6"/>
        <v>33.41317365269461</v>
      </c>
      <c r="R20" s="54">
        <v>400656</v>
      </c>
      <c r="S20" s="69">
        <f t="shared" si="7"/>
        <v>11990.959139784947</v>
      </c>
    </row>
    <row r="21" spans="1:20" x14ac:dyDescent="0.25">
      <c r="A21" s="58">
        <v>63</v>
      </c>
      <c r="B21" s="68">
        <f t="shared" si="0"/>
        <v>30.326086956521738</v>
      </c>
      <c r="C21" s="54">
        <v>148379</v>
      </c>
      <c r="D21" s="69">
        <f t="shared" si="1"/>
        <v>4892.7842293906815</v>
      </c>
      <c r="F21" s="58">
        <v>58</v>
      </c>
      <c r="G21" s="68">
        <f t="shared" si="2"/>
        <v>33.41317365269461</v>
      </c>
      <c r="H21" s="54">
        <v>425212</v>
      </c>
      <c r="I21" s="69">
        <f t="shared" si="3"/>
        <v>12725.878853046595</v>
      </c>
      <c r="K21" s="58">
        <v>53</v>
      </c>
      <c r="L21" s="68">
        <f t="shared" si="4"/>
        <v>30.326086956521738</v>
      </c>
      <c r="M21" s="54">
        <v>427876</v>
      </c>
      <c r="N21" s="69">
        <f t="shared" si="5"/>
        <v>14109.17275985663</v>
      </c>
      <c r="P21" s="58">
        <v>51</v>
      </c>
      <c r="Q21" s="68">
        <f t="shared" si="6"/>
        <v>33.41317365269461</v>
      </c>
      <c r="R21" s="54">
        <v>295735</v>
      </c>
      <c r="S21" s="69">
        <f t="shared" si="7"/>
        <v>8850.8503584229402</v>
      </c>
    </row>
    <row r="22" spans="1:20" x14ac:dyDescent="0.25">
      <c r="A22" s="58">
        <v>5</v>
      </c>
      <c r="B22" s="68">
        <f t="shared" si="0"/>
        <v>30.326086956521738</v>
      </c>
      <c r="C22" s="54">
        <v>135603</v>
      </c>
      <c r="D22" s="69">
        <f t="shared" si="1"/>
        <v>4471.4967741935488</v>
      </c>
      <c r="F22" s="58">
        <v>69</v>
      </c>
      <c r="G22" s="68">
        <f t="shared" si="2"/>
        <v>33.41317365269461</v>
      </c>
      <c r="H22" s="54">
        <v>301059</v>
      </c>
      <c r="I22" s="69">
        <f t="shared" si="3"/>
        <v>9010.188709677419</v>
      </c>
      <c r="K22" s="58">
        <v>30</v>
      </c>
      <c r="L22" s="68">
        <f t="shared" si="4"/>
        <v>30.326086956521738</v>
      </c>
      <c r="M22" s="54">
        <v>412457</v>
      </c>
      <c r="N22" s="69">
        <f t="shared" si="5"/>
        <v>13600.732616487456</v>
      </c>
      <c r="P22" s="58">
        <v>84</v>
      </c>
      <c r="Q22" s="68">
        <f t="shared" si="6"/>
        <v>33.41317365269461</v>
      </c>
      <c r="R22" s="54">
        <v>277116</v>
      </c>
      <c r="S22" s="69">
        <f t="shared" si="7"/>
        <v>8293.6150537634403</v>
      </c>
    </row>
    <row r="23" spans="1:20" x14ac:dyDescent="0.25">
      <c r="A23" s="58">
        <v>89</v>
      </c>
      <c r="B23" s="68">
        <f t="shared" si="0"/>
        <v>30.326086956521738</v>
      </c>
      <c r="C23" s="54">
        <v>43767</v>
      </c>
      <c r="D23" s="69">
        <f t="shared" si="1"/>
        <v>1443.2129032258065</v>
      </c>
      <c r="F23" s="58">
        <v>91</v>
      </c>
      <c r="G23" s="68">
        <f t="shared" si="2"/>
        <v>33.41317365269461</v>
      </c>
      <c r="H23" s="54">
        <v>248437</v>
      </c>
      <c r="I23" s="69">
        <f t="shared" si="3"/>
        <v>7435.3008960573479</v>
      </c>
      <c r="K23" s="58">
        <v>45</v>
      </c>
      <c r="L23" s="68">
        <f t="shared" si="4"/>
        <v>30.326086956521738</v>
      </c>
      <c r="M23" s="54">
        <v>411553</v>
      </c>
      <c r="N23" s="69">
        <f t="shared" si="5"/>
        <v>13570.923297491039</v>
      </c>
      <c r="P23" s="58">
        <v>100</v>
      </c>
      <c r="Q23" s="68">
        <f t="shared" si="6"/>
        <v>33.41317365269461</v>
      </c>
      <c r="R23" s="54">
        <v>196154</v>
      </c>
      <c r="S23" s="69">
        <f t="shared" si="7"/>
        <v>5870.5587813620077</v>
      </c>
    </row>
    <row r="24" spans="1:20" x14ac:dyDescent="0.25">
      <c r="A24" s="58">
        <v>8</v>
      </c>
      <c r="B24" s="68">
        <f t="shared" si="0"/>
        <v>30.326086956521738</v>
      </c>
      <c r="C24" s="54">
        <v>-31569</v>
      </c>
      <c r="D24" s="69">
        <f t="shared" si="1"/>
        <v>-1040.9849462365592</v>
      </c>
      <c r="F24" s="95">
        <v>75</v>
      </c>
      <c r="G24" s="96">
        <f t="shared" si="2"/>
        <v>33.41317365269461</v>
      </c>
      <c r="H24" s="97">
        <v>241104</v>
      </c>
      <c r="I24" s="98">
        <f t="shared" si="3"/>
        <v>7215.8365591397851</v>
      </c>
      <c r="J24">
        <v>0</v>
      </c>
      <c r="K24" s="58">
        <v>43</v>
      </c>
      <c r="L24" s="68">
        <f t="shared" si="4"/>
        <v>30.326086956521738</v>
      </c>
      <c r="M24" s="54">
        <v>287718</v>
      </c>
      <c r="N24" s="69">
        <f t="shared" si="5"/>
        <v>9487.4752688172048</v>
      </c>
      <c r="P24" s="58">
        <v>56</v>
      </c>
      <c r="Q24" s="68">
        <f t="shared" si="6"/>
        <v>33.41317365269461</v>
      </c>
      <c r="R24" s="54">
        <v>175558</v>
      </c>
      <c r="S24" s="69">
        <f t="shared" si="7"/>
        <v>5254.1551971326162</v>
      </c>
    </row>
    <row r="25" spans="1:20" x14ac:dyDescent="0.25">
      <c r="A25" s="58">
        <v>62</v>
      </c>
      <c r="B25" s="68">
        <f t="shared" si="0"/>
        <v>30.326086956521738</v>
      </c>
      <c r="C25" s="54">
        <v>-50310</v>
      </c>
      <c r="D25" s="69">
        <f t="shared" si="1"/>
        <v>-1658.9677419354839</v>
      </c>
      <c r="F25" s="58">
        <v>21</v>
      </c>
      <c r="G25" s="68">
        <f t="shared" si="2"/>
        <v>33.41317365269461</v>
      </c>
      <c r="H25" s="54">
        <v>182068</v>
      </c>
      <c r="I25" s="69">
        <f t="shared" si="3"/>
        <v>5448.9885304659501</v>
      </c>
      <c r="K25" s="58">
        <v>47</v>
      </c>
      <c r="L25" s="68">
        <f t="shared" si="4"/>
        <v>30.326086956521738</v>
      </c>
      <c r="M25" s="54">
        <v>244892</v>
      </c>
      <c r="N25" s="69">
        <f t="shared" si="5"/>
        <v>8075.2917562724015</v>
      </c>
      <c r="P25" s="58">
        <v>24</v>
      </c>
      <c r="Q25" s="68">
        <f t="shared" si="6"/>
        <v>33.41317365269461</v>
      </c>
      <c r="R25" s="54">
        <v>71007</v>
      </c>
      <c r="S25" s="69">
        <f t="shared" si="7"/>
        <v>2125.1198924731184</v>
      </c>
    </row>
    <row r="26" spans="1:20" x14ac:dyDescent="0.25">
      <c r="A26" s="58">
        <v>20</v>
      </c>
      <c r="B26" s="68">
        <f t="shared" si="0"/>
        <v>30.326086956521738</v>
      </c>
      <c r="C26" s="54">
        <v>-55320</v>
      </c>
      <c r="D26" s="69">
        <f t="shared" si="1"/>
        <v>-1824.1720430107528</v>
      </c>
      <c r="F26" s="58">
        <v>59</v>
      </c>
      <c r="G26" s="68">
        <f t="shared" si="2"/>
        <v>33.41317365269461</v>
      </c>
      <c r="H26" s="54">
        <v>167225</v>
      </c>
      <c r="I26" s="69">
        <f t="shared" si="3"/>
        <v>5004.7625448028675</v>
      </c>
      <c r="K26" s="58">
        <v>27</v>
      </c>
      <c r="L26" s="68">
        <f t="shared" si="4"/>
        <v>30.326086956521738</v>
      </c>
      <c r="M26" s="54">
        <v>217246</v>
      </c>
      <c r="N26" s="69">
        <f t="shared" si="5"/>
        <v>7163.6673835125448</v>
      </c>
      <c r="P26" s="58">
        <v>94</v>
      </c>
      <c r="Q26" s="68">
        <f t="shared" si="6"/>
        <v>33.41317365269461</v>
      </c>
      <c r="R26" s="54">
        <v>48569</v>
      </c>
      <c r="S26" s="69">
        <f t="shared" si="7"/>
        <v>1453.5883512544804</v>
      </c>
    </row>
    <row r="27" spans="1:20" x14ac:dyDescent="0.25">
      <c r="A27" s="58">
        <v>14</v>
      </c>
      <c r="B27" s="68">
        <f t="shared" si="0"/>
        <v>30.326086956521738</v>
      </c>
      <c r="C27" s="54">
        <v>-99929</v>
      </c>
      <c r="D27" s="69">
        <f t="shared" si="1"/>
        <v>-3295.1498207885306</v>
      </c>
      <c r="F27" s="58">
        <v>63</v>
      </c>
      <c r="G27" s="68">
        <f t="shared" si="2"/>
        <v>33.41317365269461</v>
      </c>
      <c r="H27" s="54">
        <v>-59023</v>
      </c>
      <c r="I27" s="69">
        <f t="shared" si="3"/>
        <v>-1766.4589605734768</v>
      </c>
      <c r="K27" s="58">
        <v>98</v>
      </c>
      <c r="L27" s="68">
        <f t="shared" si="4"/>
        <v>30.326086956521738</v>
      </c>
      <c r="M27" s="54">
        <v>186371</v>
      </c>
      <c r="N27" s="69">
        <f t="shared" si="5"/>
        <v>6145.5670250896055</v>
      </c>
      <c r="P27" s="58">
        <v>98</v>
      </c>
      <c r="Q27" s="68">
        <f t="shared" si="6"/>
        <v>33.41317365269461</v>
      </c>
      <c r="R27" s="54">
        <v>42432</v>
      </c>
      <c r="S27" s="69">
        <f t="shared" si="7"/>
        <v>1269.9182795698925</v>
      </c>
    </row>
    <row r="28" spans="1:20" x14ac:dyDescent="0.25">
      <c r="A28" s="58">
        <v>59</v>
      </c>
      <c r="B28" s="68">
        <f t="shared" si="0"/>
        <v>30.326086956521738</v>
      </c>
      <c r="C28" s="54">
        <v>-120499</v>
      </c>
      <c r="D28" s="69">
        <f t="shared" si="1"/>
        <v>-3973.4437275985665</v>
      </c>
      <c r="F28" s="58">
        <v>70</v>
      </c>
      <c r="G28" s="68">
        <f t="shared" si="2"/>
        <v>33.41317365269461</v>
      </c>
      <c r="H28" s="54">
        <v>-82956</v>
      </c>
      <c r="I28" s="69">
        <f t="shared" si="3"/>
        <v>-2482.7333333333336</v>
      </c>
      <c r="K28" s="58">
        <v>82</v>
      </c>
      <c r="L28" s="68">
        <f t="shared" si="4"/>
        <v>30.326086956521738</v>
      </c>
      <c r="M28" s="54">
        <v>157735</v>
      </c>
      <c r="N28" s="69">
        <f t="shared" si="5"/>
        <v>5201.2974910394269</v>
      </c>
      <c r="P28" s="58">
        <v>79</v>
      </c>
      <c r="Q28" s="68">
        <f t="shared" si="6"/>
        <v>33.41317365269461</v>
      </c>
      <c r="R28" s="54">
        <v>-17472</v>
      </c>
      <c r="S28" s="69">
        <f t="shared" si="7"/>
        <v>-522.9075268817204</v>
      </c>
    </row>
    <row r="29" spans="1:20" x14ac:dyDescent="0.25">
      <c r="A29" s="58">
        <v>11</v>
      </c>
      <c r="B29" s="68">
        <f t="shared" si="0"/>
        <v>30.326086956521738</v>
      </c>
      <c r="C29" s="54">
        <v>-150180</v>
      </c>
      <c r="D29" s="69">
        <f t="shared" si="1"/>
        <v>-4952.1720430107525</v>
      </c>
      <c r="F29" s="58">
        <v>64</v>
      </c>
      <c r="G29" s="68">
        <f t="shared" si="2"/>
        <v>33.41317365269461</v>
      </c>
      <c r="H29" s="54">
        <v>-163863</v>
      </c>
      <c r="I29" s="69">
        <f t="shared" si="3"/>
        <v>-4904.1435483870973</v>
      </c>
      <c r="K29" s="58">
        <v>39</v>
      </c>
      <c r="L29" s="68">
        <f t="shared" si="4"/>
        <v>30.326086956521738</v>
      </c>
      <c r="M29" s="54">
        <v>75371</v>
      </c>
      <c r="N29" s="69">
        <f t="shared" si="5"/>
        <v>2485.3519713261649</v>
      </c>
      <c r="P29" s="58">
        <v>30</v>
      </c>
      <c r="Q29" s="68">
        <f t="shared" si="6"/>
        <v>33.41317365269461</v>
      </c>
      <c r="R29" s="54">
        <v>-18899</v>
      </c>
      <c r="S29" s="69">
        <f t="shared" si="7"/>
        <v>-565.61523297491044</v>
      </c>
    </row>
    <row r="30" spans="1:20" x14ac:dyDescent="0.25">
      <c r="A30" s="58">
        <v>19</v>
      </c>
      <c r="B30" s="68">
        <f t="shared" si="0"/>
        <v>30.326086956521738</v>
      </c>
      <c r="C30" s="54">
        <v>-212225</v>
      </c>
      <c r="D30" s="69">
        <f t="shared" si="1"/>
        <v>-6998.1003584229393</v>
      </c>
      <c r="F30" s="58">
        <v>8</v>
      </c>
      <c r="G30" s="68">
        <f t="shared" si="2"/>
        <v>33.41317365269461</v>
      </c>
      <c r="H30" s="54">
        <v>-187009</v>
      </c>
      <c r="I30" s="69">
        <f t="shared" si="3"/>
        <v>-5596.8643369175625</v>
      </c>
      <c r="K30" s="58">
        <v>79</v>
      </c>
      <c r="L30" s="68">
        <f t="shared" si="4"/>
        <v>30.326086956521738</v>
      </c>
      <c r="M30" s="54">
        <v>42924</v>
      </c>
      <c r="N30" s="69">
        <f t="shared" si="5"/>
        <v>1415.4150537634409</v>
      </c>
      <c r="P30" s="95">
        <v>99</v>
      </c>
      <c r="Q30" s="96">
        <f t="shared" si="6"/>
        <v>33.41317365269461</v>
      </c>
      <c r="R30" s="97">
        <v>-53380</v>
      </c>
      <c r="S30" s="98">
        <f t="shared" si="7"/>
        <v>-1597.573476702509</v>
      </c>
      <c r="T30">
        <v>0</v>
      </c>
    </row>
    <row r="31" spans="1:20" x14ac:dyDescent="0.25">
      <c r="A31" s="58">
        <v>7</v>
      </c>
      <c r="B31" s="68">
        <f t="shared" si="0"/>
        <v>30.326086956521738</v>
      </c>
      <c r="C31" s="54">
        <v>-425925</v>
      </c>
      <c r="D31" s="69">
        <f t="shared" si="1"/>
        <v>-14044.83870967742</v>
      </c>
      <c r="F31" s="95">
        <v>61</v>
      </c>
      <c r="G31" s="96">
        <f t="shared" si="2"/>
        <v>33.41317365269461</v>
      </c>
      <c r="H31" s="97">
        <v>-223907</v>
      </c>
      <c r="I31" s="98">
        <f t="shared" si="3"/>
        <v>-6701.159318996416</v>
      </c>
      <c r="J31">
        <v>0</v>
      </c>
      <c r="K31" s="58">
        <v>49</v>
      </c>
      <c r="L31" s="68">
        <f t="shared" si="4"/>
        <v>30.326086956521738</v>
      </c>
      <c r="M31" s="54">
        <v>-35135</v>
      </c>
      <c r="N31" s="69">
        <f t="shared" si="5"/>
        <v>-1158.573476702509</v>
      </c>
      <c r="P31" s="58">
        <v>76</v>
      </c>
      <c r="Q31" s="68">
        <f t="shared" si="6"/>
        <v>33.41317365269461</v>
      </c>
      <c r="R31" s="54">
        <v>-134133</v>
      </c>
      <c r="S31" s="69">
        <f t="shared" si="7"/>
        <v>-4014.3747311827956</v>
      </c>
    </row>
    <row r="32" spans="1:20" x14ac:dyDescent="0.25">
      <c r="A32" s="58">
        <v>88</v>
      </c>
      <c r="B32" s="68">
        <f t="shared" si="0"/>
        <v>30.326086956521738</v>
      </c>
      <c r="C32" s="54">
        <v>-426293</v>
      </c>
      <c r="D32" s="69">
        <f t="shared" si="1"/>
        <v>-14056.973476702509</v>
      </c>
      <c r="F32" s="58">
        <v>92</v>
      </c>
      <c r="G32" s="68">
        <f t="shared" si="2"/>
        <v>33.41317365269461</v>
      </c>
      <c r="H32" s="54">
        <v>-299484</v>
      </c>
      <c r="I32" s="69">
        <f t="shared" si="3"/>
        <v>-8963.0516129032258</v>
      </c>
      <c r="K32" s="58">
        <v>86</v>
      </c>
      <c r="L32" s="68">
        <f t="shared" si="4"/>
        <v>30.326086956521738</v>
      </c>
      <c r="M32" s="54">
        <v>-36114</v>
      </c>
      <c r="N32" s="69">
        <f t="shared" si="5"/>
        <v>-1190.8559139784948</v>
      </c>
      <c r="P32" s="58">
        <v>27</v>
      </c>
      <c r="Q32" s="68">
        <f t="shared" si="6"/>
        <v>33.41317365269461</v>
      </c>
      <c r="R32" s="54">
        <v>-237585</v>
      </c>
      <c r="S32" s="69">
        <f t="shared" si="7"/>
        <v>-7110.5188172043008</v>
      </c>
    </row>
    <row r="33" spans="1:20" x14ac:dyDescent="0.25">
      <c r="A33" s="58">
        <v>1</v>
      </c>
      <c r="B33" s="68">
        <f t="shared" si="0"/>
        <v>30.326086956521738</v>
      </c>
      <c r="C33" s="54">
        <v>-436549</v>
      </c>
      <c r="D33" s="69">
        <f t="shared" si="1"/>
        <v>-14395.164157706093</v>
      </c>
      <c r="F33" s="58">
        <v>93</v>
      </c>
      <c r="G33" s="68">
        <f t="shared" si="2"/>
        <v>33.41317365269461</v>
      </c>
      <c r="H33" s="54">
        <v>-392062</v>
      </c>
      <c r="I33" s="69">
        <f t="shared" si="3"/>
        <v>-11733.755197132617</v>
      </c>
      <c r="K33" s="58">
        <v>95</v>
      </c>
      <c r="L33" s="68">
        <f t="shared" si="4"/>
        <v>30.326086956521738</v>
      </c>
      <c r="M33" s="54">
        <v>-117870</v>
      </c>
      <c r="N33" s="69">
        <f t="shared" si="5"/>
        <v>-3886.7526881720432</v>
      </c>
      <c r="P33" s="58">
        <v>49</v>
      </c>
      <c r="Q33" s="68">
        <f t="shared" si="6"/>
        <v>33.41317365269461</v>
      </c>
      <c r="R33" s="54">
        <v>-320509</v>
      </c>
      <c r="S33" s="69">
        <f t="shared" si="7"/>
        <v>-9592.2944444444438</v>
      </c>
    </row>
    <row r="34" spans="1:20" x14ac:dyDescent="0.25">
      <c r="A34" s="58">
        <v>16</v>
      </c>
      <c r="B34" s="68">
        <f t="shared" si="0"/>
        <v>30.326086956521738</v>
      </c>
      <c r="C34" s="54">
        <v>-516654</v>
      </c>
      <c r="D34" s="69">
        <f t="shared" si="1"/>
        <v>-17036.619354838709</v>
      </c>
      <c r="F34" s="58">
        <v>17</v>
      </c>
      <c r="G34" s="68">
        <f t="shared" si="2"/>
        <v>33.41317365269461</v>
      </c>
      <c r="H34" s="54">
        <v>-421127</v>
      </c>
      <c r="I34" s="69">
        <f t="shared" si="3"/>
        <v>-12603.621684587813</v>
      </c>
      <c r="K34" s="58">
        <v>42</v>
      </c>
      <c r="L34" s="68">
        <f t="shared" si="4"/>
        <v>30.326086956521738</v>
      </c>
      <c r="M34" s="54">
        <v>-137859</v>
      </c>
      <c r="N34" s="69">
        <f t="shared" si="5"/>
        <v>-4545.8881720430109</v>
      </c>
      <c r="P34" s="58">
        <v>47</v>
      </c>
      <c r="Q34" s="68">
        <f t="shared" si="6"/>
        <v>33.41317365269461</v>
      </c>
      <c r="R34" s="54">
        <v>-338573</v>
      </c>
      <c r="S34" s="69">
        <f t="shared" si="7"/>
        <v>-10132.919534050179</v>
      </c>
    </row>
    <row r="35" spans="1:20" x14ac:dyDescent="0.25">
      <c r="A35" s="58">
        <v>73</v>
      </c>
      <c r="B35" s="68">
        <f t="shared" si="0"/>
        <v>30.326086956521738</v>
      </c>
      <c r="C35" s="54">
        <v>-526062</v>
      </c>
      <c r="D35" s="69">
        <f t="shared" si="1"/>
        <v>-17346.847311827958</v>
      </c>
      <c r="F35" s="58">
        <v>5</v>
      </c>
      <c r="G35" s="68">
        <f t="shared" si="2"/>
        <v>33.41317365269461</v>
      </c>
      <c r="H35" s="54">
        <v>-473972</v>
      </c>
      <c r="I35" s="69">
        <f t="shared" si="3"/>
        <v>-14185.183512544803</v>
      </c>
      <c r="K35" s="58">
        <v>50</v>
      </c>
      <c r="L35" s="68">
        <f t="shared" si="4"/>
        <v>30.326086956521738</v>
      </c>
      <c r="M35" s="54">
        <v>-141217</v>
      </c>
      <c r="N35" s="69">
        <f t="shared" si="5"/>
        <v>-4656.6179211469534</v>
      </c>
      <c r="P35" s="58">
        <v>34</v>
      </c>
      <c r="Q35" s="68">
        <f t="shared" si="6"/>
        <v>33.41317365269461</v>
      </c>
      <c r="R35" s="54">
        <v>-343537</v>
      </c>
      <c r="S35" s="69">
        <f t="shared" si="7"/>
        <v>-10281.483691756273</v>
      </c>
    </row>
    <row r="36" spans="1:20" x14ac:dyDescent="0.25">
      <c r="A36" s="58">
        <v>69</v>
      </c>
      <c r="B36" s="68">
        <f t="shared" si="0"/>
        <v>30.326086956521738</v>
      </c>
      <c r="C36" s="54">
        <v>-582190</v>
      </c>
      <c r="D36" s="69">
        <f t="shared" si="1"/>
        <v>-19197.663082437277</v>
      </c>
      <c r="F36" s="58">
        <v>67</v>
      </c>
      <c r="G36" s="68">
        <f t="shared" si="2"/>
        <v>33.41317365269461</v>
      </c>
      <c r="H36" s="54">
        <v>-479440</v>
      </c>
      <c r="I36" s="69">
        <f t="shared" si="3"/>
        <v>-14348.831541218638</v>
      </c>
      <c r="K36" s="58">
        <v>24</v>
      </c>
      <c r="L36" s="68">
        <f t="shared" si="4"/>
        <v>30.326086956521738</v>
      </c>
      <c r="M36" s="54">
        <v>-265494</v>
      </c>
      <c r="N36" s="69">
        <f t="shared" si="5"/>
        <v>-8754.6408602150532</v>
      </c>
      <c r="P36" s="58">
        <v>26</v>
      </c>
      <c r="Q36" s="68">
        <f t="shared" si="6"/>
        <v>33.41317365269461</v>
      </c>
      <c r="R36" s="54">
        <v>-410208</v>
      </c>
      <c r="S36" s="69">
        <f t="shared" si="7"/>
        <v>-12276.834408602152</v>
      </c>
    </row>
    <row r="37" spans="1:20" x14ac:dyDescent="0.25">
      <c r="A37" s="58">
        <v>17</v>
      </c>
      <c r="B37" s="68">
        <f t="shared" si="0"/>
        <v>30.326086956521738</v>
      </c>
      <c r="C37" s="54">
        <v>-710390</v>
      </c>
      <c r="D37" s="69">
        <f t="shared" si="1"/>
        <v>-23425.046594982079</v>
      </c>
      <c r="F37" s="58">
        <v>65</v>
      </c>
      <c r="G37" s="68">
        <f t="shared" si="2"/>
        <v>33.41317365269461</v>
      </c>
      <c r="H37" s="54">
        <v>-681880</v>
      </c>
      <c r="I37" s="69">
        <f t="shared" si="3"/>
        <v>-20407.519713261649</v>
      </c>
      <c r="K37" s="58">
        <v>44</v>
      </c>
      <c r="L37" s="68">
        <f t="shared" si="4"/>
        <v>30.326086956521738</v>
      </c>
      <c r="M37" s="54">
        <v>-279807</v>
      </c>
      <c r="N37" s="69">
        <f t="shared" si="5"/>
        <v>-9226.6107526881715</v>
      </c>
      <c r="P37" s="58">
        <v>55</v>
      </c>
      <c r="Q37" s="68">
        <f t="shared" si="6"/>
        <v>33.41317365269461</v>
      </c>
      <c r="R37" s="54">
        <v>-412943</v>
      </c>
      <c r="S37" s="69">
        <f t="shared" si="7"/>
        <v>-12358.688351254481</v>
      </c>
    </row>
    <row r="38" spans="1:20" x14ac:dyDescent="0.25">
      <c r="A38" s="58">
        <v>12</v>
      </c>
      <c r="B38" s="68">
        <f t="shared" si="0"/>
        <v>30.326086956521738</v>
      </c>
      <c r="C38" s="54">
        <v>-753136</v>
      </c>
      <c r="D38" s="69">
        <f t="shared" si="1"/>
        <v>-24834.592114695341</v>
      </c>
      <c r="F38" s="95">
        <v>15</v>
      </c>
      <c r="G38" s="96">
        <f t="shared" si="2"/>
        <v>33.41317365269461</v>
      </c>
      <c r="H38" s="97">
        <v>-737370</v>
      </c>
      <c r="I38" s="98">
        <f t="shared" si="3"/>
        <v>-22068.241935483871</v>
      </c>
      <c r="J38">
        <v>0</v>
      </c>
      <c r="K38" s="58">
        <v>78</v>
      </c>
      <c r="L38" s="68">
        <f t="shared" si="4"/>
        <v>30.326086956521738</v>
      </c>
      <c r="M38" s="54">
        <v>-450754</v>
      </c>
      <c r="N38" s="69">
        <f t="shared" si="5"/>
        <v>-14863.572759856632</v>
      </c>
      <c r="P38" s="95">
        <v>22</v>
      </c>
      <c r="Q38" s="96">
        <f t="shared" si="6"/>
        <v>33.41317365269461</v>
      </c>
      <c r="R38" s="97">
        <v>-443480</v>
      </c>
      <c r="S38" s="98">
        <f t="shared" si="7"/>
        <v>-13272.609318996416</v>
      </c>
      <c r="T38">
        <v>0</v>
      </c>
    </row>
    <row r="39" spans="1:20" x14ac:dyDescent="0.25">
      <c r="A39" s="58">
        <v>58</v>
      </c>
      <c r="B39" s="68">
        <f t="shared" si="0"/>
        <v>30.326086956521738</v>
      </c>
      <c r="C39" s="54">
        <v>-793953</v>
      </c>
      <c r="D39" s="69">
        <f t="shared" si="1"/>
        <v>-26180.529032258066</v>
      </c>
      <c r="F39" s="58">
        <v>6</v>
      </c>
      <c r="G39" s="68">
        <f t="shared" si="2"/>
        <v>33.41317365269461</v>
      </c>
      <c r="H39" s="54">
        <v>-760719</v>
      </c>
      <c r="I39" s="69">
        <f t="shared" si="3"/>
        <v>-22767.038172043012</v>
      </c>
      <c r="K39" s="58">
        <v>81</v>
      </c>
      <c r="L39" s="68">
        <f t="shared" si="4"/>
        <v>30.326086956521738</v>
      </c>
      <c r="M39" s="54">
        <v>-460974</v>
      </c>
      <c r="N39" s="69">
        <f t="shared" si="5"/>
        <v>-15200.576344086023</v>
      </c>
      <c r="P39" s="58">
        <v>97</v>
      </c>
      <c r="Q39" s="68">
        <f t="shared" si="6"/>
        <v>33.41317365269461</v>
      </c>
      <c r="R39" s="54">
        <v>-474669</v>
      </c>
      <c r="S39" s="69">
        <f t="shared" si="7"/>
        <v>-14206.043548387097</v>
      </c>
    </row>
    <row r="40" spans="1:20" x14ac:dyDescent="0.25">
      <c r="A40" s="58">
        <v>68</v>
      </c>
      <c r="B40" s="68">
        <f t="shared" si="0"/>
        <v>30.326086956521738</v>
      </c>
      <c r="C40" s="54">
        <v>-803861</v>
      </c>
      <c r="D40" s="69">
        <f t="shared" si="1"/>
        <v>-26507.244444444445</v>
      </c>
      <c r="F40" s="58">
        <v>18</v>
      </c>
      <c r="G40" s="68">
        <f t="shared" si="2"/>
        <v>33.41317365269461</v>
      </c>
      <c r="H40" s="54">
        <v>-824942</v>
      </c>
      <c r="I40" s="69">
        <f t="shared" si="3"/>
        <v>-24689.124372759856</v>
      </c>
      <c r="K40" s="58">
        <v>48</v>
      </c>
      <c r="L40" s="68">
        <f t="shared" si="4"/>
        <v>30.326086956521738</v>
      </c>
      <c r="M40" s="54">
        <v>-522318</v>
      </c>
      <c r="N40" s="69">
        <f t="shared" si="5"/>
        <v>-17223.389247311829</v>
      </c>
      <c r="P40" s="58">
        <v>57</v>
      </c>
      <c r="Q40" s="68">
        <f t="shared" si="6"/>
        <v>33.41317365269461</v>
      </c>
      <c r="R40" s="54">
        <v>-519769</v>
      </c>
      <c r="S40" s="69">
        <f t="shared" si="7"/>
        <v>-15555.810573476703</v>
      </c>
    </row>
    <row r="41" spans="1:20" x14ac:dyDescent="0.25">
      <c r="A41" s="58">
        <v>60</v>
      </c>
      <c r="B41" s="68">
        <f t="shared" si="0"/>
        <v>30.326086956521738</v>
      </c>
      <c r="C41" s="54">
        <v>-850901</v>
      </c>
      <c r="D41" s="69">
        <f t="shared" si="1"/>
        <v>-28058.384229390682</v>
      </c>
      <c r="F41" s="58">
        <v>11</v>
      </c>
      <c r="G41" s="68">
        <f t="shared" si="2"/>
        <v>33.41317365269461</v>
      </c>
      <c r="H41" s="54">
        <v>-906527</v>
      </c>
      <c r="I41" s="69">
        <f t="shared" si="3"/>
        <v>-27130.825985663083</v>
      </c>
      <c r="K41" s="58">
        <v>87</v>
      </c>
      <c r="L41" s="68">
        <f t="shared" si="4"/>
        <v>30.326086956521738</v>
      </c>
      <c r="M41" s="54">
        <v>-542332</v>
      </c>
      <c r="N41" s="69">
        <f t="shared" si="5"/>
        <v>-17883.349103942652</v>
      </c>
      <c r="P41" s="58">
        <v>35</v>
      </c>
      <c r="Q41" s="68">
        <f t="shared" si="6"/>
        <v>33.41317365269461</v>
      </c>
      <c r="R41" s="54">
        <v>-552149</v>
      </c>
      <c r="S41" s="69">
        <f t="shared" si="7"/>
        <v>-16524.889426523299</v>
      </c>
    </row>
    <row r="42" spans="1:20" x14ac:dyDescent="0.25">
      <c r="A42" s="58">
        <v>74</v>
      </c>
      <c r="B42" s="68">
        <f t="shared" si="0"/>
        <v>30.326086956521738</v>
      </c>
      <c r="C42" s="54">
        <v>-871942</v>
      </c>
      <c r="D42" s="69">
        <f t="shared" si="1"/>
        <v>-28752.209318996418</v>
      </c>
      <c r="F42" s="58">
        <v>14</v>
      </c>
      <c r="G42" s="68">
        <f t="shared" si="2"/>
        <v>33.41317365269461</v>
      </c>
      <c r="H42" s="54">
        <v>-923878</v>
      </c>
      <c r="I42" s="69">
        <f t="shared" si="3"/>
        <v>-27650.112186379931</v>
      </c>
      <c r="K42" s="58">
        <v>41</v>
      </c>
      <c r="L42" s="68">
        <f t="shared" si="4"/>
        <v>30.326086956521738</v>
      </c>
      <c r="M42" s="54">
        <v>-545075</v>
      </c>
      <c r="N42" s="69">
        <f t="shared" si="5"/>
        <v>-17973.799283154123</v>
      </c>
      <c r="P42" s="58">
        <v>81</v>
      </c>
      <c r="Q42" s="68">
        <f t="shared" si="6"/>
        <v>33.41317365269461</v>
      </c>
      <c r="R42" s="54">
        <v>-553719</v>
      </c>
      <c r="S42" s="69">
        <f t="shared" si="7"/>
        <v>-16571.876881720429</v>
      </c>
    </row>
    <row r="43" spans="1:20" x14ac:dyDescent="0.25">
      <c r="A43" s="58">
        <v>71</v>
      </c>
      <c r="B43" s="68">
        <f t="shared" si="0"/>
        <v>30.326086956521738</v>
      </c>
      <c r="C43" s="54">
        <v>-879757</v>
      </c>
      <c r="D43" s="69">
        <f t="shared" si="1"/>
        <v>-29009.908243727601</v>
      </c>
      <c r="F43" s="58">
        <v>90</v>
      </c>
      <c r="G43" s="68">
        <f t="shared" si="2"/>
        <v>33.41317365269461</v>
      </c>
      <c r="H43" s="54">
        <v>-944796</v>
      </c>
      <c r="I43" s="69">
        <f t="shared" si="3"/>
        <v>-28276.152688172042</v>
      </c>
      <c r="K43" s="58">
        <v>23</v>
      </c>
      <c r="L43" s="68">
        <f t="shared" si="4"/>
        <v>30.326086956521738</v>
      </c>
      <c r="M43" s="54">
        <v>-550483</v>
      </c>
      <c r="N43" s="69">
        <f t="shared" si="5"/>
        <v>-18152.127598566309</v>
      </c>
      <c r="P43" s="58">
        <v>25</v>
      </c>
      <c r="Q43" s="68">
        <f t="shared" si="6"/>
        <v>33.41317365269461</v>
      </c>
      <c r="R43" s="54">
        <v>-602771</v>
      </c>
      <c r="S43" s="69">
        <f t="shared" si="7"/>
        <v>-18039.920609318997</v>
      </c>
    </row>
    <row r="44" spans="1:20" x14ac:dyDescent="0.25">
      <c r="A44" s="58">
        <v>13</v>
      </c>
      <c r="B44" s="68">
        <f t="shared" si="0"/>
        <v>30.326086956521738</v>
      </c>
      <c r="C44" s="54">
        <v>-1072053</v>
      </c>
      <c r="D44" s="69">
        <f t="shared" si="1"/>
        <v>-35350.851612903229</v>
      </c>
      <c r="F44" s="58">
        <v>88</v>
      </c>
      <c r="G44" s="68">
        <f t="shared" si="2"/>
        <v>33.41317365269461</v>
      </c>
      <c r="H44" s="54">
        <v>-964689</v>
      </c>
      <c r="I44" s="69">
        <f t="shared" si="3"/>
        <v>-28871.516666666666</v>
      </c>
      <c r="K44" s="58">
        <v>55</v>
      </c>
      <c r="L44" s="68">
        <f t="shared" si="4"/>
        <v>30.326086956521738</v>
      </c>
      <c r="M44" s="54">
        <v>-592287</v>
      </c>
      <c r="N44" s="69">
        <f t="shared" si="5"/>
        <v>-19530.610752688171</v>
      </c>
      <c r="P44" s="58">
        <v>23</v>
      </c>
      <c r="Q44" s="68">
        <f t="shared" si="6"/>
        <v>33.41317365269461</v>
      </c>
      <c r="R44" s="54">
        <v>-625997</v>
      </c>
      <c r="S44" s="69">
        <f t="shared" si="7"/>
        <v>-18735.035663082439</v>
      </c>
    </row>
    <row r="45" spans="1:20" x14ac:dyDescent="0.25">
      <c r="A45" s="58">
        <v>92</v>
      </c>
      <c r="B45" s="68">
        <f t="shared" si="0"/>
        <v>30.326086956521738</v>
      </c>
      <c r="C45" s="54">
        <v>-1105120</v>
      </c>
      <c r="D45" s="69">
        <f t="shared" si="1"/>
        <v>-36441.232974910396</v>
      </c>
      <c r="F45" s="58">
        <v>10</v>
      </c>
      <c r="G45" s="68">
        <f t="shared" si="2"/>
        <v>33.41317365269461</v>
      </c>
      <c r="H45" s="54">
        <v>-1019506</v>
      </c>
      <c r="I45" s="69">
        <f t="shared" si="3"/>
        <v>-30512.097132616487</v>
      </c>
      <c r="K45" s="58">
        <v>31</v>
      </c>
      <c r="L45" s="68">
        <f t="shared" si="4"/>
        <v>30.326086956521738</v>
      </c>
      <c r="M45" s="54">
        <v>-620072</v>
      </c>
      <c r="N45" s="69">
        <f t="shared" si="5"/>
        <v>-20446.818637992834</v>
      </c>
      <c r="P45" s="58">
        <v>78</v>
      </c>
      <c r="Q45" s="68">
        <f t="shared" si="6"/>
        <v>33.41317365269461</v>
      </c>
      <c r="R45" s="54">
        <v>-732192</v>
      </c>
      <c r="S45" s="69">
        <f t="shared" si="7"/>
        <v>-21913.273118279569</v>
      </c>
    </row>
    <row r="46" spans="1:20" x14ac:dyDescent="0.25">
      <c r="A46" s="58">
        <v>21</v>
      </c>
      <c r="B46" s="68">
        <f t="shared" si="0"/>
        <v>30.326086956521738</v>
      </c>
      <c r="C46" s="54">
        <v>-1124143</v>
      </c>
      <c r="D46" s="69">
        <f t="shared" si="1"/>
        <v>-37068.514695340506</v>
      </c>
      <c r="F46" s="95">
        <v>2</v>
      </c>
      <c r="G46" s="96">
        <f t="shared" si="2"/>
        <v>33.41317365269461</v>
      </c>
      <c r="H46" s="97">
        <v>-1048073</v>
      </c>
      <c r="I46" s="98">
        <f t="shared" si="3"/>
        <v>-31367.059318996417</v>
      </c>
      <c r="J46">
        <v>0</v>
      </c>
      <c r="K46" s="58">
        <v>40</v>
      </c>
      <c r="L46" s="68">
        <f t="shared" si="4"/>
        <v>30.326086956521738</v>
      </c>
      <c r="M46" s="54">
        <v>-658386</v>
      </c>
      <c r="N46" s="69">
        <f t="shared" si="5"/>
        <v>-21710.219354838711</v>
      </c>
      <c r="P46" s="58">
        <v>41</v>
      </c>
      <c r="Q46" s="68">
        <f t="shared" si="6"/>
        <v>33.41317365269461</v>
      </c>
      <c r="R46" s="54">
        <v>-890843</v>
      </c>
      <c r="S46" s="69">
        <f t="shared" si="7"/>
        <v>-26661.430286738352</v>
      </c>
    </row>
    <row r="47" spans="1:20" x14ac:dyDescent="0.25">
      <c r="A47" s="58">
        <v>64</v>
      </c>
      <c r="B47" s="68">
        <f t="shared" si="0"/>
        <v>30.326086956521738</v>
      </c>
      <c r="C47" s="54">
        <v>-1198677</v>
      </c>
      <c r="D47" s="69">
        <f t="shared" si="1"/>
        <v>-39526.26666666667</v>
      </c>
      <c r="F47" s="58">
        <v>12</v>
      </c>
      <c r="G47" s="68">
        <f t="shared" si="2"/>
        <v>33.41317365269461</v>
      </c>
      <c r="H47" s="54">
        <v>-1098022</v>
      </c>
      <c r="I47" s="69">
        <f t="shared" si="3"/>
        <v>-32861.948745519716</v>
      </c>
      <c r="K47" s="58">
        <v>97</v>
      </c>
      <c r="L47" s="68">
        <f t="shared" si="4"/>
        <v>30.326086956521738</v>
      </c>
      <c r="M47" s="54">
        <v>-661431</v>
      </c>
      <c r="N47" s="69">
        <f t="shared" si="5"/>
        <v>-21810.627956989247</v>
      </c>
      <c r="P47" s="58">
        <v>48</v>
      </c>
      <c r="Q47" s="68">
        <f t="shared" si="6"/>
        <v>33.41317365269461</v>
      </c>
      <c r="R47" s="54">
        <v>-914243</v>
      </c>
      <c r="S47" s="69">
        <f t="shared" si="7"/>
        <v>-27361.752867383515</v>
      </c>
    </row>
    <row r="48" spans="1:20" x14ac:dyDescent="0.25">
      <c r="A48" s="58">
        <v>3</v>
      </c>
      <c r="B48" s="68">
        <f t="shared" si="0"/>
        <v>30.326086956521738</v>
      </c>
      <c r="C48" s="54">
        <v>-1231829</v>
      </c>
      <c r="D48" s="69">
        <f t="shared" si="1"/>
        <v>-40619.450896057351</v>
      </c>
      <c r="F48" s="58">
        <v>72</v>
      </c>
      <c r="G48" s="68">
        <f t="shared" si="2"/>
        <v>33.41317365269461</v>
      </c>
      <c r="H48" s="54">
        <v>-1168137</v>
      </c>
      <c r="I48" s="69">
        <f t="shared" si="3"/>
        <v>-34960.372580645162</v>
      </c>
      <c r="K48" s="58">
        <v>56</v>
      </c>
      <c r="L48" s="68">
        <f t="shared" si="4"/>
        <v>30.326086956521738</v>
      </c>
      <c r="M48" s="54">
        <v>-736742</v>
      </c>
      <c r="N48" s="69">
        <f t="shared" si="5"/>
        <v>-24294.001433691756</v>
      </c>
      <c r="P48" s="58">
        <v>96</v>
      </c>
      <c r="Q48" s="68">
        <f t="shared" si="6"/>
        <v>33.41317365269461</v>
      </c>
      <c r="R48" s="54">
        <v>-944950</v>
      </c>
      <c r="S48" s="69">
        <f t="shared" si="7"/>
        <v>-28280.76164874552</v>
      </c>
    </row>
    <row r="49" spans="1:20" x14ac:dyDescent="0.25">
      <c r="A49" s="58">
        <v>70</v>
      </c>
      <c r="B49" s="68">
        <f t="shared" si="0"/>
        <v>30.326086956521738</v>
      </c>
      <c r="C49" s="54">
        <v>-1290356</v>
      </c>
      <c r="D49" s="69">
        <f t="shared" si="1"/>
        <v>-42549.373476702509</v>
      </c>
      <c r="F49" s="58">
        <v>62</v>
      </c>
      <c r="G49" s="68">
        <f t="shared" si="2"/>
        <v>33.41317365269461</v>
      </c>
      <c r="H49" s="54">
        <v>-1177761</v>
      </c>
      <c r="I49" s="69">
        <f t="shared" si="3"/>
        <v>-35248.402688172042</v>
      </c>
      <c r="K49" s="58">
        <v>85</v>
      </c>
      <c r="L49" s="68">
        <f t="shared" si="4"/>
        <v>30.326086956521738</v>
      </c>
      <c r="M49" s="54">
        <v>-789944</v>
      </c>
      <c r="N49" s="69">
        <f t="shared" si="5"/>
        <v>-26048.332616487456</v>
      </c>
      <c r="P49" s="58">
        <v>82</v>
      </c>
      <c r="Q49" s="68">
        <f t="shared" si="6"/>
        <v>33.41317365269461</v>
      </c>
      <c r="R49" s="54">
        <v>-954865</v>
      </c>
      <c r="S49" s="69">
        <f t="shared" si="7"/>
        <v>-28577.500896057347</v>
      </c>
    </row>
    <row r="50" spans="1:20" x14ac:dyDescent="0.25">
      <c r="A50" s="58">
        <v>65</v>
      </c>
      <c r="B50" s="68">
        <f t="shared" si="0"/>
        <v>30.326086956521738</v>
      </c>
      <c r="C50" s="54">
        <v>-1335361</v>
      </c>
      <c r="D50" s="69">
        <f t="shared" si="1"/>
        <v>-44033.409318996419</v>
      </c>
      <c r="F50" s="58">
        <v>19</v>
      </c>
      <c r="G50" s="68">
        <f t="shared" si="2"/>
        <v>33.41317365269461</v>
      </c>
      <c r="H50" s="54">
        <v>-1251057</v>
      </c>
      <c r="I50" s="69">
        <f t="shared" si="3"/>
        <v>-37442.028494623657</v>
      </c>
      <c r="K50" s="58">
        <v>26</v>
      </c>
      <c r="L50" s="68">
        <f t="shared" si="4"/>
        <v>30.326086956521738</v>
      </c>
      <c r="M50" s="54">
        <v>-946136</v>
      </c>
      <c r="N50" s="69">
        <f t="shared" si="5"/>
        <v>-31198.749820788533</v>
      </c>
      <c r="P50" s="58">
        <v>50</v>
      </c>
      <c r="Q50" s="68">
        <f t="shared" si="6"/>
        <v>33.41317365269461</v>
      </c>
      <c r="R50" s="54">
        <v>-1011749</v>
      </c>
      <c r="S50" s="69">
        <f t="shared" si="7"/>
        <v>-30279.943189964157</v>
      </c>
    </row>
    <row r="51" spans="1:20" x14ac:dyDescent="0.25">
      <c r="A51" s="58">
        <v>18</v>
      </c>
      <c r="B51" s="68">
        <f t="shared" si="0"/>
        <v>30.326086956521738</v>
      </c>
      <c r="C51" s="54">
        <v>-1388548</v>
      </c>
      <c r="D51" s="69">
        <f t="shared" si="1"/>
        <v>-45787.2458781362</v>
      </c>
      <c r="F51" s="58">
        <v>68</v>
      </c>
      <c r="G51" s="68">
        <f t="shared" si="2"/>
        <v>33.41317365269461</v>
      </c>
      <c r="H51" s="54">
        <v>-1292553</v>
      </c>
      <c r="I51" s="69">
        <f t="shared" si="3"/>
        <v>-38683.933870967739</v>
      </c>
      <c r="K51" s="58">
        <v>84</v>
      </c>
      <c r="L51" s="68">
        <f t="shared" si="4"/>
        <v>30.326086956521738</v>
      </c>
      <c r="M51" s="54">
        <v>-948146</v>
      </c>
      <c r="N51" s="69">
        <f t="shared" si="5"/>
        <v>-31265.029390681004</v>
      </c>
      <c r="P51" s="58">
        <v>40</v>
      </c>
      <c r="Q51" s="68">
        <f t="shared" si="6"/>
        <v>33.41317365269461</v>
      </c>
      <c r="R51" s="54">
        <v>-1028317</v>
      </c>
      <c r="S51" s="69">
        <f t="shared" si="7"/>
        <v>-30775.795519713261</v>
      </c>
    </row>
    <row r="52" spans="1:20" x14ac:dyDescent="0.25">
      <c r="A52" s="58">
        <v>91</v>
      </c>
      <c r="B52" s="68">
        <f t="shared" si="0"/>
        <v>30.326086956521738</v>
      </c>
      <c r="C52" s="54">
        <v>-1477388</v>
      </c>
      <c r="D52" s="69">
        <f t="shared" si="1"/>
        <v>-48716.736917562725</v>
      </c>
      <c r="F52" s="58">
        <v>60</v>
      </c>
      <c r="G52" s="68">
        <f t="shared" si="2"/>
        <v>33.41317365269461</v>
      </c>
      <c r="H52" s="54">
        <v>-1363928</v>
      </c>
      <c r="I52" s="69">
        <f t="shared" si="3"/>
        <v>-40820.067383512549</v>
      </c>
      <c r="K52" s="58">
        <v>37</v>
      </c>
      <c r="L52" s="68">
        <f t="shared" si="4"/>
        <v>30.326086956521738</v>
      </c>
      <c r="M52" s="54">
        <v>-1123636</v>
      </c>
      <c r="N52" s="69">
        <f t="shared" si="5"/>
        <v>-37051.796415770608</v>
      </c>
      <c r="P52" s="58">
        <v>45</v>
      </c>
      <c r="Q52" s="68">
        <f t="shared" si="6"/>
        <v>33.41317365269461</v>
      </c>
      <c r="R52" s="54">
        <v>-1108132</v>
      </c>
      <c r="S52" s="69">
        <f t="shared" si="7"/>
        <v>-33164.524014336916</v>
      </c>
    </row>
    <row r="53" spans="1:20" x14ac:dyDescent="0.25">
      <c r="A53" s="58">
        <v>67</v>
      </c>
      <c r="B53" s="68">
        <f t="shared" si="0"/>
        <v>30.326086956521738</v>
      </c>
      <c r="C53" s="54">
        <v>-1558535</v>
      </c>
      <c r="D53" s="69">
        <f t="shared" si="1"/>
        <v>-51392.551971326167</v>
      </c>
      <c r="F53" s="58">
        <v>66</v>
      </c>
      <c r="G53" s="68">
        <f t="shared" si="2"/>
        <v>33.41317365269461</v>
      </c>
      <c r="H53" s="54">
        <v>-1541082</v>
      </c>
      <c r="I53" s="69">
        <f t="shared" si="3"/>
        <v>-46121.988172043013</v>
      </c>
      <c r="K53" s="58">
        <v>77</v>
      </c>
      <c r="L53" s="68">
        <f t="shared" si="4"/>
        <v>30.326086956521738</v>
      </c>
      <c r="M53" s="54">
        <v>-1136517</v>
      </c>
      <c r="N53" s="69">
        <f t="shared" si="5"/>
        <v>-37476.546236559137</v>
      </c>
      <c r="P53" s="58">
        <v>37</v>
      </c>
      <c r="Q53" s="68">
        <f t="shared" si="6"/>
        <v>33.41317365269461</v>
      </c>
      <c r="R53" s="54">
        <v>-1231599</v>
      </c>
      <c r="S53" s="69">
        <f t="shared" si="7"/>
        <v>-36859.683333333334</v>
      </c>
    </row>
    <row r="54" spans="1:20" x14ac:dyDescent="0.25">
      <c r="A54" s="58">
        <v>93</v>
      </c>
      <c r="B54" s="68">
        <f t="shared" si="0"/>
        <v>30.326086956521738</v>
      </c>
      <c r="C54" s="54">
        <v>-1560391</v>
      </c>
      <c r="D54" s="69">
        <f t="shared" si="1"/>
        <v>-51453.753405017924</v>
      </c>
      <c r="F54" s="58">
        <v>13</v>
      </c>
      <c r="G54" s="68">
        <f t="shared" si="2"/>
        <v>33.41317365269461</v>
      </c>
      <c r="H54" s="54">
        <v>-1570807</v>
      </c>
      <c r="I54" s="69">
        <f t="shared" si="3"/>
        <v>-47011.607347670251</v>
      </c>
      <c r="K54" s="58">
        <v>94</v>
      </c>
      <c r="L54" s="68">
        <f t="shared" si="4"/>
        <v>30.326086956521738</v>
      </c>
      <c r="M54" s="54">
        <v>-1189690</v>
      </c>
      <c r="N54" s="69">
        <f t="shared" si="5"/>
        <v>-39229.921146953406</v>
      </c>
      <c r="P54" s="58">
        <v>80</v>
      </c>
      <c r="Q54" s="68">
        <f t="shared" si="6"/>
        <v>33.41317365269461</v>
      </c>
      <c r="R54" s="54">
        <v>-1261366</v>
      </c>
      <c r="S54" s="69">
        <f t="shared" si="7"/>
        <v>-37750.559498207884</v>
      </c>
    </row>
    <row r="55" spans="1:20" x14ac:dyDescent="0.25">
      <c r="A55" s="58"/>
      <c r="B55" s="59"/>
      <c r="C55" s="54"/>
      <c r="D55" s="55"/>
      <c r="F55" s="58"/>
      <c r="G55" s="59"/>
      <c r="H55" s="54"/>
      <c r="I55" s="55"/>
      <c r="K55" s="58">
        <v>32</v>
      </c>
      <c r="L55" s="68">
        <f t="shared" si="4"/>
        <v>30.326086956521738</v>
      </c>
      <c r="M55" s="54">
        <v>-1238968</v>
      </c>
      <c r="N55" s="69">
        <f t="shared" si="5"/>
        <v>-40854.858781362011</v>
      </c>
      <c r="P55" s="58">
        <v>52</v>
      </c>
      <c r="Q55" s="68">
        <f t="shared" si="6"/>
        <v>33.41317365269461</v>
      </c>
      <c r="R55" s="54">
        <v>-1306284</v>
      </c>
      <c r="S55" s="69">
        <f t="shared" si="7"/>
        <v>-39094.879569892473</v>
      </c>
    </row>
    <row r="56" spans="1:20" x14ac:dyDescent="0.25">
      <c r="A56" s="58"/>
      <c r="B56" s="59"/>
      <c r="C56" s="54"/>
      <c r="D56" s="55"/>
      <c r="F56" s="58"/>
      <c r="G56" s="59"/>
      <c r="H56" s="54"/>
      <c r="I56" s="55"/>
      <c r="K56" s="58">
        <v>36</v>
      </c>
      <c r="L56" s="68">
        <f t="shared" si="4"/>
        <v>30.326086956521738</v>
      </c>
      <c r="M56" s="54">
        <v>-1281241</v>
      </c>
      <c r="N56" s="69">
        <f t="shared" si="5"/>
        <v>-42248.807168458785</v>
      </c>
      <c r="P56" s="58">
        <v>38</v>
      </c>
      <c r="Q56" s="68">
        <f t="shared" si="6"/>
        <v>33.41317365269461</v>
      </c>
      <c r="R56" s="54">
        <v>-1308829</v>
      </c>
      <c r="S56" s="69">
        <f t="shared" si="7"/>
        <v>-39171.047132616492</v>
      </c>
    </row>
    <row r="57" spans="1:20" x14ac:dyDescent="0.25">
      <c r="A57" s="58"/>
      <c r="B57" s="59"/>
      <c r="C57" s="54"/>
      <c r="D57" s="55"/>
      <c r="F57" s="58"/>
      <c r="G57" s="59"/>
      <c r="H57" s="54"/>
      <c r="I57" s="55"/>
      <c r="K57" s="58">
        <v>29</v>
      </c>
      <c r="L57" s="68">
        <f t="shared" si="4"/>
        <v>30.326086956521738</v>
      </c>
      <c r="M57" s="54">
        <v>-1329121</v>
      </c>
      <c r="N57" s="69">
        <f t="shared" si="5"/>
        <v>-43827.645878136202</v>
      </c>
      <c r="P57" s="58">
        <v>46</v>
      </c>
      <c r="Q57" s="68">
        <f t="shared" si="6"/>
        <v>33.41317365269461</v>
      </c>
      <c r="R57" s="54">
        <v>-1311822</v>
      </c>
      <c r="S57" s="69">
        <f t="shared" si="7"/>
        <v>-39260.622580645162</v>
      </c>
    </row>
    <row r="58" spans="1:20" x14ac:dyDescent="0.25">
      <c r="A58" s="58"/>
      <c r="B58" s="59"/>
      <c r="C58" s="54"/>
      <c r="D58" s="55"/>
      <c r="F58" s="58"/>
      <c r="G58" s="59"/>
      <c r="H58" s="54"/>
      <c r="I58" s="55"/>
      <c r="K58" s="58">
        <v>80</v>
      </c>
      <c r="L58" s="68">
        <f t="shared" si="4"/>
        <v>30.326086956521738</v>
      </c>
      <c r="M58" s="54">
        <v>-1382584</v>
      </c>
      <c r="N58" s="69">
        <f t="shared" si="5"/>
        <v>-45590.583512544807</v>
      </c>
      <c r="P58" s="58">
        <v>53</v>
      </c>
      <c r="Q58" s="68">
        <f t="shared" si="6"/>
        <v>33.41317365269461</v>
      </c>
      <c r="R58" s="54">
        <v>-1316172</v>
      </c>
      <c r="S58" s="69">
        <f t="shared" si="7"/>
        <v>-39390.810752688172</v>
      </c>
    </row>
    <row r="59" spans="1:20" x14ac:dyDescent="0.25">
      <c r="A59" s="58"/>
      <c r="B59" s="59"/>
      <c r="C59" s="54"/>
      <c r="D59" s="55"/>
      <c r="F59" s="58"/>
      <c r="G59" s="59"/>
      <c r="H59" s="54"/>
      <c r="I59" s="55"/>
      <c r="K59" s="58">
        <v>38</v>
      </c>
      <c r="L59" s="68">
        <f t="shared" si="4"/>
        <v>30.326086956521738</v>
      </c>
      <c r="M59" s="54">
        <v>-1454904</v>
      </c>
      <c r="N59" s="69">
        <f t="shared" si="5"/>
        <v>-47975.329032258065</v>
      </c>
      <c r="P59" s="58">
        <v>87</v>
      </c>
      <c r="Q59" s="68">
        <f t="shared" si="6"/>
        <v>33.41317365269461</v>
      </c>
      <c r="R59" s="54">
        <v>-1394051</v>
      </c>
      <c r="S59" s="69">
        <f t="shared" si="7"/>
        <v>-41721.598028673834</v>
      </c>
    </row>
    <row r="60" spans="1:20" x14ac:dyDescent="0.25">
      <c r="A60" s="58"/>
      <c r="B60" s="59"/>
      <c r="C60" s="54"/>
      <c r="D60" s="55"/>
      <c r="F60" s="58"/>
      <c r="G60" s="59"/>
      <c r="H60" s="54"/>
      <c r="I60" s="55"/>
      <c r="K60" s="58">
        <v>96</v>
      </c>
      <c r="L60" s="68">
        <f t="shared" si="4"/>
        <v>30.326086956521738</v>
      </c>
      <c r="M60" s="54">
        <v>-1495940</v>
      </c>
      <c r="N60" s="69">
        <f t="shared" si="5"/>
        <v>-49328.487455197137</v>
      </c>
      <c r="P60" s="58">
        <v>36</v>
      </c>
      <c r="Q60" s="68">
        <f t="shared" si="6"/>
        <v>33.41317365269461</v>
      </c>
      <c r="R60" s="54">
        <v>-1395762</v>
      </c>
      <c r="S60" s="69">
        <f t="shared" si="7"/>
        <v>-41772.805376344084</v>
      </c>
    </row>
    <row r="61" spans="1:20" x14ac:dyDescent="0.25">
      <c r="A61" s="58"/>
      <c r="B61" s="59"/>
      <c r="C61" s="54"/>
      <c r="D61" s="55"/>
      <c r="F61" s="58"/>
      <c r="G61" s="59"/>
      <c r="H61" s="54"/>
      <c r="I61" s="55"/>
      <c r="K61" s="58">
        <v>76</v>
      </c>
      <c r="L61" s="68">
        <f t="shared" si="4"/>
        <v>30.326086956521738</v>
      </c>
      <c r="M61" s="54">
        <v>-1505954</v>
      </c>
      <c r="N61" s="69">
        <f t="shared" si="5"/>
        <v>-49658.698207885303</v>
      </c>
      <c r="P61" s="58">
        <v>42</v>
      </c>
      <c r="Q61" s="68">
        <f t="shared" si="6"/>
        <v>33.41317365269461</v>
      </c>
      <c r="R61" s="54">
        <v>-1449513</v>
      </c>
      <c r="S61" s="69">
        <f t="shared" si="7"/>
        <v>-43381.48225806452</v>
      </c>
    </row>
    <row r="62" spans="1:20" x14ac:dyDescent="0.25">
      <c r="A62" s="58"/>
      <c r="B62" s="59"/>
      <c r="C62" s="54"/>
      <c r="D62" s="55"/>
      <c r="F62" s="58"/>
      <c r="G62" s="59"/>
      <c r="H62" s="54"/>
      <c r="I62" s="55"/>
      <c r="K62" s="58">
        <v>52</v>
      </c>
      <c r="L62" s="68">
        <f t="shared" si="4"/>
        <v>30.326086956521738</v>
      </c>
      <c r="M62" s="54">
        <v>-1572435</v>
      </c>
      <c r="N62" s="69">
        <f t="shared" si="5"/>
        <v>-51850.903225806454</v>
      </c>
      <c r="P62" s="58">
        <v>28</v>
      </c>
      <c r="Q62" s="68">
        <f t="shared" si="6"/>
        <v>33.41317365269461</v>
      </c>
      <c r="R62" s="54">
        <v>-1475625</v>
      </c>
      <c r="S62" s="69">
        <f t="shared" si="7"/>
        <v>-44162.970430107525</v>
      </c>
    </row>
    <row r="63" spans="1:20" x14ac:dyDescent="0.25">
      <c r="A63" s="58"/>
      <c r="B63" s="59"/>
      <c r="C63" s="54"/>
      <c r="D63" s="55"/>
      <c r="F63" s="58"/>
      <c r="G63" s="59"/>
      <c r="H63" s="54"/>
      <c r="I63" s="55"/>
      <c r="K63" s="58">
        <v>100</v>
      </c>
      <c r="L63" s="68">
        <f t="shared" si="4"/>
        <v>30.326086956521738</v>
      </c>
      <c r="M63" s="54">
        <v>-1597710</v>
      </c>
      <c r="N63" s="69">
        <f t="shared" si="5"/>
        <v>-52684.344086021505</v>
      </c>
      <c r="P63" s="95">
        <v>83</v>
      </c>
      <c r="Q63" s="96">
        <f t="shared" si="6"/>
        <v>33.41317365269461</v>
      </c>
      <c r="R63" s="97">
        <v>-1533913</v>
      </c>
      <c r="S63" s="98">
        <f t="shared" si="7"/>
        <v>-45907.432078853046</v>
      </c>
      <c r="T63">
        <v>0</v>
      </c>
    </row>
    <row r="64" spans="1:20" x14ac:dyDescent="0.25">
      <c r="A64" s="58"/>
      <c r="B64" s="59"/>
      <c r="C64" s="54"/>
      <c r="D64" s="55"/>
      <c r="F64" s="58"/>
      <c r="G64" s="59"/>
      <c r="H64" s="54"/>
      <c r="I64" s="55"/>
      <c r="K64" s="58">
        <v>51</v>
      </c>
      <c r="L64" s="68">
        <f t="shared" si="4"/>
        <v>30.326086956521738</v>
      </c>
      <c r="M64" s="54">
        <v>-1602000</v>
      </c>
      <c r="N64" s="69">
        <f t="shared" si="5"/>
        <v>-52825.806451612902</v>
      </c>
      <c r="P64" s="58">
        <v>77</v>
      </c>
      <c r="Q64" s="68">
        <f t="shared" si="6"/>
        <v>33.41317365269461</v>
      </c>
      <c r="R64" s="54">
        <v>-1545855</v>
      </c>
      <c r="S64" s="69">
        <f t="shared" si="7"/>
        <v>-46264.836021505376</v>
      </c>
    </row>
    <row r="65" spans="1:19" x14ac:dyDescent="0.25">
      <c r="A65" s="58"/>
      <c r="B65" s="59"/>
      <c r="C65" s="54"/>
      <c r="D65" s="55"/>
      <c r="F65" s="58"/>
      <c r="G65" s="59"/>
      <c r="H65" s="54"/>
      <c r="I65" s="55"/>
      <c r="K65" s="58"/>
      <c r="L65" s="59"/>
      <c r="M65" s="54"/>
      <c r="N65" s="55"/>
      <c r="P65" s="58"/>
      <c r="Q65" s="59"/>
      <c r="R65" s="54"/>
      <c r="S65" s="55"/>
    </row>
    <row r="66" spans="1:19" x14ac:dyDescent="0.25">
      <c r="A66" s="58"/>
      <c r="B66" s="59"/>
      <c r="C66" s="54"/>
      <c r="D66" s="55"/>
      <c r="F66" s="58"/>
      <c r="G66" s="59"/>
      <c r="H66" s="54"/>
      <c r="I66" s="55"/>
      <c r="K66" s="58"/>
      <c r="L66" s="59"/>
      <c r="M66" s="54"/>
      <c r="N66" s="55"/>
      <c r="P66" s="58"/>
      <c r="Q66" s="59"/>
      <c r="R66" s="54"/>
      <c r="S66" s="55"/>
    </row>
    <row r="67" spans="1:19" x14ac:dyDescent="0.25">
      <c r="A67" s="58"/>
      <c r="B67" s="59"/>
      <c r="C67" s="54"/>
      <c r="D67" s="55"/>
      <c r="F67" s="58"/>
      <c r="G67" s="59"/>
      <c r="H67" s="54"/>
      <c r="I67" s="55"/>
      <c r="K67" s="58"/>
      <c r="L67" s="59"/>
      <c r="M67" s="54"/>
      <c r="N67" s="55"/>
      <c r="P67" s="58"/>
      <c r="Q67" s="59"/>
      <c r="R67" s="54"/>
      <c r="S67" s="55"/>
    </row>
    <row r="68" spans="1:19" x14ac:dyDescent="0.25">
      <c r="A68" s="58"/>
      <c r="B68" s="59"/>
      <c r="C68" s="54"/>
      <c r="D68" s="55"/>
      <c r="F68" s="58"/>
      <c r="G68" s="59"/>
      <c r="H68" s="54"/>
      <c r="I68" s="55"/>
      <c r="K68" s="58"/>
      <c r="L68" s="59"/>
      <c r="M68" s="54"/>
      <c r="N68" s="55"/>
      <c r="P68" s="58"/>
      <c r="Q68" s="59"/>
      <c r="R68" s="54"/>
      <c r="S68" s="55"/>
    </row>
    <row r="69" spans="1:19" x14ac:dyDescent="0.25">
      <c r="A69" s="58"/>
      <c r="B69" s="59"/>
      <c r="C69" s="54"/>
      <c r="D69" s="55"/>
      <c r="F69" s="58"/>
      <c r="G69" s="59"/>
      <c r="H69" s="54"/>
      <c r="I69" s="55"/>
      <c r="K69" s="58"/>
      <c r="L69" s="59"/>
      <c r="M69" s="54"/>
      <c r="N69" s="55"/>
      <c r="P69" s="58"/>
      <c r="Q69" s="59"/>
      <c r="R69" s="54"/>
      <c r="S69" s="55"/>
    </row>
    <row r="70" spans="1:19" x14ac:dyDescent="0.25">
      <c r="A70" s="58"/>
      <c r="B70" s="59"/>
      <c r="C70" s="54"/>
      <c r="D70" s="55"/>
      <c r="F70" s="58"/>
      <c r="G70" s="59"/>
      <c r="H70" s="54"/>
      <c r="I70" s="55"/>
      <c r="K70" s="58"/>
      <c r="L70" s="59"/>
      <c r="M70" s="54"/>
      <c r="N70" s="55"/>
      <c r="P70" s="58"/>
      <c r="Q70" s="59"/>
      <c r="R70" s="54"/>
      <c r="S70" s="55"/>
    </row>
    <row r="71" spans="1:19" x14ac:dyDescent="0.25">
      <c r="A71" s="58"/>
      <c r="B71" s="59"/>
      <c r="C71" s="54"/>
      <c r="D71" s="55"/>
      <c r="F71" s="58"/>
      <c r="G71" s="59"/>
      <c r="H71" s="54"/>
      <c r="I71" s="55"/>
      <c r="K71" s="58"/>
      <c r="L71" s="59"/>
      <c r="M71" s="54"/>
      <c r="N71" s="55"/>
      <c r="P71" s="58"/>
      <c r="Q71" s="59"/>
      <c r="R71" s="54"/>
      <c r="S71" s="55"/>
    </row>
    <row r="72" spans="1:19" x14ac:dyDescent="0.25">
      <c r="A72" s="58"/>
      <c r="B72" s="59"/>
      <c r="C72" s="54"/>
      <c r="D72" s="55"/>
      <c r="F72" s="58"/>
      <c r="G72" s="59"/>
      <c r="H72" s="54"/>
      <c r="I72" s="55"/>
      <c r="K72" s="58"/>
      <c r="L72" s="59"/>
      <c r="M72" s="54"/>
      <c r="N72" s="55"/>
      <c r="P72" s="58"/>
      <c r="Q72" s="59"/>
      <c r="R72" s="54"/>
      <c r="S72" s="55"/>
    </row>
    <row r="73" spans="1:19" x14ac:dyDescent="0.25">
      <c r="A73" s="58"/>
      <c r="B73" s="59"/>
      <c r="C73" s="54"/>
      <c r="D73" s="55"/>
      <c r="F73" s="58"/>
      <c r="G73" s="59"/>
      <c r="H73" s="54"/>
      <c r="I73" s="55"/>
      <c r="K73" s="58"/>
      <c r="L73" s="59"/>
      <c r="M73" s="54"/>
      <c r="N73" s="55"/>
      <c r="P73" s="58"/>
      <c r="Q73" s="59"/>
      <c r="R73" s="54"/>
      <c r="S73" s="55"/>
    </row>
    <row r="74" spans="1:19" x14ac:dyDescent="0.25">
      <c r="A74" s="58"/>
      <c r="B74" s="59"/>
      <c r="C74" s="54"/>
      <c r="D74" s="55"/>
      <c r="F74" s="58"/>
      <c r="G74" s="59"/>
      <c r="H74" s="54"/>
      <c r="I74" s="55"/>
      <c r="K74" s="58"/>
      <c r="L74" s="59"/>
      <c r="M74" s="54"/>
      <c r="N74" s="55"/>
      <c r="P74" s="58"/>
      <c r="Q74" s="59"/>
      <c r="R74" s="54"/>
      <c r="S74" s="55"/>
    </row>
    <row r="75" spans="1:19" x14ac:dyDescent="0.25">
      <c r="A75" s="58"/>
      <c r="B75" s="59"/>
      <c r="C75" s="54"/>
      <c r="D75" s="55"/>
      <c r="F75" s="58"/>
      <c r="G75" s="59"/>
      <c r="H75" s="54"/>
      <c r="I75" s="55"/>
      <c r="K75" s="58"/>
      <c r="L75" s="59"/>
      <c r="M75" s="54"/>
      <c r="N75" s="55"/>
      <c r="P75" s="58"/>
      <c r="Q75" s="59"/>
      <c r="R75" s="54"/>
      <c r="S75" s="55"/>
    </row>
    <row r="76" spans="1:19" x14ac:dyDescent="0.25">
      <c r="A76" s="58"/>
      <c r="B76" s="59"/>
      <c r="C76" s="54"/>
      <c r="D76" s="55"/>
      <c r="F76" s="58"/>
      <c r="G76" s="59"/>
      <c r="H76" s="54"/>
      <c r="I76" s="55"/>
      <c r="K76" s="58"/>
      <c r="L76" s="59"/>
      <c r="M76" s="54"/>
      <c r="N76" s="55"/>
      <c r="P76" s="58"/>
      <c r="Q76" s="59"/>
      <c r="R76" s="54"/>
      <c r="S76" s="55"/>
    </row>
    <row r="77" spans="1:19" x14ac:dyDescent="0.25">
      <c r="A77" s="58"/>
      <c r="B77" s="59"/>
      <c r="C77" s="54"/>
      <c r="D77" s="55"/>
      <c r="F77" s="58"/>
      <c r="G77" s="59"/>
      <c r="H77" s="54"/>
      <c r="I77" s="55"/>
      <c r="K77" s="58"/>
      <c r="L77" s="59"/>
      <c r="M77" s="54"/>
      <c r="N77" s="55"/>
      <c r="P77" s="58"/>
      <c r="Q77" s="59"/>
      <c r="R77" s="54"/>
      <c r="S77" s="55"/>
    </row>
    <row r="78" spans="1:19" x14ac:dyDescent="0.25">
      <c r="A78" s="58"/>
      <c r="B78" s="59"/>
      <c r="C78" s="54"/>
      <c r="D78" s="55"/>
      <c r="F78" s="58"/>
      <c r="G78" s="59"/>
      <c r="H78" s="54"/>
      <c r="I78" s="55"/>
      <c r="K78" s="58"/>
      <c r="L78" s="59"/>
      <c r="M78" s="54"/>
      <c r="N78" s="55"/>
      <c r="P78" s="58"/>
      <c r="Q78" s="59"/>
      <c r="R78" s="54"/>
      <c r="S78" s="55"/>
    </row>
    <row r="79" spans="1:19" x14ac:dyDescent="0.25">
      <c r="A79" s="58"/>
      <c r="B79" s="59"/>
      <c r="C79" s="54"/>
      <c r="D79" s="55"/>
      <c r="F79" s="58"/>
      <c r="G79" s="59"/>
      <c r="H79" s="54"/>
      <c r="I79" s="55"/>
      <c r="K79" s="58"/>
      <c r="L79" s="59"/>
      <c r="M79" s="54"/>
      <c r="N79" s="55"/>
      <c r="P79" s="58"/>
      <c r="Q79" s="59"/>
      <c r="R79" s="54"/>
      <c r="S79" s="55"/>
    </row>
    <row r="80" spans="1:19" x14ac:dyDescent="0.25">
      <c r="A80" s="58"/>
      <c r="B80" s="59"/>
      <c r="C80" s="54"/>
      <c r="D80" s="55"/>
      <c r="F80" s="58"/>
      <c r="G80" s="59"/>
      <c r="H80" s="54"/>
      <c r="I80" s="55"/>
      <c r="K80" s="58"/>
      <c r="L80" s="59"/>
      <c r="M80" s="54"/>
      <c r="N80" s="55"/>
      <c r="P80" s="58"/>
      <c r="Q80" s="59"/>
      <c r="R80" s="54"/>
      <c r="S80" s="55"/>
    </row>
    <row r="81" spans="1:19" x14ac:dyDescent="0.25">
      <c r="A81" s="58"/>
      <c r="B81" s="59"/>
      <c r="C81" s="54"/>
      <c r="D81" s="55"/>
      <c r="F81" s="58"/>
      <c r="G81" s="59"/>
      <c r="H81" s="54"/>
      <c r="I81" s="55"/>
      <c r="K81" s="58"/>
      <c r="L81" s="59"/>
      <c r="M81" s="54"/>
      <c r="N81" s="55"/>
      <c r="P81" s="58"/>
      <c r="Q81" s="59"/>
      <c r="R81" s="54"/>
      <c r="S81" s="55"/>
    </row>
    <row r="82" spans="1:19" x14ac:dyDescent="0.25">
      <c r="A82" s="58"/>
      <c r="B82" s="59"/>
      <c r="C82" s="54"/>
      <c r="D82" s="55"/>
      <c r="F82" s="58"/>
      <c r="G82" s="59"/>
      <c r="H82" s="54"/>
      <c r="I82" s="55"/>
      <c r="K82" s="58"/>
      <c r="L82" s="59"/>
      <c r="M82" s="54"/>
      <c r="N82" s="55"/>
      <c r="P82" s="58"/>
      <c r="Q82" s="59"/>
      <c r="R82" s="54"/>
      <c r="S82" s="55"/>
    </row>
    <row r="83" spans="1:19" x14ac:dyDescent="0.25">
      <c r="A83" s="58"/>
      <c r="B83" s="59"/>
      <c r="C83" s="54"/>
      <c r="D83" s="55"/>
      <c r="F83" s="58"/>
      <c r="G83" s="59"/>
      <c r="H83" s="54"/>
      <c r="I83" s="55"/>
      <c r="K83" s="58"/>
      <c r="L83" s="59"/>
      <c r="M83" s="54"/>
      <c r="N83" s="55"/>
      <c r="P83" s="58"/>
      <c r="Q83" s="59"/>
      <c r="R83" s="54"/>
      <c r="S83" s="55"/>
    </row>
    <row r="84" spans="1:19" x14ac:dyDescent="0.25">
      <c r="A84" s="58"/>
      <c r="B84" s="59"/>
      <c r="C84" s="54"/>
      <c r="D84" s="55"/>
      <c r="F84" s="58"/>
      <c r="G84" s="59"/>
      <c r="H84" s="54"/>
      <c r="I84" s="55"/>
      <c r="K84" s="58"/>
      <c r="L84" s="59"/>
      <c r="M84" s="54"/>
      <c r="N84" s="55"/>
      <c r="P84" s="58"/>
      <c r="Q84" s="59"/>
      <c r="R84" s="54"/>
      <c r="S84" s="55"/>
    </row>
    <row r="85" spans="1:19" x14ac:dyDescent="0.25">
      <c r="A85" s="58"/>
      <c r="B85" s="59"/>
      <c r="C85" s="54"/>
      <c r="D85" s="55"/>
      <c r="F85" s="58"/>
      <c r="G85" s="59"/>
      <c r="H85" s="54"/>
      <c r="I85" s="55"/>
      <c r="K85" s="58"/>
      <c r="L85" s="59"/>
      <c r="M85" s="54"/>
      <c r="N85" s="55"/>
      <c r="P85" s="58"/>
      <c r="Q85" s="59"/>
      <c r="R85" s="54"/>
      <c r="S85" s="55"/>
    </row>
    <row r="86" spans="1:19" x14ac:dyDescent="0.25">
      <c r="A86" s="58"/>
      <c r="B86" s="59"/>
      <c r="C86" s="54"/>
      <c r="D86" s="55"/>
      <c r="F86" s="58"/>
      <c r="G86" s="59"/>
      <c r="H86" s="54"/>
      <c r="I86" s="55"/>
      <c r="K86" s="58"/>
      <c r="L86" s="59"/>
      <c r="M86" s="54"/>
      <c r="N86" s="55"/>
      <c r="P86" s="58"/>
      <c r="Q86" s="59"/>
      <c r="R86" s="54"/>
      <c r="S86" s="55"/>
    </row>
    <row r="87" spans="1:19" x14ac:dyDescent="0.25">
      <c r="A87" s="58"/>
      <c r="B87" s="59"/>
      <c r="C87" s="54"/>
      <c r="D87" s="55"/>
      <c r="F87" s="58"/>
      <c r="G87" s="59"/>
      <c r="H87" s="54"/>
      <c r="I87" s="55"/>
      <c r="K87" s="58"/>
      <c r="L87" s="59"/>
      <c r="M87" s="54"/>
      <c r="N87" s="55"/>
      <c r="P87" s="58"/>
      <c r="Q87" s="59"/>
      <c r="R87" s="54"/>
      <c r="S87" s="55"/>
    </row>
    <row r="88" spans="1:19" x14ac:dyDescent="0.25">
      <c r="A88" s="58"/>
      <c r="B88" s="59"/>
      <c r="C88" s="54"/>
      <c r="D88" s="55"/>
      <c r="F88" s="58"/>
      <c r="G88" s="59"/>
      <c r="H88" s="54"/>
      <c r="I88" s="55"/>
      <c r="K88" s="58"/>
      <c r="L88" s="59"/>
      <c r="M88" s="54"/>
      <c r="N88" s="55"/>
      <c r="P88" s="58"/>
      <c r="Q88" s="59"/>
      <c r="R88" s="54"/>
      <c r="S88" s="55"/>
    </row>
    <row r="89" spans="1:19" x14ac:dyDescent="0.25">
      <c r="A89" s="58"/>
      <c r="B89" s="59"/>
      <c r="C89" s="54"/>
      <c r="D89" s="55"/>
      <c r="F89" s="58"/>
      <c r="G89" s="59"/>
      <c r="H89" s="54"/>
      <c r="I89" s="55"/>
      <c r="K89" s="58"/>
      <c r="L89" s="59"/>
      <c r="M89" s="54"/>
      <c r="N89" s="55"/>
      <c r="P89" s="58"/>
      <c r="Q89" s="59"/>
      <c r="R89" s="54"/>
      <c r="S89" s="55"/>
    </row>
    <row r="90" spans="1:19" x14ac:dyDescent="0.25">
      <c r="A90" s="58"/>
      <c r="B90" s="59"/>
      <c r="C90" s="54"/>
      <c r="D90" s="55"/>
      <c r="F90" s="58"/>
      <c r="G90" s="59"/>
      <c r="H90" s="54"/>
      <c r="I90" s="55"/>
      <c r="K90" s="58"/>
      <c r="L90" s="59"/>
      <c r="M90" s="54"/>
      <c r="N90" s="55"/>
      <c r="P90" s="58"/>
      <c r="Q90" s="59"/>
      <c r="R90" s="54"/>
      <c r="S90" s="55"/>
    </row>
    <row r="91" spans="1:19" x14ac:dyDescent="0.25">
      <c r="A91" s="58"/>
      <c r="B91" s="59"/>
      <c r="C91" s="54"/>
      <c r="D91" s="55"/>
      <c r="F91" s="58"/>
      <c r="G91" s="59"/>
      <c r="H91" s="54"/>
      <c r="I91" s="55"/>
      <c r="K91" s="58"/>
      <c r="L91" s="59"/>
      <c r="M91" s="54"/>
      <c r="N91" s="55"/>
      <c r="P91" s="58"/>
      <c r="Q91" s="59"/>
      <c r="R91" s="54"/>
      <c r="S91" s="55"/>
    </row>
    <row r="92" spans="1:19" x14ac:dyDescent="0.25">
      <c r="A92" s="58"/>
      <c r="B92" s="59"/>
      <c r="C92" s="54"/>
      <c r="D92" s="55"/>
      <c r="F92" s="58"/>
      <c r="G92" s="59"/>
      <c r="H92" s="54"/>
      <c r="I92" s="55"/>
      <c r="K92" s="58"/>
      <c r="L92" s="59"/>
      <c r="M92" s="54"/>
      <c r="N92" s="55"/>
      <c r="P92" s="58"/>
      <c r="Q92" s="59"/>
      <c r="R92" s="54"/>
      <c r="S92" s="55"/>
    </row>
    <row r="93" spans="1:19" x14ac:dyDescent="0.25">
      <c r="A93" s="58"/>
      <c r="B93" s="59"/>
      <c r="C93" s="54"/>
      <c r="D93" s="55"/>
      <c r="F93" s="58"/>
      <c r="G93" s="59"/>
      <c r="H93" s="54"/>
      <c r="I93" s="55"/>
      <c r="K93" s="58"/>
      <c r="L93" s="59"/>
      <c r="M93" s="54"/>
      <c r="N93" s="55"/>
      <c r="P93" s="58"/>
      <c r="Q93" s="59"/>
      <c r="R93" s="54"/>
      <c r="S93" s="55"/>
    </row>
    <row r="94" spans="1:19" x14ac:dyDescent="0.25">
      <c r="A94" s="58"/>
      <c r="B94" s="59"/>
      <c r="C94" s="54"/>
      <c r="D94" s="55"/>
      <c r="F94" s="58"/>
      <c r="G94" s="59"/>
      <c r="H94" s="54"/>
      <c r="I94" s="55"/>
      <c r="K94" s="58"/>
      <c r="L94" s="59"/>
      <c r="M94" s="54"/>
      <c r="N94" s="55"/>
      <c r="P94" s="58"/>
      <c r="Q94" s="59"/>
      <c r="R94" s="54"/>
      <c r="S94" s="55"/>
    </row>
    <row r="95" spans="1:19" x14ac:dyDescent="0.25">
      <c r="A95" s="58"/>
      <c r="B95" s="59"/>
      <c r="C95" s="54"/>
      <c r="D95" s="55"/>
      <c r="F95" s="58"/>
      <c r="G95" s="59"/>
      <c r="H95" s="54"/>
      <c r="I95" s="55"/>
      <c r="K95" s="58"/>
      <c r="L95" s="59"/>
      <c r="M95" s="54"/>
      <c r="N95" s="55"/>
      <c r="P95" s="58"/>
      <c r="Q95" s="59"/>
      <c r="R95" s="54"/>
      <c r="S95" s="55"/>
    </row>
    <row r="96" spans="1:19" x14ac:dyDescent="0.25">
      <c r="A96" s="58"/>
      <c r="B96" s="59"/>
      <c r="C96" s="54"/>
      <c r="D96" s="55"/>
      <c r="F96" s="58"/>
      <c r="G96" s="59"/>
      <c r="H96" s="54"/>
      <c r="I96" s="55"/>
      <c r="K96" s="58"/>
      <c r="L96" s="59"/>
      <c r="M96" s="54"/>
      <c r="N96" s="55"/>
      <c r="P96" s="58"/>
      <c r="Q96" s="59"/>
      <c r="R96" s="54"/>
      <c r="S96" s="55"/>
    </row>
    <row r="97" spans="1:19" x14ac:dyDescent="0.25">
      <c r="A97" s="58"/>
      <c r="B97" s="59"/>
      <c r="C97" s="54"/>
      <c r="D97" s="55"/>
      <c r="F97" s="58"/>
      <c r="G97" s="59"/>
      <c r="H97" s="54"/>
      <c r="I97" s="55"/>
      <c r="K97" s="58"/>
      <c r="L97" s="59"/>
      <c r="M97" s="54"/>
      <c r="N97" s="55"/>
      <c r="P97" s="58"/>
      <c r="Q97" s="59"/>
      <c r="R97" s="54"/>
      <c r="S97" s="55"/>
    </row>
    <row r="98" spans="1:19" x14ac:dyDescent="0.25">
      <c r="A98" s="58"/>
      <c r="B98" s="59"/>
      <c r="C98" s="54"/>
      <c r="D98" s="55"/>
      <c r="F98" s="58"/>
      <c r="G98" s="59"/>
      <c r="H98" s="54"/>
      <c r="I98" s="55"/>
      <c r="K98" s="58"/>
      <c r="L98" s="59"/>
      <c r="M98" s="54"/>
      <c r="N98" s="55"/>
      <c r="P98" s="58"/>
      <c r="Q98" s="59"/>
      <c r="R98" s="54"/>
      <c r="S98" s="55"/>
    </row>
    <row r="99" spans="1:19" x14ac:dyDescent="0.25">
      <c r="A99" s="58"/>
      <c r="B99" s="59"/>
      <c r="C99" s="54"/>
      <c r="D99" s="55"/>
      <c r="F99" s="58"/>
      <c r="G99" s="59"/>
      <c r="H99" s="54"/>
      <c r="I99" s="55"/>
      <c r="K99" s="58"/>
      <c r="L99" s="59"/>
      <c r="M99" s="54"/>
      <c r="N99" s="55"/>
      <c r="P99" s="58"/>
      <c r="Q99" s="59"/>
      <c r="R99" s="54"/>
      <c r="S99" s="55"/>
    </row>
    <row r="100" spans="1:19" x14ac:dyDescent="0.25">
      <c r="A100" s="58"/>
      <c r="B100" s="59"/>
      <c r="C100" s="54"/>
      <c r="D100" s="55"/>
      <c r="F100" s="58"/>
      <c r="G100" s="59"/>
      <c r="H100" s="54"/>
      <c r="I100" s="55"/>
      <c r="K100" s="58"/>
      <c r="L100" s="59"/>
      <c r="M100" s="54"/>
      <c r="N100" s="55"/>
      <c r="P100" s="58"/>
      <c r="Q100" s="59"/>
      <c r="R100" s="54"/>
      <c r="S100" s="55"/>
    </row>
    <row r="101" spans="1:19" x14ac:dyDescent="0.25">
      <c r="A101" s="58"/>
      <c r="B101" s="59"/>
      <c r="C101" s="54"/>
      <c r="D101" s="55"/>
      <c r="F101" s="58"/>
      <c r="G101" s="59"/>
      <c r="H101" s="54"/>
      <c r="I101" s="55"/>
      <c r="K101" s="58"/>
      <c r="L101" s="59"/>
      <c r="M101" s="54"/>
      <c r="N101" s="55"/>
      <c r="P101" s="58"/>
      <c r="Q101" s="59"/>
      <c r="R101" s="54"/>
      <c r="S101" s="55"/>
    </row>
    <row r="102" spans="1:19" x14ac:dyDescent="0.25">
      <c r="A102" s="58"/>
      <c r="B102" s="59"/>
      <c r="C102" s="54"/>
      <c r="D102" s="55"/>
      <c r="F102" s="58"/>
      <c r="G102" s="59"/>
      <c r="H102" s="54"/>
      <c r="I102" s="55"/>
      <c r="K102" s="58"/>
      <c r="L102" s="59"/>
      <c r="M102" s="54"/>
      <c r="N102" s="55"/>
      <c r="P102" s="58"/>
      <c r="Q102" s="59"/>
      <c r="R102" s="54"/>
      <c r="S102" s="55"/>
    </row>
    <row r="103" spans="1:19" x14ac:dyDescent="0.25">
      <c r="A103" s="58"/>
      <c r="B103" s="59"/>
      <c r="C103" s="54"/>
      <c r="D103" s="55"/>
      <c r="F103" s="58"/>
      <c r="G103" s="59"/>
      <c r="H103" s="54"/>
      <c r="I103" s="55"/>
      <c r="K103" s="58"/>
      <c r="L103" s="59"/>
      <c r="M103" s="54"/>
      <c r="N103" s="55"/>
      <c r="P103" s="58"/>
      <c r="Q103" s="59"/>
      <c r="R103" s="54"/>
      <c r="S103" s="55"/>
    </row>
    <row r="104" spans="1:19" x14ac:dyDescent="0.25">
      <c r="A104" s="58"/>
      <c r="B104" s="59"/>
      <c r="C104" s="54"/>
      <c r="D104" s="55"/>
      <c r="F104" s="58"/>
      <c r="G104" s="59"/>
      <c r="H104" s="54"/>
      <c r="I104" s="55"/>
      <c r="K104" s="58"/>
      <c r="L104" s="59"/>
      <c r="M104" s="54"/>
      <c r="N104" s="55"/>
      <c r="P104" s="58"/>
      <c r="Q104" s="59"/>
      <c r="R104" s="54"/>
      <c r="S104" s="55"/>
    </row>
    <row r="105" spans="1:19" x14ac:dyDescent="0.25">
      <c r="A105" s="58"/>
      <c r="B105" s="59"/>
      <c r="C105" s="54"/>
      <c r="D105" s="55"/>
      <c r="F105" s="58"/>
      <c r="G105" s="59"/>
      <c r="H105" s="54"/>
      <c r="I105" s="55"/>
      <c r="K105" s="58"/>
      <c r="L105" s="59"/>
      <c r="M105" s="54"/>
      <c r="N105" s="55"/>
      <c r="P105" s="58"/>
      <c r="Q105" s="59"/>
      <c r="R105" s="54"/>
      <c r="S105" s="55"/>
    </row>
    <row r="106" spans="1:19" x14ac:dyDescent="0.25">
      <c r="A106" s="58"/>
      <c r="B106" s="59"/>
      <c r="C106" s="54"/>
      <c r="D106" s="55"/>
      <c r="F106" s="58"/>
      <c r="G106" s="59"/>
      <c r="H106" s="54"/>
      <c r="I106" s="55"/>
      <c r="K106" s="58"/>
      <c r="L106" s="59"/>
      <c r="M106" s="54"/>
      <c r="N106" s="55"/>
      <c r="P106" s="58"/>
      <c r="Q106" s="59"/>
      <c r="R106" s="54"/>
      <c r="S106" s="55"/>
    </row>
    <row r="107" spans="1:19" x14ac:dyDescent="0.25">
      <c r="A107" s="58"/>
      <c r="B107" s="59"/>
      <c r="C107" s="54"/>
      <c r="D107" s="55"/>
      <c r="F107" s="58"/>
      <c r="G107" s="59"/>
      <c r="H107" s="54"/>
      <c r="I107" s="55"/>
      <c r="K107" s="58"/>
      <c r="L107" s="59"/>
      <c r="M107" s="54"/>
      <c r="N107" s="55"/>
      <c r="P107" s="58"/>
      <c r="Q107" s="59"/>
      <c r="R107" s="54"/>
      <c r="S107" s="55"/>
    </row>
    <row r="108" spans="1:19" x14ac:dyDescent="0.25">
      <c r="A108" s="58"/>
      <c r="B108" s="59"/>
      <c r="C108" s="54"/>
      <c r="D108" s="55"/>
      <c r="F108" s="58"/>
      <c r="G108" s="59"/>
      <c r="H108" s="54"/>
      <c r="I108" s="55"/>
      <c r="K108" s="58"/>
      <c r="L108" s="59"/>
      <c r="M108" s="54"/>
      <c r="N108" s="55"/>
      <c r="P108" s="58"/>
      <c r="Q108" s="59"/>
      <c r="R108" s="54"/>
      <c r="S108" s="55"/>
    </row>
    <row r="109" spans="1:19" x14ac:dyDescent="0.25">
      <c r="A109" s="58"/>
      <c r="B109" s="59"/>
      <c r="C109" s="54"/>
      <c r="D109" s="55"/>
      <c r="F109" s="58"/>
      <c r="G109" s="59"/>
      <c r="H109" s="54"/>
      <c r="I109" s="55"/>
      <c r="K109" s="58"/>
      <c r="L109" s="59"/>
      <c r="M109" s="54"/>
      <c r="N109" s="55"/>
      <c r="P109" s="58"/>
      <c r="Q109" s="59"/>
      <c r="R109" s="54"/>
      <c r="S109" s="55"/>
    </row>
    <row r="110" spans="1:19" x14ac:dyDescent="0.25">
      <c r="A110" s="58"/>
      <c r="B110" s="59"/>
      <c r="C110" s="54"/>
      <c r="D110" s="55"/>
      <c r="F110" s="58"/>
      <c r="G110" s="59"/>
      <c r="H110" s="54"/>
      <c r="I110" s="55"/>
      <c r="K110" s="58"/>
      <c r="L110" s="59"/>
      <c r="M110" s="54"/>
      <c r="N110" s="55"/>
      <c r="P110" s="58"/>
      <c r="Q110" s="59"/>
      <c r="R110" s="54"/>
      <c r="S110" s="55"/>
    </row>
    <row r="111" spans="1:19" x14ac:dyDescent="0.25">
      <c r="A111" s="58"/>
      <c r="B111" s="59"/>
      <c r="C111" s="54"/>
      <c r="D111" s="55"/>
      <c r="F111" s="58"/>
      <c r="G111" s="59"/>
      <c r="H111" s="54"/>
      <c r="I111" s="55"/>
      <c r="K111" s="58"/>
      <c r="L111" s="59"/>
      <c r="M111" s="54"/>
      <c r="N111" s="55"/>
      <c r="P111" s="58"/>
      <c r="Q111" s="59"/>
      <c r="R111" s="54"/>
      <c r="S111" s="55"/>
    </row>
    <row r="112" spans="1:19" x14ac:dyDescent="0.25">
      <c r="A112" s="58"/>
      <c r="B112" s="59"/>
      <c r="C112" s="54"/>
      <c r="D112" s="55"/>
      <c r="F112" s="58"/>
      <c r="G112" s="59"/>
      <c r="H112" s="54"/>
      <c r="I112" s="55"/>
      <c r="K112" s="58"/>
      <c r="L112" s="59"/>
      <c r="M112" s="54"/>
      <c r="N112" s="55"/>
      <c r="P112" s="58"/>
      <c r="Q112" s="59"/>
      <c r="R112" s="54"/>
      <c r="S112" s="55"/>
    </row>
    <row r="113" spans="1:19" x14ac:dyDescent="0.25">
      <c r="A113" s="58"/>
      <c r="B113" s="59"/>
      <c r="C113" s="54"/>
      <c r="D113" s="55"/>
      <c r="F113" s="58"/>
      <c r="G113" s="59"/>
      <c r="H113" s="54"/>
      <c r="I113" s="55"/>
      <c r="K113" s="58"/>
      <c r="L113" s="59"/>
      <c r="M113" s="54"/>
      <c r="N113" s="55"/>
      <c r="P113" s="58"/>
      <c r="Q113" s="59"/>
      <c r="R113" s="54"/>
      <c r="S113" s="55"/>
    </row>
    <row r="114" spans="1:19" x14ac:dyDescent="0.25">
      <c r="A114" s="58"/>
      <c r="B114" s="59"/>
      <c r="C114" s="54"/>
      <c r="D114" s="55"/>
      <c r="F114" s="58"/>
      <c r="G114" s="59"/>
      <c r="H114" s="54"/>
      <c r="I114" s="55"/>
      <c r="K114" s="58"/>
      <c r="L114" s="59"/>
      <c r="M114" s="54"/>
      <c r="N114" s="55"/>
      <c r="P114" s="58"/>
      <c r="Q114" s="59"/>
      <c r="R114" s="54"/>
      <c r="S114" s="55"/>
    </row>
    <row r="115" spans="1:19" x14ac:dyDescent="0.25">
      <c r="A115" s="58"/>
      <c r="B115" s="59"/>
      <c r="C115" s="54"/>
      <c r="D115" s="55"/>
      <c r="F115" s="58"/>
      <c r="G115" s="59"/>
      <c r="H115" s="54"/>
      <c r="I115" s="55"/>
      <c r="K115" s="58"/>
      <c r="L115" s="59"/>
      <c r="M115" s="54"/>
      <c r="N115" s="55"/>
      <c r="P115" s="58"/>
      <c r="Q115" s="59"/>
      <c r="R115" s="54"/>
      <c r="S115" s="55"/>
    </row>
    <row r="116" spans="1:19" x14ac:dyDescent="0.25">
      <c r="A116" s="58"/>
      <c r="B116" s="59"/>
      <c r="C116" s="54"/>
      <c r="D116" s="55"/>
      <c r="F116" s="58"/>
      <c r="G116" s="59"/>
      <c r="H116" s="54"/>
      <c r="I116" s="55"/>
      <c r="K116" s="58"/>
      <c r="L116" s="59"/>
      <c r="M116" s="54"/>
      <c r="N116" s="55"/>
      <c r="P116" s="58"/>
      <c r="Q116" s="59"/>
      <c r="R116" s="54"/>
      <c r="S116" s="55"/>
    </row>
    <row r="117" spans="1:19" x14ac:dyDescent="0.25">
      <c r="A117" s="58"/>
      <c r="B117" s="59"/>
      <c r="C117" s="54"/>
      <c r="D117" s="55"/>
      <c r="F117" s="58"/>
      <c r="G117" s="59"/>
      <c r="H117" s="54"/>
      <c r="I117" s="55"/>
      <c r="K117" s="58"/>
      <c r="L117" s="59"/>
      <c r="M117" s="54"/>
      <c r="N117" s="55"/>
      <c r="P117" s="58"/>
      <c r="Q117" s="59"/>
      <c r="R117" s="54"/>
      <c r="S117" s="55"/>
    </row>
    <row r="118" spans="1:19" ht="15.75" thickBot="1" x14ac:dyDescent="0.3">
      <c r="A118" s="60"/>
      <c r="B118" s="61"/>
      <c r="C118" s="56"/>
      <c r="D118" s="57"/>
      <c r="F118" s="60"/>
      <c r="G118" s="61"/>
      <c r="H118" s="56"/>
      <c r="I118" s="57"/>
      <c r="K118" s="58"/>
      <c r="L118" s="59"/>
      <c r="M118" s="54"/>
      <c r="N118" s="55"/>
      <c r="P118" s="58"/>
      <c r="Q118" s="59"/>
      <c r="R118" s="54"/>
      <c r="S118" s="55"/>
    </row>
    <row r="119" spans="1:19" x14ac:dyDescent="0.25">
      <c r="K119" s="58"/>
      <c r="L119" s="59"/>
      <c r="M119" s="54"/>
      <c r="N119" s="55"/>
      <c r="P119" s="58"/>
      <c r="Q119" s="59"/>
      <c r="R119" s="54"/>
      <c r="S119" s="55"/>
    </row>
    <row r="120" spans="1:19" x14ac:dyDescent="0.25">
      <c r="K120" s="58"/>
      <c r="L120" s="59"/>
      <c r="M120" s="54"/>
      <c r="N120" s="55"/>
      <c r="P120" s="58"/>
      <c r="Q120" s="59"/>
      <c r="R120" s="54"/>
      <c r="S120" s="55"/>
    </row>
    <row r="121" spans="1:19" x14ac:dyDescent="0.25">
      <c r="K121" s="58"/>
      <c r="L121" s="59"/>
      <c r="M121" s="54"/>
      <c r="N121" s="55"/>
      <c r="P121" s="58"/>
      <c r="Q121" s="59"/>
      <c r="R121" s="54"/>
      <c r="S121" s="55"/>
    </row>
    <row r="122" spans="1:19" x14ac:dyDescent="0.25">
      <c r="K122" s="58"/>
      <c r="L122" s="59"/>
      <c r="M122" s="54"/>
      <c r="N122" s="55"/>
      <c r="P122" s="58"/>
      <c r="Q122" s="59"/>
      <c r="R122" s="54"/>
      <c r="S122" s="55"/>
    </row>
    <row r="123" spans="1:19" x14ac:dyDescent="0.25">
      <c r="K123" s="58"/>
      <c r="L123" s="59"/>
      <c r="M123" s="54"/>
      <c r="N123" s="55"/>
      <c r="P123" s="58"/>
      <c r="Q123" s="59"/>
      <c r="R123" s="54"/>
      <c r="S123" s="55"/>
    </row>
    <row r="124" spans="1:19" x14ac:dyDescent="0.25">
      <c r="K124" s="58"/>
      <c r="L124" s="59"/>
      <c r="M124" s="54"/>
      <c r="N124" s="55"/>
      <c r="P124" s="58"/>
      <c r="Q124" s="59"/>
      <c r="R124" s="54"/>
      <c r="S124" s="55"/>
    </row>
    <row r="125" spans="1:19" x14ac:dyDescent="0.25">
      <c r="K125" s="58"/>
      <c r="L125" s="59"/>
      <c r="M125" s="54"/>
      <c r="N125" s="55"/>
      <c r="P125" s="58"/>
      <c r="Q125" s="59"/>
      <c r="R125" s="54"/>
      <c r="S125" s="55"/>
    </row>
    <row r="126" spans="1:19" x14ac:dyDescent="0.25">
      <c r="K126" s="58"/>
      <c r="L126" s="59"/>
      <c r="M126" s="54"/>
      <c r="N126" s="55"/>
      <c r="P126" s="58"/>
      <c r="Q126" s="59"/>
      <c r="R126" s="54"/>
      <c r="S126" s="55"/>
    </row>
    <row r="127" spans="1:19" x14ac:dyDescent="0.25">
      <c r="K127" s="58"/>
      <c r="L127" s="59"/>
      <c r="M127" s="54"/>
      <c r="N127" s="55"/>
      <c r="P127" s="58"/>
      <c r="Q127" s="59"/>
      <c r="R127" s="54"/>
      <c r="S127" s="55"/>
    </row>
    <row r="128" spans="1:19" x14ac:dyDescent="0.25">
      <c r="K128" s="58"/>
      <c r="L128" s="59"/>
      <c r="M128" s="54"/>
      <c r="N128" s="55"/>
      <c r="P128" s="58"/>
      <c r="Q128" s="59"/>
      <c r="R128" s="54"/>
      <c r="S128" s="55"/>
    </row>
    <row r="129" spans="11:19" x14ac:dyDescent="0.25">
      <c r="K129" s="58"/>
      <c r="L129" s="59"/>
      <c r="M129" s="54"/>
      <c r="N129" s="55"/>
      <c r="P129" s="58"/>
      <c r="Q129" s="59"/>
      <c r="R129" s="54"/>
      <c r="S129" s="55"/>
    </row>
    <row r="130" spans="11:19" x14ac:dyDescent="0.25">
      <c r="K130" s="58"/>
      <c r="L130" s="59"/>
      <c r="M130" s="54"/>
      <c r="N130" s="55"/>
      <c r="P130" s="58"/>
      <c r="Q130" s="59"/>
      <c r="R130" s="54"/>
      <c r="S130" s="55"/>
    </row>
    <row r="131" spans="11:19" x14ac:dyDescent="0.25">
      <c r="K131" s="58"/>
      <c r="L131" s="59"/>
      <c r="M131" s="54"/>
      <c r="N131" s="55"/>
      <c r="P131" s="58"/>
      <c r="Q131" s="59"/>
      <c r="R131" s="54"/>
      <c r="S131" s="55"/>
    </row>
    <row r="132" spans="11:19" x14ac:dyDescent="0.25">
      <c r="K132" s="58"/>
      <c r="L132" s="59"/>
      <c r="M132" s="54"/>
      <c r="N132" s="55"/>
      <c r="P132" s="58"/>
      <c r="Q132" s="59"/>
      <c r="R132" s="54"/>
      <c r="S132" s="55"/>
    </row>
    <row r="133" spans="11:19" x14ac:dyDescent="0.25">
      <c r="K133" s="58"/>
      <c r="L133" s="59"/>
      <c r="M133" s="54"/>
      <c r="N133" s="55"/>
      <c r="P133" s="58"/>
      <c r="Q133" s="59"/>
      <c r="R133" s="54"/>
      <c r="S133" s="55"/>
    </row>
    <row r="134" spans="11:19" x14ac:dyDescent="0.25">
      <c r="K134" s="58"/>
      <c r="L134" s="59"/>
      <c r="M134" s="54"/>
      <c r="N134" s="55"/>
      <c r="P134" s="58"/>
      <c r="Q134" s="59"/>
      <c r="R134" s="54"/>
      <c r="S134" s="55"/>
    </row>
    <row r="135" spans="11:19" x14ac:dyDescent="0.25">
      <c r="K135" s="58"/>
      <c r="L135" s="59"/>
      <c r="M135" s="54"/>
      <c r="N135" s="55"/>
      <c r="P135" s="58"/>
      <c r="Q135" s="59"/>
      <c r="R135" s="54"/>
      <c r="S135" s="55"/>
    </row>
    <row r="136" spans="11:19" x14ac:dyDescent="0.25">
      <c r="K136" s="58"/>
      <c r="L136" s="59"/>
      <c r="M136" s="54"/>
      <c r="N136" s="55"/>
      <c r="P136" s="58"/>
      <c r="Q136" s="59"/>
      <c r="R136" s="54"/>
      <c r="S136" s="55"/>
    </row>
    <row r="137" spans="11:19" x14ac:dyDescent="0.25">
      <c r="K137" s="58"/>
      <c r="L137" s="59"/>
      <c r="M137" s="54"/>
      <c r="N137" s="55"/>
      <c r="P137" s="58"/>
      <c r="Q137" s="59"/>
      <c r="R137" s="54"/>
      <c r="S137" s="55"/>
    </row>
    <row r="138" spans="11:19" x14ac:dyDescent="0.25">
      <c r="K138" s="58"/>
      <c r="L138" s="59"/>
      <c r="M138" s="54"/>
      <c r="N138" s="55"/>
      <c r="P138" s="58"/>
      <c r="Q138" s="59"/>
      <c r="R138" s="54"/>
      <c r="S138" s="55"/>
    </row>
    <row r="139" spans="11:19" x14ac:dyDescent="0.25">
      <c r="K139" s="58"/>
      <c r="L139" s="59"/>
      <c r="M139" s="54"/>
      <c r="N139" s="55"/>
      <c r="P139" s="58"/>
      <c r="Q139" s="59"/>
      <c r="R139" s="54"/>
      <c r="S139" s="55"/>
    </row>
    <row r="140" spans="11:19" x14ac:dyDescent="0.25">
      <c r="K140" s="58"/>
      <c r="L140" s="59"/>
      <c r="M140" s="54"/>
      <c r="N140" s="55"/>
      <c r="P140" s="58"/>
      <c r="Q140" s="59"/>
      <c r="R140" s="54"/>
      <c r="S140" s="55"/>
    </row>
    <row r="141" spans="11:19" x14ac:dyDescent="0.25">
      <c r="K141" s="58"/>
      <c r="L141" s="59"/>
      <c r="M141" s="54"/>
      <c r="N141" s="55"/>
      <c r="P141" s="58"/>
      <c r="Q141" s="59"/>
      <c r="R141" s="54"/>
      <c r="S141" s="55"/>
    </row>
    <row r="142" spans="11:19" x14ac:dyDescent="0.25">
      <c r="K142" s="58"/>
      <c r="L142" s="59"/>
      <c r="M142" s="54"/>
      <c r="N142" s="55"/>
      <c r="P142" s="58"/>
      <c r="Q142" s="59"/>
      <c r="R142" s="54"/>
      <c r="S142" s="55"/>
    </row>
    <row r="143" spans="11:19" x14ac:dyDescent="0.25">
      <c r="K143" s="58"/>
      <c r="L143" s="59"/>
      <c r="M143" s="54"/>
      <c r="N143" s="55"/>
      <c r="P143" s="58"/>
      <c r="Q143" s="59"/>
      <c r="R143" s="54"/>
      <c r="S143" s="55"/>
    </row>
    <row r="144" spans="11:19" x14ac:dyDescent="0.25">
      <c r="K144" s="58"/>
      <c r="L144" s="59"/>
      <c r="M144" s="54"/>
      <c r="N144" s="55"/>
      <c r="P144" s="58"/>
      <c r="Q144" s="59"/>
      <c r="R144" s="54"/>
      <c r="S144" s="55"/>
    </row>
    <row r="145" spans="11:19" x14ac:dyDescent="0.25">
      <c r="K145" s="58"/>
      <c r="L145" s="59"/>
      <c r="M145" s="54"/>
      <c r="N145" s="55"/>
      <c r="P145" s="58"/>
      <c r="Q145" s="59"/>
      <c r="R145" s="54"/>
      <c r="S145" s="55"/>
    </row>
    <row r="146" spans="11:19" x14ac:dyDescent="0.25">
      <c r="K146" s="58"/>
      <c r="L146" s="59"/>
      <c r="M146" s="54"/>
      <c r="N146" s="55"/>
      <c r="P146" s="58"/>
      <c r="Q146" s="59"/>
      <c r="R146" s="54"/>
      <c r="S146" s="55"/>
    </row>
    <row r="147" spans="11:19" x14ac:dyDescent="0.25">
      <c r="K147" s="58"/>
      <c r="L147" s="59"/>
      <c r="M147" s="54"/>
      <c r="N147" s="55"/>
      <c r="P147" s="58"/>
      <c r="Q147" s="59"/>
      <c r="R147" s="54"/>
      <c r="S147" s="55"/>
    </row>
    <row r="148" spans="11:19" x14ac:dyDescent="0.25">
      <c r="K148" s="58"/>
      <c r="L148" s="59"/>
      <c r="M148" s="54"/>
      <c r="N148" s="55"/>
      <c r="P148" s="58"/>
      <c r="Q148" s="59"/>
      <c r="R148" s="54"/>
      <c r="S148" s="55"/>
    </row>
    <row r="149" spans="11:19" x14ac:dyDescent="0.25">
      <c r="K149" s="58"/>
      <c r="L149" s="59"/>
      <c r="M149" s="54"/>
      <c r="N149" s="55"/>
      <c r="P149" s="58"/>
      <c r="Q149" s="59"/>
      <c r="R149" s="54"/>
      <c r="S149" s="55"/>
    </row>
    <row r="150" spans="11:19" x14ac:dyDescent="0.25">
      <c r="K150" s="58"/>
      <c r="L150" s="59"/>
      <c r="M150" s="54"/>
      <c r="N150" s="55"/>
      <c r="P150" s="58"/>
      <c r="Q150" s="59"/>
      <c r="R150" s="54"/>
      <c r="S150" s="55"/>
    </row>
    <row r="151" spans="11:19" x14ac:dyDescent="0.25">
      <c r="K151" s="58"/>
      <c r="L151" s="59"/>
      <c r="M151" s="54"/>
      <c r="N151" s="55"/>
      <c r="P151" s="58"/>
      <c r="Q151" s="59"/>
      <c r="R151" s="54"/>
      <c r="S151" s="55"/>
    </row>
    <row r="152" spans="11:19" x14ac:dyDescent="0.25">
      <c r="K152" s="58"/>
      <c r="L152" s="59"/>
      <c r="M152" s="54"/>
      <c r="N152" s="55"/>
      <c r="P152" s="58"/>
      <c r="Q152" s="59"/>
      <c r="R152" s="54"/>
      <c r="S152" s="55"/>
    </row>
    <row r="153" spans="11:19" x14ac:dyDescent="0.25">
      <c r="K153" s="58"/>
      <c r="L153" s="59"/>
      <c r="M153" s="54"/>
      <c r="N153" s="55"/>
      <c r="P153" s="58"/>
      <c r="Q153" s="59"/>
      <c r="R153" s="54"/>
      <c r="S153" s="55"/>
    </row>
    <row r="154" spans="11:19" x14ac:dyDescent="0.25">
      <c r="K154" s="58"/>
      <c r="L154" s="59"/>
      <c r="M154" s="54"/>
      <c r="N154" s="55"/>
      <c r="P154" s="58"/>
      <c r="Q154" s="59"/>
      <c r="R154" s="54"/>
      <c r="S154" s="55"/>
    </row>
    <row r="155" spans="11:19" x14ac:dyDescent="0.25">
      <c r="K155" s="58"/>
      <c r="L155" s="59"/>
      <c r="M155" s="54"/>
      <c r="N155" s="55"/>
      <c r="P155" s="58"/>
      <c r="Q155" s="59"/>
      <c r="R155" s="54"/>
      <c r="S155" s="55"/>
    </row>
    <row r="156" spans="11:19" x14ac:dyDescent="0.25">
      <c r="K156" s="58"/>
      <c r="L156" s="59"/>
      <c r="M156" s="54"/>
      <c r="N156" s="55"/>
      <c r="P156" s="58"/>
      <c r="Q156" s="59"/>
      <c r="R156" s="54"/>
      <c r="S156" s="55"/>
    </row>
    <row r="157" spans="11:19" x14ac:dyDescent="0.25">
      <c r="K157" s="58"/>
      <c r="L157" s="59"/>
      <c r="M157" s="54"/>
      <c r="N157" s="55"/>
      <c r="P157" s="58"/>
      <c r="Q157" s="59"/>
      <c r="R157" s="54"/>
      <c r="S157" s="55"/>
    </row>
    <row r="158" spans="11:19" x14ac:dyDescent="0.25">
      <c r="K158" s="58"/>
      <c r="L158" s="59"/>
      <c r="M158" s="54"/>
      <c r="N158" s="55"/>
      <c r="P158" s="58"/>
      <c r="Q158" s="59"/>
      <c r="R158" s="54"/>
      <c r="S158" s="55"/>
    </row>
    <row r="159" spans="11:19" x14ac:dyDescent="0.25">
      <c r="K159" s="58"/>
      <c r="L159" s="59"/>
      <c r="M159" s="54"/>
      <c r="N159" s="55"/>
      <c r="P159" s="58"/>
      <c r="Q159" s="59"/>
      <c r="R159" s="54"/>
      <c r="S159" s="55"/>
    </row>
    <row r="160" spans="11:19" x14ac:dyDescent="0.25">
      <c r="K160" s="58"/>
      <c r="L160" s="59"/>
      <c r="M160" s="54"/>
      <c r="N160" s="55"/>
      <c r="P160" s="58"/>
      <c r="Q160" s="59"/>
      <c r="R160" s="54"/>
      <c r="S160" s="55"/>
    </row>
    <row r="161" spans="11:19" x14ac:dyDescent="0.25">
      <c r="K161" s="58"/>
      <c r="L161" s="59"/>
      <c r="M161" s="54"/>
      <c r="N161" s="55"/>
      <c r="P161" s="58"/>
      <c r="Q161" s="59"/>
      <c r="R161" s="54"/>
      <c r="S161" s="55"/>
    </row>
    <row r="162" spans="11:19" x14ac:dyDescent="0.25">
      <c r="K162" s="58"/>
      <c r="L162" s="59"/>
      <c r="M162" s="54"/>
      <c r="N162" s="55"/>
      <c r="P162" s="58"/>
      <c r="Q162" s="59"/>
      <c r="R162" s="54"/>
      <c r="S162" s="55"/>
    </row>
    <row r="163" spans="11:19" x14ac:dyDescent="0.25">
      <c r="K163" s="58"/>
      <c r="L163" s="59"/>
      <c r="M163" s="54"/>
      <c r="N163" s="55"/>
      <c r="P163" s="58"/>
      <c r="Q163" s="59"/>
      <c r="R163" s="54"/>
      <c r="S163" s="55"/>
    </row>
    <row r="164" spans="11:19" x14ac:dyDescent="0.25">
      <c r="K164" s="58"/>
      <c r="L164" s="59"/>
      <c r="M164" s="54"/>
      <c r="N164" s="55"/>
      <c r="P164" s="58"/>
      <c r="Q164" s="59"/>
      <c r="R164" s="54"/>
      <c r="S164" s="55"/>
    </row>
    <row r="165" spans="11:19" x14ac:dyDescent="0.25">
      <c r="K165" s="58"/>
      <c r="L165" s="59"/>
      <c r="M165" s="54"/>
      <c r="N165" s="55"/>
      <c r="P165" s="58"/>
      <c r="Q165" s="59"/>
      <c r="R165" s="54"/>
      <c r="S165" s="55"/>
    </row>
    <row r="166" spans="11:19" x14ac:dyDescent="0.25">
      <c r="K166" s="58"/>
      <c r="L166" s="59"/>
      <c r="M166" s="54"/>
      <c r="N166" s="55"/>
      <c r="P166" s="58"/>
      <c r="Q166" s="59"/>
      <c r="R166" s="54"/>
      <c r="S166" s="55"/>
    </row>
    <row r="167" spans="11:19" x14ac:dyDescent="0.25">
      <c r="K167" s="58"/>
      <c r="L167" s="59"/>
      <c r="M167" s="54"/>
      <c r="N167" s="55"/>
      <c r="P167" s="58"/>
      <c r="Q167" s="59"/>
      <c r="R167" s="54"/>
      <c r="S167" s="55"/>
    </row>
    <row r="168" spans="11:19" x14ac:dyDescent="0.25">
      <c r="K168" s="58"/>
      <c r="L168" s="59"/>
      <c r="M168" s="54"/>
      <c r="N168" s="55"/>
      <c r="P168" s="58"/>
      <c r="Q168" s="59"/>
      <c r="R168" s="54"/>
      <c r="S168" s="55"/>
    </row>
    <row r="169" spans="11:19" x14ac:dyDescent="0.25">
      <c r="K169" s="58"/>
      <c r="L169" s="59"/>
      <c r="M169" s="54"/>
      <c r="N169" s="55"/>
      <c r="P169" s="58"/>
      <c r="Q169" s="59"/>
      <c r="R169" s="54"/>
      <c r="S169" s="55"/>
    </row>
    <row r="170" spans="11:19" x14ac:dyDescent="0.25">
      <c r="K170" s="58"/>
      <c r="L170" s="59"/>
      <c r="M170" s="54"/>
      <c r="N170" s="55"/>
      <c r="P170" s="58"/>
      <c r="Q170" s="59"/>
      <c r="R170" s="54"/>
      <c r="S170" s="55"/>
    </row>
    <row r="171" spans="11:19" x14ac:dyDescent="0.25">
      <c r="K171" s="58"/>
      <c r="L171" s="59"/>
      <c r="M171" s="54"/>
      <c r="N171" s="55"/>
      <c r="P171" s="58"/>
      <c r="Q171" s="59"/>
      <c r="R171" s="54"/>
      <c r="S171" s="55"/>
    </row>
    <row r="172" spans="11:19" x14ac:dyDescent="0.25">
      <c r="K172" s="58"/>
      <c r="L172" s="59"/>
      <c r="M172" s="54"/>
      <c r="N172" s="55"/>
      <c r="P172" s="58"/>
      <c r="Q172" s="59"/>
      <c r="R172" s="54"/>
      <c r="S172" s="55"/>
    </row>
    <row r="173" spans="11:19" x14ac:dyDescent="0.25">
      <c r="K173" s="58"/>
      <c r="L173" s="59"/>
      <c r="M173" s="54"/>
      <c r="N173" s="55"/>
      <c r="P173" s="58"/>
      <c r="Q173" s="59"/>
      <c r="R173" s="54"/>
      <c r="S173" s="55"/>
    </row>
    <row r="174" spans="11:19" x14ac:dyDescent="0.25">
      <c r="K174" s="58"/>
      <c r="L174" s="59"/>
      <c r="M174" s="54"/>
      <c r="N174" s="55"/>
      <c r="P174" s="58"/>
      <c r="Q174" s="59"/>
      <c r="R174" s="54"/>
      <c r="S174" s="55"/>
    </row>
    <row r="175" spans="11:19" x14ac:dyDescent="0.25">
      <c r="K175" s="58"/>
      <c r="L175" s="59"/>
      <c r="M175" s="54"/>
      <c r="N175" s="55"/>
      <c r="P175" s="58"/>
      <c r="Q175" s="59"/>
      <c r="R175" s="54"/>
      <c r="S175" s="55"/>
    </row>
    <row r="176" spans="11:19" x14ac:dyDescent="0.25">
      <c r="K176" s="58"/>
      <c r="L176" s="59"/>
      <c r="M176" s="54"/>
      <c r="N176" s="55"/>
      <c r="P176" s="58"/>
      <c r="Q176" s="59"/>
      <c r="R176" s="54"/>
      <c r="S176" s="55"/>
    </row>
    <row r="177" spans="11:19" x14ac:dyDescent="0.25">
      <c r="K177" s="58"/>
      <c r="L177" s="59"/>
      <c r="M177" s="54"/>
      <c r="N177" s="55"/>
      <c r="P177" s="58"/>
      <c r="Q177" s="59"/>
      <c r="R177" s="54"/>
      <c r="S177" s="55"/>
    </row>
    <row r="178" spans="11:19" x14ac:dyDescent="0.25">
      <c r="K178" s="58"/>
      <c r="L178" s="59"/>
      <c r="M178" s="54"/>
      <c r="N178" s="55"/>
      <c r="P178" s="58"/>
      <c r="Q178" s="59"/>
      <c r="R178" s="54"/>
      <c r="S178" s="55"/>
    </row>
    <row r="179" spans="11:19" x14ac:dyDescent="0.25">
      <c r="K179" s="58"/>
      <c r="L179" s="59"/>
      <c r="M179" s="54"/>
      <c r="N179" s="55"/>
      <c r="P179" s="58"/>
      <c r="Q179" s="59"/>
      <c r="R179" s="54"/>
      <c r="S179" s="55"/>
    </row>
    <row r="180" spans="11:19" x14ac:dyDescent="0.25">
      <c r="K180" s="58"/>
      <c r="L180" s="59"/>
      <c r="M180" s="54"/>
      <c r="N180" s="55"/>
      <c r="P180" s="58"/>
      <c r="Q180" s="59"/>
      <c r="R180" s="54"/>
      <c r="S180" s="55"/>
    </row>
    <row r="181" spans="11:19" x14ac:dyDescent="0.25">
      <c r="K181" s="58"/>
      <c r="L181" s="59"/>
      <c r="M181" s="54"/>
      <c r="N181" s="55"/>
      <c r="P181" s="58"/>
      <c r="Q181" s="59"/>
      <c r="R181" s="54"/>
      <c r="S181" s="55"/>
    </row>
    <row r="182" spans="11:19" x14ac:dyDescent="0.25">
      <c r="K182" s="58"/>
      <c r="L182" s="59"/>
      <c r="M182" s="54"/>
      <c r="N182" s="55"/>
      <c r="P182" s="58"/>
      <c r="Q182" s="59"/>
      <c r="R182" s="54"/>
      <c r="S182" s="55"/>
    </row>
    <row r="183" spans="11:19" x14ac:dyDescent="0.25">
      <c r="K183" s="58"/>
      <c r="L183" s="59"/>
      <c r="M183" s="54"/>
      <c r="N183" s="55"/>
      <c r="P183" s="58"/>
      <c r="Q183" s="59"/>
      <c r="R183" s="54"/>
      <c r="S183" s="55"/>
    </row>
    <row r="184" spans="11:19" x14ac:dyDescent="0.25">
      <c r="K184" s="58"/>
      <c r="L184" s="59"/>
      <c r="M184" s="54"/>
      <c r="N184" s="55"/>
      <c r="P184" s="58"/>
      <c r="Q184" s="59"/>
      <c r="R184" s="54"/>
      <c r="S184" s="55"/>
    </row>
    <row r="185" spans="11:19" x14ac:dyDescent="0.25">
      <c r="K185" s="58"/>
      <c r="L185" s="59"/>
      <c r="M185" s="54"/>
      <c r="N185" s="55"/>
      <c r="P185" s="58"/>
      <c r="Q185" s="59"/>
      <c r="R185" s="54"/>
      <c r="S185" s="55"/>
    </row>
    <row r="186" spans="11:19" x14ac:dyDescent="0.25">
      <c r="K186" s="58"/>
      <c r="L186" s="59"/>
      <c r="M186" s="54"/>
      <c r="N186" s="55"/>
      <c r="P186" s="58"/>
      <c r="Q186" s="59"/>
      <c r="R186" s="54"/>
      <c r="S186" s="55"/>
    </row>
    <row r="187" spans="11:19" x14ac:dyDescent="0.25">
      <c r="K187" s="58"/>
      <c r="L187" s="59"/>
      <c r="M187" s="54"/>
      <c r="N187" s="55"/>
      <c r="P187" s="58"/>
      <c r="Q187" s="59"/>
      <c r="R187" s="54"/>
      <c r="S187" s="55"/>
    </row>
    <row r="188" spans="11:19" x14ac:dyDescent="0.25">
      <c r="K188" s="58"/>
      <c r="L188" s="59"/>
      <c r="M188" s="54"/>
      <c r="N188" s="55"/>
      <c r="P188" s="58"/>
      <c r="Q188" s="59"/>
      <c r="R188" s="54"/>
      <c r="S188" s="55"/>
    </row>
    <row r="189" spans="11:19" x14ac:dyDescent="0.25">
      <c r="K189" s="58"/>
      <c r="L189" s="59"/>
      <c r="M189" s="54"/>
      <c r="N189" s="55"/>
      <c r="P189" s="58"/>
      <c r="Q189" s="59"/>
      <c r="R189" s="54"/>
      <c r="S189" s="55"/>
    </row>
    <row r="190" spans="11:19" x14ac:dyDescent="0.25">
      <c r="K190" s="58"/>
      <c r="L190" s="59"/>
      <c r="M190" s="54"/>
      <c r="N190" s="55"/>
      <c r="P190" s="58"/>
      <c r="Q190" s="59"/>
      <c r="R190" s="54"/>
      <c r="S190" s="55"/>
    </row>
    <row r="191" spans="11:19" x14ac:dyDescent="0.25">
      <c r="K191" s="58"/>
      <c r="L191" s="59"/>
      <c r="M191" s="54"/>
      <c r="N191" s="55"/>
      <c r="P191" s="58"/>
      <c r="Q191" s="59"/>
      <c r="R191" s="54"/>
      <c r="S191" s="55"/>
    </row>
    <row r="192" spans="11:19" x14ac:dyDescent="0.25">
      <c r="K192" s="58"/>
      <c r="L192" s="59"/>
      <c r="M192" s="54"/>
      <c r="N192" s="55"/>
      <c r="P192" s="58"/>
      <c r="Q192" s="59"/>
      <c r="R192" s="54"/>
      <c r="S192" s="55"/>
    </row>
    <row r="193" spans="11:19" x14ac:dyDescent="0.25">
      <c r="K193" s="58"/>
      <c r="L193" s="59"/>
      <c r="M193" s="54"/>
      <c r="N193" s="55"/>
      <c r="P193" s="58"/>
      <c r="Q193" s="59"/>
      <c r="R193" s="54"/>
      <c r="S193" s="55"/>
    </row>
    <row r="194" spans="11:19" x14ac:dyDescent="0.25">
      <c r="K194" s="58"/>
      <c r="L194" s="59"/>
      <c r="M194" s="54"/>
      <c r="N194" s="55"/>
      <c r="P194" s="58"/>
      <c r="Q194" s="59"/>
      <c r="R194" s="54"/>
      <c r="S194" s="55"/>
    </row>
    <row r="195" spans="11:19" x14ac:dyDescent="0.25">
      <c r="K195" s="58"/>
      <c r="L195" s="59"/>
      <c r="M195" s="54"/>
      <c r="N195" s="55"/>
      <c r="P195" s="58"/>
      <c r="Q195" s="59"/>
      <c r="R195" s="54"/>
      <c r="S195" s="55"/>
    </row>
    <row r="196" spans="11:19" x14ac:dyDescent="0.25">
      <c r="K196" s="58"/>
      <c r="L196" s="59"/>
      <c r="M196" s="54"/>
      <c r="N196" s="55"/>
      <c r="P196" s="58"/>
      <c r="Q196" s="59"/>
      <c r="R196" s="54"/>
      <c r="S196" s="55"/>
    </row>
    <row r="197" spans="11:19" x14ac:dyDescent="0.25">
      <c r="K197" s="58"/>
      <c r="L197" s="59"/>
      <c r="M197" s="54"/>
      <c r="N197" s="55"/>
      <c r="P197" s="58"/>
      <c r="Q197" s="59"/>
      <c r="R197" s="54"/>
      <c r="S197" s="55"/>
    </row>
    <row r="198" spans="11:19" x14ac:dyDescent="0.25">
      <c r="K198" s="58"/>
      <c r="L198" s="59"/>
      <c r="M198" s="54"/>
      <c r="N198" s="55"/>
      <c r="P198" s="58"/>
      <c r="Q198" s="59"/>
      <c r="R198" s="54"/>
      <c r="S198" s="55"/>
    </row>
    <row r="199" spans="11:19" x14ac:dyDescent="0.25">
      <c r="K199" s="58"/>
      <c r="L199" s="59"/>
      <c r="M199" s="54"/>
      <c r="N199" s="55"/>
      <c r="P199" s="58"/>
      <c r="Q199" s="59"/>
      <c r="R199" s="54"/>
      <c r="S199" s="55"/>
    </row>
    <row r="200" spans="11:19" x14ac:dyDescent="0.25">
      <c r="K200" s="58"/>
      <c r="L200" s="59"/>
      <c r="M200" s="54"/>
      <c r="N200" s="55"/>
      <c r="P200" s="58"/>
      <c r="Q200" s="59"/>
      <c r="R200" s="54"/>
      <c r="S200" s="55"/>
    </row>
    <row r="201" spans="11:19" x14ac:dyDescent="0.25">
      <c r="K201" s="58"/>
      <c r="L201" s="59"/>
      <c r="M201" s="54"/>
      <c r="N201" s="55"/>
      <c r="P201" s="58"/>
      <c r="Q201" s="59"/>
      <c r="R201" s="54"/>
      <c r="S201" s="55"/>
    </row>
    <row r="202" spans="11:19" x14ac:dyDescent="0.25">
      <c r="K202" s="58"/>
      <c r="L202" s="59"/>
      <c r="M202" s="54"/>
      <c r="N202" s="55"/>
      <c r="P202" s="58"/>
      <c r="Q202" s="59"/>
      <c r="R202" s="54"/>
      <c r="S202" s="55"/>
    </row>
    <row r="203" spans="11:19" x14ac:dyDescent="0.25">
      <c r="K203" s="58"/>
      <c r="L203" s="59"/>
      <c r="M203" s="54"/>
      <c r="N203" s="55"/>
      <c r="P203" s="58"/>
      <c r="Q203" s="59"/>
      <c r="R203" s="54"/>
      <c r="S203" s="55"/>
    </row>
    <row r="204" spans="11:19" x14ac:dyDescent="0.25">
      <c r="K204" s="58"/>
      <c r="L204" s="59"/>
      <c r="M204" s="54"/>
      <c r="N204" s="55"/>
      <c r="P204" s="58"/>
      <c r="Q204" s="59"/>
      <c r="R204" s="54"/>
      <c r="S204" s="55"/>
    </row>
    <row r="205" spans="11:19" x14ac:dyDescent="0.25">
      <c r="K205" s="58"/>
      <c r="L205" s="59"/>
      <c r="M205" s="54"/>
      <c r="N205" s="55"/>
      <c r="P205" s="58"/>
      <c r="Q205" s="59"/>
      <c r="R205" s="54"/>
      <c r="S205" s="55"/>
    </row>
    <row r="206" spans="11:19" x14ac:dyDescent="0.25">
      <c r="K206" s="58"/>
      <c r="L206" s="59"/>
      <c r="M206" s="54"/>
      <c r="N206" s="55"/>
      <c r="P206" s="58"/>
      <c r="Q206" s="59"/>
      <c r="R206" s="54"/>
      <c r="S206" s="55"/>
    </row>
    <row r="207" spans="11:19" x14ac:dyDescent="0.25">
      <c r="K207" s="58"/>
      <c r="L207" s="59"/>
      <c r="M207" s="54"/>
      <c r="N207" s="55"/>
      <c r="P207" s="58"/>
      <c r="Q207" s="59"/>
      <c r="R207" s="54"/>
      <c r="S207" s="55"/>
    </row>
    <row r="208" spans="11:19" x14ac:dyDescent="0.25">
      <c r="K208" s="58"/>
      <c r="L208" s="59"/>
      <c r="M208" s="54"/>
      <c r="N208" s="55"/>
      <c r="P208" s="58"/>
      <c r="Q208" s="59"/>
      <c r="R208" s="54"/>
      <c r="S208" s="55"/>
    </row>
    <row r="209" spans="11:19" x14ac:dyDescent="0.25">
      <c r="K209" s="58"/>
      <c r="L209" s="59"/>
      <c r="M209" s="54"/>
      <c r="N209" s="55"/>
      <c r="P209" s="58"/>
      <c r="Q209" s="59"/>
      <c r="R209" s="54"/>
      <c r="S209" s="55"/>
    </row>
    <row r="210" spans="11:19" x14ac:dyDescent="0.25">
      <c r="K210" s="58"/>
      <c r="L210" s="59"/>
      <c r="M210" s="54"/>
      <c r="N210" s="55"/>
      <c r="P210" s="58"/>
      <c r="Q210" s="59"/>
      <c r="R210" s="54"/>
      <c r="S210" s="55"/>
    </row>
    <row r="211" spans="11:19" x14ac:dyDescent="0.25">
      <c r="K211" s="58"/>
      <c r="L211" s="59"/>
      <c r="M211" s="54"/>
      <c r="N211" s="55"/>
      <c r="P211" s="58"/>
      <c r="Q211" s="59"/>
      <c r="R211" s="54"/>
      <c r="S211" s="55"/>
    </row>
    <row r="212" spans="11:19" x14ac:dyDescent="0.25">
      <c r="K212" s="58"/>
      <c r="L212" s="59"/>
      <c r="M212" s="54"/>
      <c r="N212" s="55"/>
      <c r="P212" s="58"/>
      <c r="Q212" s="59"/>
      <c r="R212" s="54"/>
      <c r="S212" s="55"/>
    </row>
    <row r="213" spans="11:19" x14ac:dyDescent="0.25">
      <c r="K213" s="58"/>
      <c r="L213" s="59"/>
      <c r="M213" s="54"/>
      <c r="N213" s="55"/>
      <c r="P213" s="58"/>
      <c r="Q213" s="59"/>
      <c r="R213" s="54"/>
      <c r="S213" s="55"/>
    </row>
    <row r="214" spans="11:19" x14ac:dyDescent="0.25">
      <c r="K214" s="58"/>
      <c r="L214" s="59"/>
      <c r="M214" s="54"/>
      <c r="N214" s="55"/>
      <c r="P214" s="58"/>
      <c r="Q214" s="59"/>
      <c r="R214" s="54"/>
      <c r="S214" s="55"/>
    </row>
    <row r="215" spans="11:19" x14ac:dyDescent="0.25">
      <c r="K215" s="58"/>
      <c r="L215" s="59"/>
      <c r="M215" s="54"/>
      <c r="N215" s="55"/>
      <c r="P215" s="58"/>
      <c r="Q215" s="59"/>
      <c r="R215" s="54"/>
      <c r="S215" s="55"/>
    </row>
    <row r="216" spans="11:19" x14ac:dyDescent="0.25">
      <c r="K216" s="58"/>
      <c r="L216" s="59"/>
      <c r="M216" s="54"/>
      <c r="N216" s="55"/>
      <c r="P216" s="58"/>
      <c r="Q216" s="59"/>
      <c r="R216" s="54"/>
      <c r="S216" s="55"/>
    </row>
    <row r="217" spans="11:19" x14ac:dyDescent="0.25">
      <c r="K217" s="58"/>
      <c r="L217" s="59"/>
      <c r="M217" s="54"/>
      <c r="N217" s="55"/>
      <c r="P217" s="58"/>
      <c r="Q217" s="59"/>
      <c r="R217" s="54"/>
      <c r="S217" s="55"/>
    </row>
    <row r="218" spans="11:19" x14ac:dyDescent="0.25">
      <c r="K218" s="58"/>
      <c r="L218" s="59"/>
      <c r="M218" s="54"/>
      <c r="N218" s="55"/>
      <c r="P218" s="58"/>
      <c r="Q218" s="59"/>
      <c r="R218" s="54"/>
      <c r="S218" s="55"/>
    </row>
    <row r="219" spans="11:19" x14ac:dyDescent="0.25">
      <c r="K219" s="58"/>
      <c r="L219" s="59"/>
      <c r="M219" s="54"/>
      <c r="N219" s="55"/>
      <c r="P219" s="58"/>
      <c r="Q219" s="59"/>
      <c r="R219" s="54"/>
      <c r="S219" s="55"/>
    </row>
    <row r="220" spans="11:19" x14ac:dyDescent="0.25">
      <c r="K220" s="58"/>
      <c r="L220" s="59"/>
      <c r="M220" s="54"/>
      <c r="N220" s="55"/>
      <c r="P220" s="58"/>
      <c r="Q220" s="59"/>
      <c r="R220" s="54"/>
      <c r="S220" s="55"/>
    </row>
    <row r="221" spans="11:19" x14ac:dyDescent="0.25">
      <c r="K221" s="58"/>
      <c r="L221" s="59"/>
      <c r="M221" s="54"/>
      <c r="N221" s="55"/>
      <c r="P221" s="58"/>
      <c r="Q221" s="59"/>
      <c r="R221" s="54"/>
      <c r="S221" s="55"/>
    </row>
    <row r="222" spans="11:19" x14ac:dyDescent="0.25">
      <c r="K222" s="58"/>
      <c r="L222" s="59"/>
      <c r="M222" s="54"/>
      <c r="N222" s="55"/>
      <c r="P222" s="58"/>
      <c r="Q222" s="59"/>
      <c r="R222" s="54"/>
      <c r="S222" s="55"/>
    </row>
    <row r="223" spans="11:19" x14ac:dyDescent="0.25">
      <c r="K223" s="58"/>
      <c r="L223" s="59"/>
      <c r="M223" s="54"/>
      <c r="N223" s="55"/>
      <c r="P223" s="58"/>
      <c r="Q223" s="59"/>
      <c r="R223" s="54"/>
      <c r="S223" s="55"/>
    </row>
    <row r="224" spans="11:19" x14ac:dyDescent="0.25">
      <c r="K224" s="58"/>
      <c r="L224" s="59"/>
      <c r="M224" s="54"/>
      <c r="N224" s="55"/>
      <c r="P224" s="58"/>
      <c r="Q224" s="59"/>
      <c r="R224" s="54"/>
      <c r="S224" s="55"/>
    </row>
    <row r="225" spans="11:19" x14ac:dyDescent="0.25">
      <c r="K225" s="58"/>
      <c r="L225" s="59"/>
      <c r="M225" s="54"/>
      <c r="N225" s="55"/>
      <c r="P225" s="58"/>
      <c r="Q225" s="59"/>
      <c r="R225" s="54"/>
      <c r="S225" s="55"/>
    </row>
    <row r="226" spans="11:19" x14ac:dyDescent="0.25">
      <c r="K226" s="58"/>
      <c r="L226" s="59"/>
      <c r="M226" s="54"/>
      <c r="N226" s="55"/>
      <c r="P226" s="58"/>
      <c r="Q226" s="59"/>
      <c r="R226" s="54"/>
      <c r="S226" s="55"/>
    </row>
    <row r="227" spans="11:19" x14ac:dyDescent="0.25">
      <c r="K227" s="58"/>
      <c r="L227" s="59"/>
      <c r="M227" s="54"/>
      <c r="N227" s="55"/>
      <c r="P227" s="58"/>
      <c r="Q227" s="59"/>
      <c r="R227" s="54"/>
      <c r="S227" s="55"/>
    </row>
    <row r="228" spans="11:19" x14ac:dyDescent="0.25">
      <c r="K228" s="58"/>
      <c r="L228" s="59"/>
      <c r="M228" s="54"/>
      <c r="N228" s="55"/>
      <c r="P228" s="58"/>
      <c r="Q228" s="59"/>
      <c r="R228" s="54"/>
      <c r="S228" s="55"/>
    </row>
    <row r="229" spans="11:19" x14ac:dyDescent="0.25">
      <c r="K229" s="58"/>
      <c r="L229" s="59"/>
      <c r="M229" s="54"/>
      <c r="N229" s="55"/>
      <c r="P229" s="58"/>
      <c r="Q229" s="59"/>
      <c r="R229" s="54"/>
      <c r="S229" s="55"/>
    </row>
    <row r="230" spans="11:19" x14ac:dyDescent="0.25">
      <c r="K230" s="58"/>
      <c r="L230" s="59"/>
      <c r="M230" s="54"/>
      <c r="N230" s="55"/>
      <c r="P230" s="58"/>
      <c r="Q230" s="59"/>
      <c r="R230" s="54"/>
      <c r="S230" s="55"/>
    </row>
    <row r="231" spans="11:19" x14ac:dyDescent="0.25">
      <c r="K231" s="58"/>
      <c r="L231" s="59"/>
      <c r="M231" s="54"/>
      <c r="N231" s="55"/>
      <c r="P231" s="58"/>
      <c r="Q231" s="59"/>
      <c r="R231" s="54"/>
      <c r="S231" s="55"/>
    </row>
    <row r="232" spans="11:19" x14ac:dyDescent="0.25">
      <c r="K232" s="58"/>
      <c r="L232" s="59"/>
      <c r="M232" s="54"/>
      <c r="N232" s="55"/>
      <c r="P232" s="58"/>
      <c r="Q232" s="59"/>
      <c r="R232" s="54"/>
      <c r="S232" s="55"/>
    </row>
    <row r="233" spans="11:19" x14ac:dyDescent="0.25">
      <c r="K233" s="58"/>
      <c r="L233" s="59"/>
      <c r="M233" s="54"/>
      <c r="N233" s="55"/>
      <c r="P233" s="58"/>
      <c r="Q233" s="59"/>
      <c r="R233" s="54"/>
      <c r="S233" s="55"/>
    </row>
    <row r="234" spans="11:19" x14ac:dyDescent="0.25">
      <c r="K234" s="58"/>
      <c r="L234" s="59"/>
      <c r="M234" s="54"/>
      <c r="N234" s="55"/>
      <c r="P234" s="58"/>
      <c r="Q234" s="59"/>
      <c r="R234" s="54"/>
      <c r="S234" s="55"/>
    </row>
    <row r="235" spans="11:19" x14ac:dyDescent="0.25">
      <c r="K235" s="58"/>
      <c r="L235" s="59"/>
      <c r="M235" s="54"/>
      <c r="N235" s="55"/>
      <c r="P235" s="58"/>
      <c r="Q235" s="59"/>
      <c r="R235" s="54"/>
      <c r="S235" s="55"/>
    </row>
    <row r="236" spans="11:19" x14ac:dyDescent="0.25">
      <c r="K236" s="58"/>
      <c r="L236" s="59"/>
      <c r="M236" s="54"/>
      <c r="N236" s="55"/>
      <c r="P236" s="58"/>
      <c r="Q236" s="59"/>
      <c r="R236" s="54"/>
      <c r="S236" s="55"/>
    </row>
    <row r="237" spans="11:19" x14ac:dyDescent="0.25">
      <c r="K237" s="58"/>
      <c r="L237" s="59"/>
      <c r="M237" s="54"/>
      <c r="N237" s="55"/>
      <c r="P237" s="58"/>
      <c r="Q237" s="59"/>
      <c r="R237" s="54"/>
      <c r="S237" s="55"/>
    </row>
    <row r="238" spans="11:19" x14ac:dyDescent="0.25">
      <c r="K238" s="58"/>
      <c r="L238" s="59"/>
      <c r="M238" s="54"/>
      <c r="N238" s="55"/>
      <c r="P238" s="58"/>
      <c r="Q238" s="59"/>
      <c r="R238" s="54"/>
      <c r="S238" s="55"/>
    </row>
    <row r="239" spans="11:19" x14ac:dyDescent="0.25">
      <c r="K239" s="58"/>
      <c r="L239" s="59"/>
      <c r="M239" s="54"/>
      <c r="N239" s="55"/>
      <c r="P239" s="58"/>
      <c r="Q239" s="59"/>
      <c r="R239" s="54"/>
      <c r="S239" s="55"/>
    </row>
    <row r="240" spans="11:19" x14ac:dyDescent="0.25">
      <c r="K240" s="58"/>
      <c r="L240" s="59"/>
      <c r="M240" s="54"/>
      <c r="N240" s="55"/>
      <c r="P240" s="58"/>
      <c r="Q240" s="59"/>
      <c r="R240" s="54"/>
      <c r="S240" s="55"/>
    </row>
    <row r="241" spans="11:19" x14ac:dyDescent="0.25">
      <c r="K241" s="58"/>
      <c r="L241" s="59"/>
      <c r="M241" s="54"/>
      <c r="N241" s="55"/>
      <c r="P241" s="58"/>
      <c r="Q241" s="59"/>
      <c r="R241" s="54"/>
      <c r="S241" s="55"/>
    </row>
    <row r="242" spans="11:19" x14ac:dyDescent="0.25">
      <c r="K242" s="58"/>
      <c r="L242" s="59"/>
      <c r="M242" s="54"/>
      <c r="N242" s="55"/>
      <c r="P242" s="58"/>
      <c r="Q242" s="59"/>
      <c r="R242" s="54"/>
      <c r="S242" s="55"/>
    </row>
    <row r="243" spans="11:19" x14ac:dyDescent="0.25">
      <c r="K243" s="58"/>
      <c r="L243" s="59"/>
      <c r="M243" s="54"/>
      <c r="N243" s="55"/>
      <c r="P243" s="58"/>
      <c r="Q243" s="59"/>
      <c r="R243" s="54"/>
      <c r="S243" s="55"/>
    </row>
    <row r="244" spans="11:19" x14ac:dyDescent="0.25">
      <c r="K244" s="58"/>
      <c r="L244" s="59"/>
      <c r="M244" s="54"/>
      <c r="N244" s="55"/>
      <c r="P244" s="58"/>
      <c r="Q244" s="59"/>
      <c r="R244" s="54"/>
      <c r="S244" s="55"/>
    </row>
    <row r="245" spans="11:19" x14ac:dyDescent="0.25">
      <c r="K245" s="58"/>
      <c r="L245" s="59"/>
      <c r="M245" s="54"/>
      <c r="N245" s="55"/>
      <c r="P245" s="58"/>
      <c r="Q245" s="59"/>
      <c r="R245" s="54"/>
      <c r="S245" s="55"/>
    </row>
    <row r="246" spans="11:19" x14ac:dyDescent="0.25">
      <c r="K246" s="58"/>
      <c r="L246" s="59"/>
      <c r="M246" s="54"/>
      <c r="N246" s="55"/>
      <c r="P246" s="58"/>
      <c r="Q246" s="59"/>
      <c r="R246" s="54"/>
      <c r="S246" s="55"/>
    </row>
    <row r="247" spans="11:19" x14ac:dyDescent="0.25">
      <c r="K247" s="58"/>
      <c r="L247" s="59"/>
      <c r="M247" s="54"/>
      <c r="N247" s="55"/>
      <c r="P247" s="58"/>
      <c r="Q247" s="59"/>
      <c r="R247" s="54"/>
      <c r="S247" s="55"/>
    </row>
    <row r="248" spans="11:19" x14ac:dyDescent="0.25">
      <c r="K248" s="58"/>
      <c r="L248" s="59"/>
      <c r="M248" s="54"/>
      <c r="N248" s="55"/>
      <c r="P248" s="58"/>
      <c r="Q248" s="59"/>
      <c r="R248" s="54"/>
      <c r="S248" s="55"/>
    </row>
    <row r="249" spans="11:19" x14ac:dyDescent="0.25">
      <c r="K249" s="58"/>
      <c r="L249" s="59"/>
      <c r="M249" s="54"/>
      <c r="N249" s="55"/>
      <c r="P249" s="58"/>
      <c r="Q249" s="59"/>
      <c r="R249" s="54"/>
      <c r="S249" s="55"/>
    </row>
    <row r="250" spans="11:19" x14ac:dyDescent="0.25">
      <c r="K250" s="58"/>
      <c r="L250" s="59"/>
      <c r="M250" s="54"/>
      <c r="N250" s="55"/>
      <c r="P250" s="58"/>
      <c r="Q250" s="59"/>
      <c r="R250" s="54"/>
      <c r="S250" s="55"/>
    </row>
    <row r="251" spans="11:19" x14ac:dyDescent="0.25">
      <c r="K251" s="58"/>
      <c r="L251" s="59"/>
      <c r="M251" s="54"/>
      <c r="N251" s="55"/>
      <c r="P251" s="58"/>
      <c r="Q251" s="59"/>
      <c r="R251" s="54"/>
      <c r="S251" s="55"/>
    </row>
    <row r="252" spans="11:19" x14ac:dyDescent="0.25">
      <c r="K252" s="58"/>
      <c r="L252" s="59"/>
      <c r="M252" s="54"/>
      <c r="N252" s="55"/>
      <c r="P252" s="58"/>
      <c r="Q252" s="59"/>
      <c r="R252" s="54"/>
      <c r="S252" s="55"/>
    </row>
    <row r="253" spans="11:19" x14ac:dyDescent="0.25">
      <c r="K253" s="58"/>
      <c r="L253" s="59"/>
      <c r="M253" s="54"/>
      <c r="N253" s="55"/>
      <c r="P253" s="58"/>
      <c r="Q253" s="59"/>
      <c r="R253" s="54"/>
      <c r="S253" s="55"/>
    </row>
    <row r="254" spans="11:19" x14ac:dyDescent="0.25">
      <c r="K254" s="58"/>
      <c r="L254" s="59"/>
      <c r="M254" s="54"/>
      <c r="N254" s="55"/>
      <c r="P254" s="58"/>
      <c r="Q254" s="59"/>
      <c r="R254" s="54"/>
      <c r="S254" s="55"/>
    </row>
    <row r="255" spans="11:19" x14ac:dyDescent="0.25">
      <c r="K255" s="58"/>
      <c r="L255" s="59"/>
      <c r="M255" s="54"/>
      <c r="N255" s="55"/>
      <c r="P255" s="58"/>
      <c r="Q255" s="59"/>
      <c r="R255" s="54"/>
      <c r="S255" s="55"/>
    </row>
    <row r="256" spans="11:19" x14ac:dyDescent="0.25">
      <c r="K256" s="58"/>
      <c r="L256" s="59"/>
      <c r="M256" s="54"/>
      <c r="N256" s="55"/>
      <c r="P256" s="58"/>
      <c r="Q256" s="59"/>
      <c r="R256" s="54"/>
      <c r="S256" s="55"/>
    </row>
    <row r="257" spans="11:19" x14ac:dyDescent="0.25">
      <c r="K257" s="58"/>
      <c r="L257" s="59"/>
      <c r="M257" s="54"/>
      <c r="N257" s="55"/>
      <c r="P257" s="58"/>
      <c r="Q257" s="59"/>
      <c r="R257" s="54"/>
      <c r="S257" s="55"/>
    </row>
    <row r="258" spans="11:19" x14ac:dyDescent="0.25">
      <c r="K258" s="58"/>
      <c r="L258" s="59"/>
      <c r="M258" s="54"/>
      <c r="N258" s="55"/>
      <c r="P258" s="58"/>
      <c r="Q258" s="59"/>
      <c r="R258" s="54"/>
      <c r="S258" s="55"/>
    </row>
    <row r="259" spans="11:19" x14ac:dyDescent="0.25">
      <c r="K259" s="58"/>
      <c r="L259" s="59"/>
      <c r="M259" s="54"/>
      <c r="N259" s="55"/>
      <c r="P259" s="58"/>
      <c r="Q259" s="59"/>
      <c r="R259" s="54"/>
      <c r="S259" s="55"/>
    </row>
    <row r="260" spans="11:19" x14ac:dyDescent="0.25">
      <c r="K260" s="58"/>
      <c r="L260" s="59"/>
      <c r="M260" s="54"/>
      <c r="N260" s="55"/>
      <c r="P260" s="58"/>
      <c r="Q260" s="59"/>
      <c r="R260" s="54"/>
      <c r="S260" s="55"/>
    </row>
    <row r="261" spans="11:19" x14ac:dyDescent="0.25">
      <c r="K261" s="58"/>
      <c r="L261" s="59"/>
      <c r="M261" s="54"/>
      <c r="N261" s="55"/>
      <c r="P261" s="58"/>
      <c r="Q261" s="59"/>
      <c r="R261" s="54"/>
      <c r="S261" s="55"/>
    </row>
    <row r="262" spans="11:19" x14ac:dyDescent="0.25">
      <c r="K262" s="58"/>
      <c r="L262" s="59"/>
      <c r="M262" s="54"/>
      <c r="N262" s="55"/>
      <c r="P262" s="58"/>
      <c r="Q262" s="59"/>
      <c r="R262" s="54"/>
      <c r="S262" s="55"/>
    </row>
    <row r="263" spans="11:19" x14ac:dyDescent="0.25">
      <c r="K263" s="58"/>
      <c r="L263" s="59"/>
      <c r="M263" s="54"/>
      <c r="N263" s="55"/>
      <c r="P263" s="58"/>
      <c r="Q263" s="59"/>
      <c r="R263" s="54"/>
      <c r="S263" s="55"/>
    </row>
    <row r="264" spans="11:19" x14ac:dyDescent="0.25">
      <c r="K264" s="58"/>
      <c r="L264" s="59"/>
      <c r="M264" s="54"/>
      <c r="N264" s="55"/>
      <c r="P264" s="58"/>
      <c r="Q264" s="59"/>
      <c r="R264" s="54"/>
      <c r="S264" s="55"/>
    </row>
    <row r="265" spans="11:19" x14ac:dyDescent="0.25">
      <c r="K265" s="58"/>
      <c r="L265" s="59"/>
      <c r="M265" s="54"/>
      <c r="N265" s="55"/>
      <c r="P265" s="58"/>
      <c r="Q265" s="59"/>
      <c r="R265" s="54"/>
      <c r="S265" s="55"/>
    </row>
    <row r="266" spans="11:19" x14ac:dyDescent="0.25">
      <c r="K266" s="58"/>
      <c r="L266" s="59"/>
      <c r="M266" s="54"/>
      <c r="N266" s="55"/>
      <c r="P266" s="58"/>
      <c r="Q266" s="59"/>
      <c r="R266" s="54"/>
      <c r="S266" s="55"/>
    </row>
    <row r="267" spans="11:19" x14ac:dyDescent="0.25">
      <c r="K267" s="58"/>
      <c r="L267" s="59"/>
      <c r="M267" s="54"/>
      <c r="N267" s="55"/>
      <c r="P267" s="58"/>
      <c r="Q267" s="59"/>
      <c r="R267" s="54"/>
      <c r="S267" s="55"/>
    </row>
    <row r="268" spans="11:19" x14ac:dyDescent="0.25">
      <c r="K268" s="58"/>
      <c r="L268" s="59"/>
      <c r="M268" s="54"/>
      <c r="N268" s="55"/>
      <c r="P268" s="58"/>
      <c r="Q268" s="59"/>
      <c r="R268" s="54"/>
      <c r="S268" s="55"/>
    </row>
    <row r="269" spans="11:19" x14ac:dyDescent="0.25">
      <c r="K269" s="58"/>
      <c r="L269" s="59"/>
      <c r="M269" s="54"/>
      <c r="N269" s="55"/>
      <c r="P269" s="58"/>
      <c r="Q269" s="59"/>
      <c r="R269" s="54"/>
      <c r="S269" s="55"/>
    </row>
    <row r="270" spans="11:19" x14ac:dyDescent="0.25">
      <c r="K270" s="58"/>
      <c r="L270" s="59"/>
      <c r="M270" s="54"/>
      <c r="N270" s="55"/>
      <c r="P270" s="58"/>
      <c r="Q270" s="59"/>
      <c r="R270" s="54"/>
      <c r="S270" s="55"/>
    </row>
    <row r="271" spans="11:19" x14ac:dyDescent="0.25">
      <c r="K271" s="58"/>
      <c r="L271" s="59"/>
      <c r="M271" s="54"/>
      <c r="N271" s="55"/>
      <c r="P271" s="58"/>
      <c r="Q271" s="59"/>
      <c r="R271" s="54"/>
      <c r="S271" s="55"/>
    </row>
    <row r="272" spans="11:19" x14ac:dyDescent="0.25">
      <c r="K272" s="58"/>
      <c r="L272" s="59"/>
      <c r="M272" s="54"/>
      <c r="N272" s="55"/>
      <c r="P272" s="58"/>
      <c r="Q272" s="59"/>
      <c r="R272" s="54"/>
      <c r="S272" s="55"/>
    </row>
    <row r="273" spans="11:19" x14ac:dyDescent="0.25">
      <c r="K273" s="58"/>
      <c r="L273" s="59"/>
      <c r="M273" s="54"/>
      <c r="N273" s="55"/>
      <c r="P273" s="58"/>
      <c r="Q273" s="59"/>
      <c r="R273" s="54"/>
      <c r="S273" s="55"/>
    </row>
    <row r="274" spans="11:19" x14ac:dyDescent="0.25">
      <c r="K274" s="58"/>
      <c r="L274" s="59"/>
      <c r="M274" s="54"/>
      <c r="N274" s="55"/>
      <c r="P274" s="58"/>
      <c r="Q274" s="59"/>
      <c r="R274" s="54"/>
      <c r="S274" s="55"/>
    </row>
    <row r="275" spans="11:19" x14ac:dyDescent="0.25">
      <c r="K275" s="58"/>
      <c r="L275" s="59"/>
      <c r="M275" s="54"/>
      <c r="N275" s="55"/>
      <c r="P275" s="58"/>
      <c r="Q275" s="59"/>
      <c r="R275" s="54"/>
      <c r="S275" s="55"/>
    </row>
    <row r="276" spans="11:19" x14ac:dyDescent="0.25">
      <c r="K276" s="58"/>
      <c r="L276" s="59"/>
      <c r="M276" s="54"/>
      <c r="N276" s="55"/>
      <c r="P276" s="58"/>
      <c r="Q276" s="59"/>
      <c r="R276" s="54"/>
      <c r="S276" s="55"/>
    </row>
    <row r="277" spans="11:19" x14ac:dyDescent="0.25">
      <c r="K277" s="58"/>
      <c r="L277" s="59"/>
      <c r="M277" s="54"/>
      <c r="N277" s="55"/>
      <c r="P277" s="58"/>
      <c r="Q277" s="59"/>
      <c r="R277" s="54"/>
      <c r="S277" s="55"/>
    </row>
    <row r="278" spans="11:19" x14ac:dyDescent="0.25">
      <c r="K278" s="58"/>
      <c r="L278" s="59"/>
      <c r="M278" s="54"/>
      <c r="N278" s="55"/>
      <c r="P278" s="58"/>
      <c r="Q278" s="59"/>
      <c r="R278" s="54"/>
      <c r="S278" s="55"/>
    </row>
    <row r="279" spans="11:19" x14ac:dyDescent="0.25">
      <c r="K279" s="58"/>
      <c r="L279" s="59"/>
      <c r="M279" s="54"/>
      <c r="N279" s="55"/>
      <c r="P279" s="58"/>
      <c r="Q279" s="59"/>
      <c r="R279" s="54"/>
      <c r="S279" s="55"/>
    </row>
    <row r="280" spans="11:19" x14ac:dyDescent="0.25">
      <c r="K280" s="58"/>
      <c r="L280" s="59"/>
      <c r="M280" s="54"/>
      <c r="N280" s="55"/>
      <c r="P280" s="58"/>
      <c r="Q280" s="59"/>
      <c r="R280" s="54"/>
      <c r="S280" s="55"/>
    </row>
    <row r="281" spans="11:19" x14ac:dyDescent="0.25">
      <c r="K281" s="58"/>
      <c r="L281" s="59"/>
      <c r="M281" s="54"/>
      <c r="N281" s="55"/>
      <c r="P281" s="58"/>
      <c r="Q281" s="59"/>
      <c r="R281" s="54"/>
      <c r="S281" s="55"/>
    </row>
    <row r="282" spans="11:19" x14ac:dyDescent="0.25">
      <c r="K282" s="58"/>
      <c r="L282" s="59"/>
      <c r="M282" s="54"/>
      <c r="N282" s="55"/>
      <c r="P282" s="58"/>
      <c r="Q282" s="59"/>
      <c r="R282" s="54"/>
      <c r="S282" s="55"/>
    </row>
    <row r="283" spans="11:19" x14ac:dyDescent="0.25">
      <c r="K283" s="58"/>
      <c r="L283" s="59"/>
      <c r="M283" s="54"/>
      <c r="N283" s="55"/>
      <c r="P283" s="58"/>
      <c r="Q283" s="59"/>
      <c r="R283" s="54"/>
      <c r="S283" s="55"/>
    </row>
    <row r="284" spans="11:19" x14ac:dyDescent="0.25">
      <c r="K284" s="58"/>
      <c r="L284" s="59"/>
      <c r="M284" s="54"/>
      <c r="N284" s="55"/>
      <c r="P284" s="58"/>
      <c r="Q284" s="59"/>
      <c r="R284" s="54"/>
      <c r="S284" s="55"/>
    </row>
    <row r="285" spans="11:19" x14ac:dyDescent="0.25">
      <c r="K285" s="58"/>
      <c r="L285" s="59"/>
      <c r="M285" s="54"/>
      <c r="N285" s="55"/>
      <c r="P285" s="58"/>
      <c r="Q285" s="59"/>
      <c r="R285" s="54"/>
      <c r="S285" s="55"/>
    </row>
    <row r="286" spans="11:19" x14ac:dyDescent="0.25">
      <c r="K286" s="58"/>
      <c r="L286" s="59"/>
      <c r="M286" s="54"/>
      <c r="N286" s="55"/>
      <c r="P286" s="58"/>
      <c r="Q286" s="59"/>
      <c r="R286" s="54"/>
      <c r="S286" s="55"/>
    </row>
    <row r="287" spans="11:19" x14ac:dyDescent="0.25">
      <c r="K287" s="58"/>
      <c r="L287" s="59"/>
      <c r="M287" s="54"/>
      <c r="N287" s="55"/>
      <c r="P287" s="58"/>
      <c r="Q287" s="59"/>
      <c r="R287" s="54"/>
      <c r="S287" s="55"/>
    </row>
    <row r="288" spans="11:19" x14ac:dyDescent="0.25">
      <c r="K288" s="58"/>
      <c r="L288" s="59"/>
      <c r="M288" s="54"/>
      <c r="N288" s="55"/>
      <c r="P288" s="58"/>
      <c r="Q288" s="59"/>
      <c r="R288" s="54"/>
      <c r="S288" s="55"/>
    </row>
    <row r="289" spans="11:19" x14ac:dyDescent="0.25">
      <c r="K289" s="58"/>
      <c r="L289" s="59"/>
      <c r="M289" s="54"/>
      <c r="N289" s="55"/>
      <c r="P289" s="58"/>
      <c r="Q289" s="59"/>
      <c r="R289" s="54"/>
      <c r="S289" s="55"/>
    </row>
    <row r="290" spans="11:19" x14ac:dyDescent="0.25">
      <c r="K290" s="58"/>
      <c r="L290" s="59"/>
      <c r="M290" s="54"/>
      <c r="N290" s="55"/>
      <c r="P290" s="58"/>
      <c r="Q290" s="59"/>
      <c r="R290" s="54"/>
      <c r="S290" s="55"/>
    </row>
    <row r="291" spans="11:19" x14ac:dyDescent="0.25">
      <c r="K291" s="58"/>
      <c r="L291" s="59"/>
      <c r="M291" s="54"/>
      <c r="N291" s="55"/>
      <c r="P291" s="58"/>
      <c r="Q291" s="59"/>
      <c r="R291" s="54"/>
      <c r="S291" s="55"/>
    </row>
    <row r="292" spans="11:19" x14ac:dyDescent="0.25">
      <c r="K292" s="58"/>
      <c r="L292" s="59"/>
      <c r="M292" s="54"/>
      <c r="N292" s="55"/>
      <c r="P292" s="58"/>
      <c r="Q292" s="59"/>
      <c r="R292" s="54"/>
      <c r="S292" s="55"/>
    </row>
    <row r="293" spans="11:19" x14ac:dyDescent="0.25">
      <c r="K293" s="58"/>
      <c r="L293" s="59"/>
      <c r="M293" s="54"/>
      <c r="N293" s="55"/>
      <c r="P293" s="58"/>
      <c r="Q293" s="59"/>
      <c r="R293" s="54"/>
      <c r="S293" s="55"/>
    </row>
    <row r="294" spans="11:19" x14ac:dyDescent="0.25">
      <c r="K294" s="58"/>
      <c r="L294" s="59"/>
      <c r="M294" s="54"/>
      <c r="N294" s="55"/>
      <c r="P294" s="58"/>
      <c r="Q294" s="59"/>
      <c r="R294" s="54"/>
      <c r="S294" s="55"/>
    </row>
    <row r="295" spans="11:19" x14ac:dyDescent="0.25">
      <c r="K295" s="58"/>
      <c r="L295" s="59"/>
      <c r="M295" s="54"/>
      <c r="N295" s="55"/>
      <c r="P295" s="58"/>
      <c r="Q295" s="59"/>
      <c r="R295" s="54"/>
      <c r="S295" s="55"/>
    </row>
    <row r="296" spans="11:19" x14ac:dyDescent="0.25">
      <c r="K296" s="58"/>
      <c r="L296" s="59"/>
      <c r="M296" s="54"/>
      <c r="N296" s="55"/>
      <c r="P296" s="58"/>
      <c r="Q296" s="59"/>
      <c r="R296" s="54"/>
      <c r="S296" s="55"/>
    </row>
    <row r="297" spans="11:19" x14ac:dyDescent="0.25">
      <c r="K297" s="58"/>
      <c r="L297" s="59"/>
      <c r="M297" s="54"/>
      <c r="N297" s="55"/>
      <c r="P297" s="58"/>
      <c r="Q297" s="59"/>
      <c r="R297" s="54"/>
      <c r="S297" s="55"/>
    </row>
    <row r="298" spans="11:19" x14ac:dyDescent="0.25">
      <c r="K298" s="58"/>
      <c r="L298" s="59"/>
      <c r="M298" s="54"/>
      <c r="N298" s="55"/>
      <c r="P298" s="58"/>
      <c r="Q298" s="59"/>
      <c r="R298" s="54"/>
      <c r="S298" s="55"/>
    </row>
    <row r="299" spans="11:19" x14ac:dyDescent="0.25">
      <c r="K299" s="58"/>
      <c r="L299" s="59"/>
      <c r="M299" s="54"/>
      <c r="N299" s="55"/>
      <c r="P299" s="58"/>
      <c r="Q299" s="59"/>
      <c r="R299" s="54"/>
      <c r="S299" s="55"/>
    </row>
    <row r="300" spans="11:19" x14ac:dyDescent="0.25">
      <c r="K300" s="58"/>
      <c r="L300" s="59"/>
      <c r="M300" s="54"/>
      <c r="N300" s="55"/>
      <c r="P300" s="58"/>
      <c r="Q300" s="59"/>
      <c r="R300" s="54"/>
      <c r="S300" s="55"/>
    </row>
    <row r="301" spans="11:19" x14ac:dyDescent="0.25">
      <c r="K301" s="58"/>
      <c r="L301" s="59"/>
      <c r="M301" s="54"/>
      <c r="N301" s="55"/>
      <c r="P301" s="58"/>
      <c r="Q301" s="59"/>
      <c r="R301" s="54"/>
      <c r="S301" s="55"/>
    </row>
    <row r="302" spans="11:19" x14ac:dyDescent="0.25">
      <c r="K302" s="58"/>
      <c r="L302" s="59"/>
      <c r="M302" s="54"/>
      <c r="N302" s="55"/>
      <c r="P302" s="58"/>
      <c r="Q302" s="59"/>
      <c r="R302" s="54"/>
      <c r="S302" s="55"/>
    </row>
    <row r="303" spans="11:19" x14ac:dyDescent="0.25">
      <c r="K303" s="58"/>
      <c r="L303" s="59"/>
      <c r="M303" s="54"/>
      <c r="N303" s="55"/>
      <c r="P303" s="58"/>
      <c r="Q303" s="59"/>
      <c r="R303" s="54"/>
      <c r="S303" s="55"/>
    </row>
    <row r="304" spans="11:19" x14ac:dyDescent="0.25">
      <c r="K304" s="58"/>
      <c r="L304" s="59"/>
      <c r="M304" s="54"/>
      <c r="N304" s="55"/>
      <c r="P304" s="58"/>
      <c r="Q304" s="59"/>
      <c r="R304" s="54"/>
      <c r="S304" s="55"/>
    </row>
    <row r="305" spans="11:19" x14ac:dyDescent="0.25">
      <c r="K305" s="58"/>
      <c r="L305" s="59"/>
      <c r="M305" s="54"/>
      <c r="N305" s="55"/>
      <c r="P305" s="58"/>
      <c r="Q305" s="59"/>
      <c r="R305" s="54"/>
      <c r="S305" s="55"/>
    </row>
    <row r="306" spans="11:19" x14ac:dyDescent="0.25">
      <c r="K306" s="58"/>
      <c r="L306" s="59"/>
      <c r="M306" s="54"/>
      <c r="N306" s="55"/>
      <c r="P306" s="58"/>
      <c r="Q306" s="59"/>
      <c r="R306" s="54"/>
      <c r="S306" s="55"/>
    </row>
    <row r="307" spans="11:19" x14ac:dyDescent="0.25">
      <c r="K307" s="58"/>
      <c r="L307" s="59"/>
      <c r="M307" s="54"/>
      <c r="N307" s="55"/>
      <c r="P307" s="58"/>
      <c r="Q307" s="59"/>
      <c r="R307" s="54"/>
      <c r="S307" s="55"/>
    </row>
    <row r="308" spans="11:19" x14ac:dyDescent="0.25">
      <c r="K308" s="58"/>
      <c r="L308" s="59"/>
      <c r="M308" s="54"/>
      <c r="N308" s="55"/>
      <c r="P308" s="58"/>
      <c r="Q308" s="59"/>
      <c r="R308" s="54"/>
      <c r="S308" s="55"/>
    </row>
    <row r="309" spans="11:19" x14ac:dyDescent="0.25">
      <c r="K309" s="58"/>
      <c r="L309" s="59"/>
      <c r="M309" s="54"/>
      <c r="N309" s="55"/>
      <c r="P309" s="58"/>
      <c r="Q309" s="59"/>
      <c r="R309" s="54"/>
      <c r="S309" s="55"/>
    </row>
    <row r="310" spans="11:19" x14ac:dyDescent="0.25">
      <c r="K310" s="58"/>
      <c r="L310" s="59"/>
      <c r="M310" s="54"/>
      <c r="N310" s="55"/>
      <c r="P310" s="58"/>
      <c r="Q310" s="59"/>
      <c r="R310" s="54"/>
      <c r="S310" s="55"/>
    </row>
    <row r="311" spans="11:19" x14ac:dyDescent="0.25">
      <c r="K311" s="58"/>
      <c r="L311" s="59"/>
      <c r="M311" s="54"/>
      <c r="N311" s="55"/>
      <c r="P311" s="58"/>
      <c r="Q311" s="59"/>
      <c r="R311" s="54"/>
      <c r="S311" s="55"/>
    </row>
    <row r="312" spans="11:19" x14ac:dyDescent="0.25">
      <c r="K312" s="58"/>
      <c r="L312" s="59"/>
      <c r="M312" s="54"/>
      <c r="N312" s="55"/>
      <c r="P312" s="58"/>
      <c r="Q312" s="59"/>
      <c r="R312" s="54"/>
      <c r="S312" s="55"/>
    </row>
    <row r="313" spans="11:19" x14ac:dyDescent="0.25">
      <c r="K313" s="58"/>
      <c r="L313" s="59"/>
      <c r="M313" s="54"/>
      <c r="N313" s="55"/>
      <c r="P313" s="58"/>
      <c r="Q313" s="59"/>
      <c r="R313" s="54"/>
      <c r="S313" s="55"/>
    </row>
    <row r="314" spans="11:19" x14ac:dyDescent="0.25">
      <c r="K314" s="58"/>
      <c r="L314" s="59"/>
      <c r="M314" s="54"/>
      <c r="N314" s="55"/>
      <c r="P314" s="58"/>
      <c r="Q314" s="59"/>
      <c r="R314" s="54"/>
      <c r="S314" s="55"/>
    </row>
    <row r="315" spans="11:19" x14ac:dyDescent="0.25">
      <c r="K315" s="58"/>
      <c r="L315" s="59"/>
      <c r="M315" s="54"/>
      <c r="N315" s="55"/>
      <c r="P315" s="58"/>
      <c r="Q315" s="59"/>
      <c r="R315" s="54"/>
      <c r="S315" s="55"/>
    </row>
    <row r="316" spans="11:19" x14ac:dyDescent="0.25">
      <c r="K316" s="58"/>
      <c r="L316" s="59"/>
      <c r="M316" s="54"/>
      <c r="N316" s="55"/>
      <c r="P316" s="58"/>
      <c r="Q316" s="59"/>
      <c r="R316" s="54"/>
      <c r="S316" s="55"/>
    </row>
    <row r="317" spans="11:19" x14ac:dyDescent="0.25">
      <c r="K317" s="58"/>
      <c r="L317" s="59"/>
      <c r="M317" s="54"/>
      <c r="N317" s="55"/>
      <c r="P317" s="58"/>
      <c r="Q317" s="59"/>
      <c r="R317" s="54"/>
      <c r="S317" s="55"/>
    </row>
    <row r="318" spans="11:19" x14ac:dyDescent="0.25">
      <c r="K318" s="58"/>
      <c r="L318" s="59"/>
      <c r="M318" s="54"/>
      <c r="N318" s="55"/>
      <c r="P318" s="58"/>
      <c r="Q318" s="59"/>
      <c r="R318" s="54"/>
      <c r="S318" s="55"/>
    </row>
    <row r="319" spans="11:19" x14ac:dyDescent="0.25">
      <c r="K319" s="58"/>
      <c r="L319" s="59"/>
      <c r="M319" s="54"/>
      <c r="N319" s="55"/>
      <c r="P319" s="58"/>
      <c r="Q319" s="59"/>
      <c r="R319" s="54"/>
      <c r="S319" s="55"/>
    </row>
    <row r="320" spans="11:19" x14ac:dyDescent="0.25">
      <c r="K320" s="58"/>
      <c r="L320" s="59"/>
      <c r="M320" s="54"/>
      <c r="N320" s="55"/>
      <c r="P320" s="58"/>
      <c r="Q320" s="59"/>
      <c r="R320" s="54"/>
      <c r="S320" s="55"/>
    </row>
    <row r="321" spans="11:19" x14ac:dyDescent="0.25">
      <c r="K321" s="58"/>
      <c r="L321" s="59"/>
      <c r="M321" s="54"/>
      <c r="N321" s="55"/>
      <c r="P321" s="58"/>
      <c r="Q321" s="59"/>
      <c r="R321" s="54"/>
      <c r="S321" s="55"/>
    </row>
    <row r="322" spans="11:19" x14ac:dyDescent="0.25">
      <c r="K322" s="58"/>
      <c r="L322" s="59"/>
      <c r="M322" s="54"/>
      <c r="N322" s="55"/>
      <c r="P322" s="58"/>
      <c r="Q322" s="59"/>
      <c r="R322" s="54"/>
      <c r="S322" s="55"/>
    </row>
    <row r="323" spans="11:19" x14ac:dyDescent="0.25">
      <c r="K323" s="58"/>
      <c r="L323" s="59"/>
      <c r="M323" s="54"/>
      <c r="N323" s="55"/>
      <c r="P323" s="58"/>
      <c r="Q323" s="59"/>
      <c r="R323" s="54"/>
      <c r="S323" s="55"/>
    </row>
    <row r="324" spans="11:19" x14ac:dyDescent="0.25">
      <c r="K324" s="58"/>
      <c r="L324" s="59"/>
      <c r="M324" s="54"/>
      <c r="N324" s="55"/>
      <c r="P324" s="58"/>
      <c r="Q324" s="59"/>
      <c r="R324" s="54"/>
      <c r="S324" s="55"/>
    </row>
    <row r="325" spans="11:19" x14ac:dyDescent="0.25">
      <c r="K325" s="58"/>
      <c r="L325" s="59"/>
      <c r="M325" s="54"/>
      <c r="N325" s="55"/>
      <c r="P325" s="58"/>
      <c r="Q325" s="59"/>
      <c r="R325" s="54"/>
      <c r="S325" s="55"/>
    </row>
    <row r="326" spans="11:19" x14ac:dyDescent="0.25">
      <c r="K326" s="58"/>
      <c r="L326" s="59"/>
      <c r="M326" s="54"/>
      <c r="N326" s="55"/>
      <c r="P326" s="58"/>
      <c r="Q326" s="59"/>
      <c r="R326" s="54"/>
      <c r="S326" s="55"/>
    </row>
    <row r="327" spans="11:19" x14ac:dyDescent="0.25">
      <c r="K327" s="58"/>
      <c r="L327" s="59"/>
      <c r="M327" s="54"/>
      <c r="N327" s="55"/>
      <c r="P327" s="58"/>
      <c r="Q327" s="59"/>
      <c r="R327" s="54"/>
      <c r="S327" s="55"/>
    </row>
    <row r="328" spans="11:19" x14ac:dyDescent="0.25">
      <c r="K328" s="58"/>
      <c r="L328" s="59"/>
      <c r="M328" s="54"/>
      <c r="N328" s="55"/>
      <c r="P328" s="58"/>
      <c r="Q328" s="59"/>
      <c r="R328" s="54"/>
      <c r="S328" s="55"/>
    </row>
    <row r="329" spans="11:19" x14ac:dyDescent="0.25">
      <c r="K329" s="58"/>
      <c r="L329" s="59"/>
      <c r="M329" s="54"/>
      <c r="N329" s="55"/>
      <c r="P329" s="58"/>
      <c r="Q329" s="59"/>
      <c r="R329" s="54"/>
      <c r="S329" s="55"/>
    </row>
    <row r="330" spans="11:19" x14ac:dyDescent="0.25">
      <c r="K330" s="58"/>
      <c r="L330" s="59"/>
      <c r="M330" s="54"/>
      <c r="N330" s="55"/>
      <c r="P330" s="58"/>
      <c r="Q330" s="59"/>
      <c r="R330" s="54"/>
      <c r="S330" s="55"/>
    </row>
    <row r="331" spans="11:19" x14ac:dyDescent="0.25">
      <c r="K331" s="58"/>
      <c r="L331" s="59"/>
      <c r="M331" s="54"/>
      <c r="N331" s="55"/>
      <c r="P331" s="58"/>
      <c r="Q331" s="59"/>
      <c r="R331" s="54"/>
      <c r="S331" s="55"/>
    </row>
    <row r="332" spans="11:19" x14ac:dyDescent="0.25">
      <c r="K332" s="58"/>
      <c r="L332" s="59"/>
      <c r="M332" s="54"/>
      <c r="N332" s="55"/>
      <c r="P332" s="58"/>
      <c r="Q332" s="59"/>
      <c r="R332" s="54"/>
      <c r="S332" s="55"/>
    </row>
    <row r="333" spans="11:19" x14ac:dyDescent="0.25">
      <c r="K333" s="58"/>
      <c r="L333" s="59"/>
      <c r="M333" s="54"/>
      <c r="N333" s="55"/>
      <c r="P333" s="58"/>
      <c r="Q333" s="59"/>
      <c r="R333" s="54"/>
      <c r="S333" s="55"/>
    </row>
    <row r="334" spans="11:19" x14ac:dyDescent="0.25">
      <c r="K334" s="58"/>
      <c r="L334" s="59"/>
      <c r="M334" s="54"/>
      <c r="N334" s="55"/>
      <c r="P334" s="58"/>
      <c r="Q334" s="59"/>
      <c r="R334" s="54"/>
      <c r="S334" s="55"/>
    </row>
    <row r="335" spans="11:19" x14ac:dyDescent="0.25">
      <c r="K335" s="58"/>
      <c r="L335" s="59"/>
      <c r="M335" s="54"/>
      <c r="N335" s="55"/>
      <c r="P335" s="58"/>
      <c r="Q335" s="59"/>
      <c r="R335" s="54"/>
      <c r="S335" s="55"/>
    </row>
    <row r="336" spans="11:19" x14ac:dyDescent="0.25">
      <c r="K336" s="58"/>
      <c r="L336" s="59"/>
      <c r="M336" s="54"/>
      <c r="N336" s="55"/>
      <c r="P336" s="58"/>
      <c r="Q336" s="59"/>
      <c r="R336" s="54"/>
      <c r="S336" s="55"/>
    </row>
    <row r="337" spans="11:19" x14ac:dyDescent="0.25">
      <c r="K337" s="58"/>
      <c r="L337" s="59"/>
      <c r="M337" s="54"/>
      <c r="N337" s="55"/>
      <c r="P337" s="58"/>
      <c r="Q337" s="59"/>
      <c r="R337" s="54"/>
      <c r="S337" s="55"/>
    </row>
    <row r="338" spans="11:19" x14ac:dyDescent="0.25">
      <c r="K338" s="58"/>
      <c r="L338" s="59"/>
      <c r="M338" s="54"/>
      <c r="N338" s="55"/>
      <c r="P338" s="58"/>
      <c r="Q338" s="59"/>
      <c r="R338" s="54"/>
      <c r="S338" s="55"/>
    </row>
    <row r="339" spans="11:19" x14ac:dyDescent="0.25">
      <c r="K339" s="58"/>
      <c r="L339" s="59"/>
      <c r="M339" s="54"/>
      <c r="N339" s="55"/>
      <c r="P339" s="58"/>
      <c r="Q339" s="59"/>
      <c r="R339" s="54"/>
      <c r="S339" s="55"/>
    </row>
    <row r="340" spans="11:19" x14ac:dyDescent="0.25">
      <c r="K340" s="58"/>
      <c r="L340" s="59"/>
      <c r="M340" s="54"/>
      <c r="N340" s="55"/>
      <c r="P340" s="58"/>
      <c r="Q340" s="59"/>
      <c r="R340" s="54"/>
      <c r="S340" s="55"/>
    </row>
    <row r="341" spans="11:19" x14ac:dyDescent="0.25">
      <c r="K341" s="58"/>
      <c r="L341" s="59"/>
      <c r="M341" s="54"/>
      <c r="N341" s="55"/>
      <c r="P341" s="58"/>
      <c r="Q341" s="59"/>
      <c r="R341" s="54"/>
      <c r="S341" s="55"/>
    </row>
    <row r="342" spans="11:19" x14ac:dyDescent="0.25">
      <c r="K342" s="58"/>
      <c r="L342" s="59"/>
      <c r="M342" s="54"/>
      <c r="N342" s="55"/>
      <c r="P342" s="58"/>
      <c r="Q342" s="59"/>
      <c r="R342" s="54"/>
      <c r="S342" s="55"/>
    </row>
    <row r="343" spans="11:19" x14ac:dyDescent="0.25">
      <c r="K343" s="58"/>
      <c r="L343" s="59"/>
      <c r="M343" s="54"/>
      <c r="N343" s="55"/>
      <c r="P343" s="58"/>
      <c r="Q343" s="59"/>
      <c r="R343" s="54"/>
      <c r="S343" s="55"/>
    </row>
    <row r="344" spans="11:19" x14ac:dyDescent="0.25">
      <c r="K344" s="58"/>
      <c r="L344" s="59"/>
      <c r="M344" s="54"/>
      <c r="N344" s="55"/>
      <c r="P344" s="58"/>
      <c r="Q344" s="59"/>
      <c r="R344" s="54"/>
      <c r="S344" s="55"/>
    </row>
    <row r="345" spans="11:19" x14ac:dyDescent="0.25">
      <c r="K345" s="58"/>
      <c r="L345" s="59"/>
      <c r="M345" s="54"/>
      <c r="N345" s="55"/>
      <c r="P345" s="58"/>
      <c r="Q345" s="59"/>
      <c r="R345" s="54"/>
      <c r="S345" s="55"/>
    </row>
    <row r="346" spans="11:19" x14ac:dyDescent="0.25">
      <c r="K346" s="58"/>
      <c r="L346" s="59"/>
      <c r="M346" s="54"/>
      <c r="N346" s="55"/>
      <c r="P346" s="58"/>
      <c r="Q346" s="59"/>
      <c r="R346" s="54"/>
      <c r="S346" s="55"/>
    </row>
    <row r="347" spans="11:19" x14ac:dyDescent="0.25">
      <c r="K347" s="58"/>
      <c r="L347" s="59"/>
      <c r="M347" s="54"/>
      <c r="N347" s="55"/>
      <c r="P347" s="58"/>
      <c r="Q347" s="59"/>
      <c r="R347" s="54"/>
      <c r="S347" s="55"/>
    </row>
    <row r="348" spans="11:19" ht="15.75" thickBot="1" x14ac:dyDescent="0.3">
      <c r="K348" s="60"/>
      <c r="L348" s="61"/>
      <c r="M348" s="56"/>
      <c r="N348" s="57"/>
      <c r="P348" s="60"/>
      <c r="Q348" s="61"/>
      <c r="R348" s="56"/>
      <c r="S348" s="57"/>
    </row>
  </sheetData>
  <mergeCells count="4">
    <mergeCell ref="A8:D8"/>
    <mergeCell ref="F8:I8"/>
    <mergeCell ref="K8:N8"/>
    <mergeCell ref="P8:S8"/>
  </mergeCells>
  <conditionalFormatting sqref="G3">
    <cfRule type="cellIs" dxfId="84" priority="5" operator="greaterThan">
      <formula>$J$4</formula>
    </cfRule>
  </conditionalFormatting>
  <conditionalFormatting sqref="T5">
    <cfRule type="cellIs" dxfId="83" priority="1" operator="greaterThan">
      <formula>$T$6</formula>
    </cfRule>
    <cfRule type="cellIs" dxfId="82" priority="4" operator="lessThan">
      <formula>$T$6</formula>
    </cfRule>
  </conditionalFormatting>
  <conditionalFormatting sqref="T6">
    <cfRule type="cellIs" dxfId="81" priority="2" operator="greaterThan">
      <formula>$T$5</formula>
    </cfRule>
    <cfRule type="cellIs" dxfId="80" priority="3" operator="lessThan">
      <formula>$T$5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37383-759E-4979-B57B-51AE39C3F284}">
  <sheetPr codeName="Sheet36"/>
  <dimension ref="A1:T348"/>
  <sheetViews>
    <sheetView topLeftCell="H1" zoomScale="90" zoomScaleNormal="90" workbookViewId="0">
      <pane ySplit="9" topLeftCell="A10" activePane="bottomLeft" state="frozen"/>
      <selection pane="bottomLeft" activeCell="L10" sqref="L10"/>
    </sheetView>
  </sheetViews>
  <sheetFormatPr baseColWidth="10" defaultColWidth="9.140625" defaultRowHeight="15" x14ac:dyDescent="0.25"/>
  <cols>
    <col min="2" max="2" width="11.85546875" bestFit="1" customWidth="1"/>
    <col min="3" max="3" width="17.140625" bestFit="1" customWidth="1"/>
    <col min="4" max="4" width="14.5703125" customWidth="1"/>
    <col min="5" max="7" width="14.5703125" bestFit="1" customWidth="1"/>
    <col min="8" max="8" width="18.7109375" bestFit="1" customWidth="1"/>
    <col min="9" max="9" width="16.28515625" bestFit="1" customWidth="1"/>
    <col min="10" max="10" width="14" bestFit="1" customWidth="1"/>
    <col min="12" max="12" width="11.85546875" bestFit="1" customWidth="1"/>
    <col min="13" max="13" width="17.140625" bestFit="1" customWidth="1"/>
    <col min="14" max="14" width="14.42578125" bestFit="1" customWidth="1"/>
    <col min="15" max="15" width="8.7109375" customWidth="1"/>
    <col min="17" max="17" width="14.85546875" bestFit="1" customWidth="1"/>
    <col min="18" max="18" width="17.140625" bestFit="1" customWidth="1"/>
    <col min="19" max="19" width="14.85546875" bestFit="1" customWidth="1"/>
    <col min="20" max="20" width="12.42578125" bestFit="1" customWidth="1"/>
    <col min="22" max="23" width="14.5703125" bestFit="1" customWidth="1"/>
    <col min="24" max="24" width="15.85546875" bestFit="1" customWidth="1"/>
    <col min="26" max="26" width="15.85546875" bestFit="1" customWidth="1"/>
  </cols>
  <sheetData>
    <row r="1" spans="1:20" ht="15.75" thickBot="1" x14ac:dyDescent="0.3">
      <c r="C1" s="1" t="s">
        <v>0</v>
      </c>
      <c r="D1" s="2" t="s">
        <v>1</v>
      </c>
      <c r="E1" s="1" t="s">
        <v>2</v>
      </c>
      <c r="F1" s="2" t="s">
        <v>3</v>
      </c>
      <c r="G1" s="63" t="s">
        <v>4</v>
      </c>
      <c r="H1" s="81" t="s">
        <v>24</v>
      </c>
      <c r="I1" s="66" t="s">
        <v>5</v>
      </c>
      <c r="J1" s="3">
        <v>368</v>
      </c>
      <c r="M1" s="1" t="s">
        <v>5</v>
      </c>
      <c r="N1" s="4" t="s">
        <v>6</v>
      </c>
      <c r="P1" t="s">
        <v>0</v>
      </c>
      <c r="Q1">
        <f>SUM(E10:E54)</f>
        <v>6</v>
      </c>
      <c r="R1" t="s">
        <v>2</v>
      </c>
      <c r="S1">
        <f>(M3/M2)*Q1</f>
        <v>4</v>
      </c>
      <c r="T1">
        <f>S1-4</f>
        <v>0</v>
      </c>
    </row>
    <row r="2" spans="1:20" ht="15.75" thickBot="1" x14ac:dyDescent="0.3">
      <c r="B2" s="5" t="s">
        <v>7</v>
      </c>
      <c r="C2" s="6">
        <f>SUMPRODUCT(C10:C118,E10:E118)</f>
        <v>3985081</v>
      </c>
      <c r="D2" s="7">
        <f>SUMPRODUCT(H10:H118,J10:J118)</f>
        <v>279719.66666666663</v>
      </c>
      <c r="E2" s="6">
        <f>SUMPRODUCT(M10:M348,O10:O348)</f>
        <v>3221235</v>
      </c>
      <c r="F2" s="7">
        <f>SUMPRODUCT(R10:R348,T10:T348)</f>
        <v>828146</v>
      </c>
      <c r="G2" s="64">
        <f>C2+D2+E2+F2</f>
        <v>8314181.666666667</v>
      </c>
      <c r="H2" s="82">
        <v>24786935</v>
      </c>
      <c r="I2" s="67" t="s">
        <v>6</v>
      </c>
      <c r="J2" s="8">
        <v>334</v>
      </c>
      <c r="L2" s="5" t="s">
        <v>8</v>
      </c>
      <c r="M2" s="9">
        <v>0.6</v>
      </c>
      <c r="N2" s="10">
        <v>0.25</v>
      </c>
      <c r="P2" t="s">
        <v>3</v>
      </c>
      <c r="Q2">
        <f>SUM(T10:T64)</f>
        <v>1</v>
      </c>
      <c r="R2" t="s">
        <v>1</v>
      </c>
      <c r="S2">
        <f>(N2/N3)*Q2</f>
        <v>0.33333333333333331</v>
      </c>
    </row>
    <row r="3" spans="1:20" ht="15.75" thickBot="1" x14ac:dyDescent="0.3">
      <c r="B3" s="11" t="s">
        <v>9</v>
      </c>
      <c r="C3" s="12">
        <f>SUMPRODUCT(B10:B118,E10:E118)</f>
        <v>181.95652173913044</v>
      </c>
      <c r="D3" s="13">
        <f>SUMPRODUCT(G10:G118,J10:J118)</f>
        <v>11.137724550898202</v>
      </c>
      <c r="E3" s="12">
        <f>SUMPRODUCT(L10:L348,O10:O348)</f>
        <v>121.30434782608695</v>
      </c>
      <c r="F3" s="13">
        <f>SUMPRODUCT(Q10:Q348,T10:T348)</f>
        <v>33.41317365269461</v>
      </c>
      <c r="G3" s="65">
        <f>SUM(C3:F3)</f>
        <v>347.81176776881023</v>
      </c>
      <c r="H3" s="80">
        <f>(H2-G2)/G2</f>
        <v>1.9812837863978994</v>
      </c>
      <c r="I3" s="67" t="s">
        <v>10</v>
      </c>
      <c r="J3" s="8">
        <f>11160</f>
        <v>11160</v>
      </c>
      <c r="L3" s="14" t="s">
        <v>11</v>
      </c>
      <c r="M3" s="15">
        <v>0.4</v>
      </c>
      <c r="N3" s="16">
        <v>0.75</v>
      </c>
      <c r="P3" t="s">
        <v>0</v>
      </c>
      <c r="Q3">
        <v>1</v>
      </c>
      <c r="R3" t="s">
        <v>2</v>
      </c>
      <c r="S3">
        <f>(M3/M2)*Q3</f>
        <v>0.66666666666666674</v>
      </c>
    </row>
    <row r="4" spans="1:20" ht="15.75" thickBot="1" x14ac:dyDescent="0.3">
      <c r="B4" s="14" t="s">
        <v>12</v>
      </c>
      <c r="C4" s="17">
        <f>SUM(E10:E118)*J3</f>
        <v>66960</v>
      </c>
      <c r="D4" s="18">
        <f>SUM(J10:J118)*J3</f>
        <v>3720</v>
      </c>
      <c r="E4" s="17">
        <f>SUM(O10:O348)*J3</f>
        <v>44640</v>
      </c>
      <c r="F4" s="18">
        <f>SUM(T10:T348)*J3</f>
        <v>11160</v>
      </c>
      <c r="G4" s="19">
        <f>SUM(C4:F4)</f>
        <v>126480</v>
      </c>
      <c r="H4" s="20"/>
      <c r="I4" s="21" t="s">
        <v>13</v>
      </c>
      <c r="J4" s="22">
        <v>100000</v>
      </c>
      <c r="L4" s="5" t="s">
        <v>14</v>
      </c>
      <c r="M4" s="76">
        <f>C4/(C4+E4)</f>
        <v>0.6</v>
      </c>
      <c r="N4" s="77">
        <f>D4/(D4+F4)</f>
        <v>0.25</v>
      </c>
      <c r="O4" s="23"/>
      <c r="P4" t="s">
        <v>3</v>
      </c>
      <c r="Q4">
        <v>1</v>
      </c>
      <c r="R4" t="s">
        <v>1</v>
      </c>
      <c r="S4">
        <f>(N2/N3)*Q4</f>
        <v>0.33333333333333331</v>
      </c>
    </row>
    <row r="5" spans="1:20" ht="15.75" thickBot="1" x14ac:dyDescent="0.3">
      <c r="B5" s="24" t="s">
        <v>15</v>
      </c>
      <c r="C5" s="25">
        <v>217620</v>
      </c>
      <c r="D5" s="26">
        <v>74400</v>
      </c>
      <c r="E5" s="27">
        <v>145080</v>
      </c>
      <c r="F5" s="26">
        <v>223200</v>
      </c>
      <c r="G5" s="28">
        <f>SUM(C5:F5)</f>
        <v>660300</v>
      </c>
      <c r="H5" s="20"/>
      <c r="I5" s="20"/>
      <c r="L5" s="29" t="s">
        <v>16</v>
      </c>
      <c r="M5" s="78">
        <f>E4/(C4+E4)</f>
        <v>0.4</v>
      </c>
      <c r="N5" s="79">
        <f>F4/(D4+F4)</f>
        <v>0.75</v>
      </c>
      <c r="O5" s="23"/>
      <c r="P5" t="s">
        <v>0</v>
      </c>
      <c r="Q5" s="88">
        <v>15115.929749103943</v>
      </c>
      <c r="R5" t="s">
        <v>2</v>
      </c>
      <c r="S5" s="88">
        <v>24384.682437275987</v>
      </c>
      <c r="T5">
        <f>Q5*Q3+S5*S3</f>
        <v>31372.384707287936</v>
      </c>
    </row>
    <row r="6" spans="1:20" ht="15.75" thickBot="1" x14ac:dyDescent="0.3">
      <c r="B6" s="24" t="s">
        <v>17</v>
      </c>
      <c r="C6" s="27">
        <f>C5-C4</f>
        <v>150660</v>
      </c>
      <c r="D6" s="30">
        <f>D5-D4</f>
        <v>70680</v>
      </c>
      <c r="E6" s="27">
        <f>E5-E4</f>
        <v>100440</v>
      </c>
      <c r="F6" s="30">
        <f>F5-F4</f>
        <v>212040</v>
      </c>
      <c r="H6" s="20"/>
      <c r="I6" s="20"/>
      <c r="J6" s="62"/>
      <c r="N6" s="23"/>
      <c r="O6" s="23"/>
      <c r="P6" t="s">
        <v>3</v>
      </c>
      <c r="Q6" s="88">
        <v>24785.014695340502</v>
      </c>
      <c r="R6" t="s">
        <v>1</v>
      </c>
      <c r="S6" s="88">
        <v>25114.615232974909</v>
      </c>
      <c r="T6">
        <f>Q6*Q4+S6*S4</f>
        <v>33156.55310633214</v>
      </c>
    </row>
    <row r="7" spans="1:20" ht="15.75" thickBot="1" x14ac:dyDescent="0.3"/>
    <row r="8" spans="1:20" ht="15.75" thickBot="1" x14ac:dyDescent="0.3">
      <c r="A8" s="113" t="s">
        <v>18</v>
      </c>
      <c r="B8" s="114"/>
      <c r="C8" s="114"/>
      <c r="D8" s="115"/>
      <c r="E8" s="31"/>
      <c r="F8" s="113" t="s">
        <v>19</v>
      </c>
      <c r="G8" s="114"/>
      <c r="H8" s="114"/>
      <c r="I8" s="115"/>
      <c r="J8" s="31"/>
      <c r="K8" s="113" t="s">
        <v>20</v>
      </c>
      <c r="L8" s="114"/>
      <c r="M8" s="114"/>
      <c r="N8" s="115"/>
      <c r="O8" s="31"/>
      <c r="P8" s="113" t="s">
        <v>21</v>
      </c>
      <c r="Q8" s="114"/>
      <c r="R8" s="114"/>
      <c r="S8" s="115"/>
    </row>
    <row r="9" spans="1:20" ht="15.75" thickBot="1" x14ac:dyDescent="0.3">
      <c r="A9" s="32" t="s">
        <v>22</v>
      </c>
      <c r="B9" s="33" t="s">
        <v>9</v>
      </c>
      <c r="C9" s="33" t="s">
        <v>7</v>
      </c>
      <c r="D9" s="34" t="s">
        <v>23</v>
      </c>
      <c r="E9" s="31"/>
      <c r="F9" s="32" t="s">
        <v>22</v>
      </c>
      <c r="G9" s="33" t="s">
        <v>9</v>
      </c>
      <c r="H9" s="33" t="s">
        <v>7</v>
      </c>
      <c r="I9" s="34" t="s">
        <v>23</v>
      </c>
      <c r="J9" s="31"/>
      <c r="K9" s="32" t="s">
        <v>22</v>
      </c>
      <c r="L9" s="33" t="s">
        <v>9</v>
      </c>
      <c r="M9" s="33" t="s">
        <v>7</v>
      </c>
      <c r="N9" s="34" t="s">
        <v>23</v>
      </c>
      <c r="O9" s="31"/>
      <c r="P9" s="35" t="s">
        <v>22</v>
      </c>
      <c r="Q9" s="36" t="s">
        <v>9</v>
      </c>
      <c r="R9" s="36" t="s">
        <v>7</v>
      </c>
      <c r="S9" s="37" t="s">
        <v>23</v>
      </c>
    </row>
    <row r="10" spans="1:20" x14ac:dyDescent="0.25">
      <c r="A10" s="38">
        <v>15</v>
      </c>
      <c r="B10" s="39">
        <f>$J$3/$J$1</f>
        <v>30.326086956521738</v>
      </c>
      <c r="C10" s="40">
        <v>823261</v>
      </c>
      <c r="D10" s="41">
        <f>C10/B10</f>
        <v>27146.957706093192</v>
      </c>
      <c r="E10">
        <v>1</v>
      </c>
      <c r="F10" s="103">
        <v>9</v>
      </c>
      <c r="G10" s="104">
        <f>$J$3/$J$2</f>
        <v>33.41317365269461</v>
      </c>
      <c r="H10" s="105">
        <v>839159</v>
      </c>
      <c r="I10" s="106">
        <f>H10/G10</f>
        <v>25114.615232974909</v>
      </c>
      <c r="J10">
        <v>0.33333333333333331</v>
      </c>
      <c r="K10" s="38">
        <v>99</v>
      </c>
      <c r="L10" s="39">
        <f>$J$3/$J$1</f>
        <v>30.326086956521738</v>
      </c>
      <c r="M10" s="40">
        <v>891762</v>
      </c>
      <c r="N10" s="41">
        <f>M10/L10</f>
        <v>29405.772043010755</v>
      </c>
      <c r="O10">
        <v>1</v>
      </c>
      <c r="P10" s="42">
        <v>31</v>
      </c>
      <c r="Q10" s="43">
        <f>$J$3/$J$2</f>
        <v>33.41317365269461</v>
      </c>
      <c r="R10" s="44">
        <v>828146</v>
      </c>
      <c r="S10" s="45">
        <f>R10/Q10</f>
        <v>24785.014695340502</v>
      </c>
      <c r="T10">
        <v>1</v>
      </c>
    </row>
    <row r="11" spans="1:20" x14ac:dyDescent="0.25">
      <c r="A11" s="46">
        <v>4</v>
      </c>
      <c r="B11" s="39">
        <f t="shared" ref="B11:B54" si="0">$J$3/$J$1</f>
        <v>30.326086956521738</v>
      </c>
      <c r="C11" s="47">
        <v>748702</v>
      </c>
      <c r="D11" s="41">
        <f t="shared" ref="D11:D54" si="1">C11/B11</f>
        <v>24688.381362007171</v>
      </c>
      <c r="E11">
        <v>1</v>
      </c>
      <c r="F11" s="58">
        <v>1</v>
      </c>
      <c r="G11" s="68">
        <f t="shared" ref="G11:G54" si="2">$J$3/$J$2</f>
        <v>33.41317365269461</v>
      </c>
      <c r="H11" s="54">
        <v>816679</v>
      </c>
      <c r="I11" s="69">
        <f t="shared" ref="I11:I54" si="3">H11/G11</f>
        <v>24441.826702508963</v>
      </c>
      <c r="K11" s="46">
        <v>22</v>
      </c>
      <c r="L11" s="39">
        <f t="shared" ref="L11:L64" si="4">$J$3/$J$1</f>
        <v>30.326086956521738</v>
      </c>
      <c r="M11" s="47">
        <v>787867</v>
      </c>
      <c r="N11" s="41">
        <f t="shared" ref="N11:N64" si="5">M11/L11</f>
        <v>25979.843727598567</v>
      </c>
      <c r="O11">
        <v>1</v>
      </c>
      <c r="P11" s="58">
        <v>95</v>
      </c>
      <c r="Q11" s="68">
        <f t="shared" ref="Q11:Q64" si="6">$J$3/$J$2</f>
        <v>33.41317365269461</v>
      </c>
      <c r="R11" s="54">
        <v>778683</v>
      </c>
      <c r="S11" s="69">
        <f t="shared" ref="S11:S64" si="7">R11/Q11</f>
        <v>23304.670430107526</v>
      </c>
    </row>
    <row r="12" spans="1:20" x14ac:dyDescent="0.25">
      <c r="A12" s="46">
        <v>75</v>
      </c>
      <c r="B12" s="39">
        <f t="shared" si="0"/>
        <v>30.326086956521738</v>
      </c>
      <c r="C12" s="47">
        <v>700923</v>
      </c>
      <c r="D12" s="41">
        <f t="shared" si="1"/>
        <v>23112.873118279571</v>
      </c>
      <c r="E12">
        <v>1</v>
      </c>
      <c r="F12" s="58">
        <v>3</v>
      </c>
      <c r="G12" s="68">
        <f t="shared" si="2"/>
        <v>33.41317365269461</v>
      </c>
      <c r="H12" s="54">
        <v>637399</v>
      </c>
      <c r="I12" s="69">
        <f t="shared" si="3"/>
        <v>19076.278315412186</v>
      </c>
      <c r="K12" s="46">
        <v>83</v>
      </c>
      <c r="L12" s="39">
        <f t="shared" si="4"/>
        <v>30.326086956521738</v>
      </c>
      <c r="M12" s="47">
        <v>776669</v>
      </c>
      <c r="N12" s="41">
        <f t="shared" si="5"/>
        <v>25610.590681003585</v>
      </c>
      <c r="O12">
        <v>1</v>
      </c>
      <c r="P12" s="58">
        <v>32</v>
      </c>
      <c r="Q12" s="68">
        <f t="shared" si="6"/>
        <v>33.41317365269461</v>
      </c>
      <c r="R12" s="54">
        <v>742165</v>
      </c>
      <c r="S12" s="69">
        <f t="shared" si="7"/>
        <v>22211.748207885306</v>
      </c>
    </row>
    <row r="13" spans="1:20" x14ac:dyDescent="0.25">
      <c r="A13" s="46">
        <v>61</v>
      </c>
      <c r="B13" s="39">
        <f t="shared" si="0"/>
        <v>30.326086956521738</v>
      </c>
      <c r="C13" s="47">
        <v>594344</v>
      </c>
      <c r="D13" s="41">
        <f t="shared" si="1"/>
        <v>19598.440143369175</v>
      </c>
      <c r="E13">
        <v>1</v>
      </c>
      <c r="F13" s="58">
        <v>89</v>
      </c>
      <c r="G13" s="68">
        <f t="shared" si="2"/>
        <v>33.41317365269461</v>
      </c>
      <c r="H13" s="54">
        <v>626952</v>
      </c>
      <c r="I13" s="69">
        <f t="shared" si="3"/>
        <v>18763.617204301077</v>
      </c>
      <c r="K13" s="46">
        <v>57</v>
      </c>
      <c r="L13" s="39">
        <f t="shared" si="4"/>
        <v>30.326086956521738</v>
      </c>
      <c r="M13" s="47">
        <v>764937</v>
      </c>
      <c r="N13" s="41">
        <f t="shared" si="5"/>
        <v>25223.729032258067</v>
      </c>
      <c r="O13">
        <v>1</v>
      </c>
      <c r="P13" s="58">
        <v>86</v>
      </c>
      <c r="Q13" s="68">
        <f t="shared" si="6"/>
        <v>33.41317365269461</v>
      </c>
      <c r="R13" s="54">
        <v>708838</v>
      </c>
      <c r="S13" s="69">
        <f t="shared" si="7"/>
        <v>21214.327240143371</v>
      </c>
    </row>
    <row r="14" spans="1:20" x14ac:dyDescent="0.25">
      <c r="A14" s="46">
        <v>2</v>
      </c>
      <c r="B14" s="39">
        <f t="shared" si="0"/>
        <v>30.326086956521738</v>
      </c>
      <c r="C14" s="47">
        <v>573963</v>
      </c>
      <c r="D14" s="41">
        <f t="shared" si="1"/>
        <v>18926.378494623656</v>
      </c>
      <c r="E14">
        <v>1</v>
      </c>
      <c r="F14" s="58">
        <v>74</v>
      </c>
      <c r="G14" s="68">
        <f t="shared" si="2"/>
        <v>33.41317365269461</v>
      </c>
      <c r="H14" s="54">
        <v>528188</v>
      </c>
      <c r="I14" s="69">
        <f t="shared" si="3"/>
        <v>15807.7770609319</v>
      </c>
      <c r="K14" s="58">
        <v>33</v>
      </c>
      <c r="L14" s="68">
        <f t="shared" si="4"/>
        <v>30.326086956521738</v>
      </c>
      <c r="M14" s="54">
        <v>739492</v>
      </c>
      <c r="N14" s="69">
        <f t="shared" si="5"/>
        <v>24384.682437275987</v>
      </c>
      <c r="P14" s="58">
        <v>44</v>
      </c>
      <c r="Q14" s="68">
        <f t="shared" si="6"/>
        <v>33.41317365269461</v>
      </c>
      <c r="R14" s="54">
        <v>644475</v>
      </c>
      <c r="S14" s="69">
        <f t="shared" si="7"/>
        <v>19288.051075268817</v>
      </c>
    </row>
    <row r="15" spans="1:20" x14ac:dyDescent="0.25">
      <c r="A15" s="46">
        <v>66</v>
      </c>
      <c r="B15" s="39">
        <f t="shared" si="0"/>
        <v>30.326086956521738</v>
      </c>
      <c r="C15" s="47">
        <v>543888</v>
      </c>
      <c r="D15" s="41">
        <f t="shared" si="1"/>
        <v>17934.65806451613</v>
      </c>
      <c r="E15">
        <v>1</v>
      </c>
      <c r="F15" s="58">
        <v>7</v>
      </c>
      <c r="G15" s="68">
        <f t="shared" si="2"/>
        <v>33.41317365269461</v>
      </c>
      <c r="H15" s="54">
        <v>517706</v>
      </c>
      <c r="I15" s="69">
        <f t="shared" si="3"/>
        <v>15494.068458781363</v>
      </c>
      <c r="K15" s="58">
        <v>34</v>
      </c>
      <c r="L15" s="68">
        <f t="shared" si="4"/>
        <v>30.326086956521738</v>
      </c>
      <c r="M15" s="54">
        <v>706466</v>
      </c>
      <c r="N15" s="69">
        <f t="shared" si="5"/>
        <v>23295.653046594984</v>
      </c>
      <c r="P15" s="58">
        <v>43</v>
      </c>
      <c r="Q15" s="68">
        <f t="shared" si="6"/>
        <v>33.41317365269461</v>
      </c>
      <c r="R15" s="54">
        <v>600711</v>
      </c>
      <c r="S15" s="69">
        <f t="shared" si="7"/>
        <v>17978.268279569893</v>
      </c>
    </row>
    <row r="16" spans="1:20" x14ac:dyDescent="0.25">
      <c r="A16" s="107">
        <v>9</v>
      </c>
      <c r="B16" s="104">
        <f t="shared" si="0"/>
        <v>30.326086956521738</v>
      </c>
      <c r="C16" s="108">
        <v>458407</v>
      </c>
      <c r="D16" s="106">
        <f t="shared" si="1"/>
        <v>15115.929749103943</v>
      </c>
      <c r="F16" s="58">
        <v>16</v>
      </c>
      <c r="G16" s="68">
        <f t="shared" si="2"/>
        <v>33.41317365269461</v>
      </c>
      <c r="H16" s="54">
        <v>471825</v>
      </c>
      <c r="I16" s="69">
        <f t="shared" si="3"/>
        <v>14120.927419354839</v>
      </c>
      <c r="K16" s="58">
        <v>54</v>
      </c>
      <c r="L16" s="68">
        <f t="shared" si="4"/>
        <v>30.326086956521738</v>
      </c>
      <c r="M16" s="54">
        <v>704680</v>
      </c>
      <c r="N16" s="69">
        <f t="shared" si="5"/>
        <v>23236.759856630826</v>
      </c>
      <c r="P16" s="58">
        <v>54</v>
      </c>
      <c r="Q16" s="68">
        <f t="shared" si="6"/>
        <v>33.41317365269461</v>
      </c>
      <c r="R16" s="54">
        <v>600526</v>
      </c>
      <c r="S16" s="69">
        <f t="shared" si="7"/>
        <v>17972.73154121864</v>
      </c>
    </row>
    <row r="17" spans="1:20" x14ac:dyDescent="0.25">
      <c r="A17" s="58">
        <v>6</v>
      </c>
      <c r="B17" s="68">
        <f t="shared" si="0"/>
        <v>30.326086956521738</v>
      </c>
      <c r="C17" s="54">
        <v>413342</v>
      </c>
      <c r="D17" s="69">
        <f t="shared" si="1"/>
        <v>13629.915412186379</v>
      </c>
      <c r="F17" s="58">
        <v>20</v>
      </c>
      <c r="G17" s="68">
        <f t="shared" si="2"/>
        <v>33.41317365269461</v>
      </c>
      <c r="H17" s="54">
        <v>465526</v>
      </c>
      <c r="I17" s="69">
        <f t="shared" si="3"/>
        <v>13932.408960573477</v>
      </c>
      <c r="K17" s="58">
        <v>46</v>
      </c>
      <c r="L17" s="68">
        <f t="shared" si="4"/>
        <v>30.326086956521738</v>
      </c>
      <c r="M17" s="54">
        <v>647685</v>
      </c>
      <c r="N17" s="69">
        <f t="shared" si="5"/>
        <v>21357.354838709678</v>
      </c>
      <c r="P17" s="58">
        <v>33</v>
      </c>
      <c r="Q17" s="68">
        <f t="shared" si="6"/>
        <v>33.41317365269461</v>
      </c>
      <c r="R17" s="54">
        <v>533105</v>
      </c>
      <c r="S17" s="69">
        <f t="shared" si="7"/>
        <v>15954.934587813621</v>
      </c>
    </row>
    <row r="18" spans="1:20" x14ac:dyDescent="0.25">
      <c r="A18" s="58">
        <v>90</v>
      </c>
      <c r="B18" s="68">
        <f t="shared" si="0"/>
        <v>30.326086956521738</v>
      </c>
      <c r="C18" s="54">
        <v>390167</v>
      </c>
      <c r="D18" s="69">
        <f t="shared" si="1"/>
        <v>12865.721863799283</v>
      </c>
      <c r="F18" s="58">
        <v>71</v>
      </c>
      <c r="G18" s="68">
        <f t="shared" si="2"/>
        <v>33.41317365269461</v>
      </c>
      <c r="H18" s="54">
        <v>459240</v>
      </c>
      <c r="I18" s="69">
        <f t="shared" si="3"/>
        <v>13744.279569892473</v>
      </c>
      <c r="K18" s="58">
        <v>35</v>
      </c>
      <c r="L18" s="68">
        <f t="shared" si="4"/>
        <v>30.326086956521738</v>
      </c>
      <c r="M18" s="54">
        <v>520964</v>
      </c>
      <c r="N18" s="69">
        <f t="shared" si="5"/>
        <v>17178.741218637992</v>
      </c>
      <c r="P18" s="58">
        <v>29</v>
      </c>
      <c r="Q18" s="68">
        <f t="shared" si="6"/>
        <v>33.41317365269461</v>
      </c>
      <c r="R18" s="54">
        <v>466819</v>
      </c>
      <c r="S18" s="69">
        <f t="shared" si="7"/>
        <v>13971.106272401434</v>
      </c>
    </row>
    <row r="19" spans="1:20" x14ac:dyDescent="0.25">
      <c r="A19" s="58">
        <v>10</v>
      </c>
      <c r="B19" s="68">
        <f t="shared" si="0"/>
        <v>30.326086956521738</v>
      </c>
      <c r="C19" s="54">
        <v>374487</v>
      </c>
      <c r="D19" s="69">
        <f t="shared" si="1"/>
        <v>12348.675268817206</v>
      </c>
      <c r="F19" s="58">
        <v>73</v>
      </c>
      <c r="G19" s="68">
        <f t="shared" si="2"/>
        <v>33.41317365269461</v>
      </c>
      <c r="H19" s="54">
        <v>435675</v>
      </c>
      <c r="I19" s="69">
        <f t="shared" si="3"/>
        <v>13039.018817204302</v>
      </c>
      <c r="K19" s="58">
        <v>28</v>
      </c>
      <c r="L19" s="68">
        <f t="shared" si="4"/>
        <v>30.326086956521738</v>
      </c>
      <c r="M19" s="54">
        <v>485282</v>
      </c>
      <c r="N19" s="69">
        <f t="shared" si="5"/>
        <v>16002.130465949822</v>
      </c>
      <c r="P19" s="58">
        <v>39</v>
      </c>
      <c r="Q19" s="68">
        <f t="shared" si="6"/>
        <v>33.41317365269461</v>
      </c>
      <c r="R19" s="54">
        <v>443533</v>
      </c>
      <c r="S19" s="69">
        <f t="shared" si="7"/>
        <v>13274.195519713261</v>
      </c>
    </row>
    <row r="20" spans="1:20" x14ac:dyDescent="0.25">
      <c r="A20" s="58">
        <v>72</v>
      </c>
      <c r="B20" s="68">
        <f t="shared" si="0"/>
        <v>30.326086956521738</v>
      </c>
      <c r="C20" s="54">
        <v>339217</v>
      </c>
      <c r="D20" s="69">
        <f t="shared" si="1"/>
        <v>11185.65017921147</v>
      </c>
      <c r="F20" s="95">
        <v>4</v>
      </c>
      <c r="G20" s="96">
        <f t="shared" si="2"/>
        <v>33.41317365269461</v>
      </c>
      <c r="H20" s="97">
        <v>435251</v>
      </c>
      <c r="I20" s="98">
        <f t="shared" si="3"/>
        <v>13026.329211469534</v>
      </c>
      <c r="J20">
        <v>0</v>
      </c>
      <c r="K20" s="58">
        <v>25</v>
      </c>
      <c r="L20" s="68">
        <f t="shared" si="4"/>
        <v>30.326086956521738</v>
      </c>
      <c r="M20" s="54">
        <v>428682</v>
      </c>
      <c r="N20" s="69">
        <f t="shared" si="5"/>
        <v>14135.750537634409</v>
      </c>
      <c r="P20" s="58">
        <v>85</v>
      </c>
      <c r="Q20" s="68">
        <f t="shared" si="6"/>
        <v>33.41317365269461</v>
      </c>
      <c r="R20" s="54">
        <v>400656</v>
      </c>
      <c r="S20" s="69">
        <f t="shared" si="7"/>
        <v>11990.959139784947</v>
      </c>
    </row>
    <row r="21" spans="1:20" x14ac:dyDescent="0.25">
      <c r="A21" s="58">
        <v>63</v>
      </c>
      <c r="B21" s="68">
        <f t="shared" si="0"/>
        <v>30.326086956521738</v>
      </c>
      <c r="C21" s="54">
        <v>148379</v>
      </c>
      <c r="D21" s="69">
        <f t="shared" si="1"/>
        <v>4892.7842293906815</v>
      </c>
      <c r="F21" s="58">
        <v>58</v>
      </c>
      <c r="G21" s="68">
        <f t="shared" si="2"/>
        <v>33.41317365269461</v>
      </c>
      <c r="H21" s="54">
        <v>425212</v>
      </c>
      <c r="I21" s="69">
        <f t="shared" si="3"/>
        <v>12725.878853046595</v>
      </c>
      <c r="K21" s="58">
        <v>53</v>
      </c>
      <c r="L21" s="68">
        <f t="shared" si="4"/>
        <v>30.326086956521738</v>
      </c>
      <c r="M21" s="54">
        <v>427876</v>
      </c>
      <c r="N21" s="69">
        <f t="shared" si="5"/>
        <v>14109.17275985663</v>
      </c>
      <c r="P21" s="58">
        <v>51</v>
      </c>
      <c r="Q21" s="68">
        <f t="shared" si="6"/>
        <v>33.41317365269461</v>
      </c>
      <c r="R21" s="54">
        <v>295735</v>
      </c>
      <c r="S21" s="69">
        <f t="shared" si="7"/>
        <v>8850.8503584229402</v>
      </c>
    </row>
    <row r="22" spans="1:20" x14ac:dyDescent="0.25">
      <c r="A22" s="58">
        <v>5</v>
      </c>
      <c r="B22" s="68">
        <f t="shared" si="0"/>
        <v>30.326086956521738</v>
      </c>
      <c r="C22" s="54">
        <v>135603</v>
      </c>
      <c r="D22" s="69">
        <f t="shared" si="1"/>
        <v>4471.4967741935488</v>
      </c>
      <c r="F22" s="58">
        <v>69</v>
      </c>
      <c r="G22" s="68">
        <f t="shared" si="2"/>
        <v>33.41317365269461</v>
      </c>
      <c r="H22" s="54">
        <v>301059</v>
      </c>
      <c r="I22" s="69">
        <f t="shared" si="3"/>
        <v>9010.188709677419</v>
      </c>
      <c r="K22" s="58">
        <v>30</v>
      </c>
      <c r="L22" s="68">
        <f t="shared" si="4"/>
        <v>30.326086956521738</v>
      </c>
      <c r="M22" s="54">
        <v>412457</v>
      </c>
      <c r="N22" s="69">
        <f t="shared" si="5"/>
        <v>13600.732616487456</v>
      </c>
      <c r="P22" s="58">
        <v>84</v>
      </c>
      <c r="Q22" s="68">
        <f t="shared" si="6"/>
        <v>33.41317365269461</v>
      </c>
      <c r="R22" s="54">
        <v>277116</v>
      </c>
      <c r="S22" s="69">
        <f t="shared" si="7"/>
        <v>8293.6150537634403</v>
      </c>
    </row>
    <row r="23" spans="1:20" x14ac:dyDescent="0.25">
      <c r="A23" s="58">
        <v>89</v>
      </c>
      <c r="B23" s="68">
        <f t="shared" si="0"/>
        <v>30.326086956521738</v>
      </c>
      <c r="C23" s="54">
        <v>43767</v>
      </c>
      <c r="D23" s="69">
        <f t="shared" si="1"/>
        <v>1443.2129032258065</v>
      </c>
      <c r="F23" s="58">
        <v>91</v>
      </c>
      <c r="G23" s="68">
        <f t="shared" si="2"/>
        <v>33.41317365269461</v>
      </c>
      <c r="H23" s="54">
        <v>248437</v>
      </c>
      <c r="I23" s="69">
        <f t="shared" si="3"/>
        <v>7435.3008960573479</v>
      </c>
      <c r="K23" s="58">
        <v>45</v>
      </c>
      <c r="L23" s="68">
        <f t="shared" si="4"/>
        <v>30.326086956521738</v>
      </c>
      <c r="M23" s="54">
        <v>411553</v>
      </c>
      <c r="N23" s="69">
        <f t="shared" si="5"/>
        <v>13570.923297491039</v>
      </c>
      <c r="P23" s="58">
        <v>100</v>
      </c>
      <c r="Q23" s="68">
        <f t="shared" si="6"/>
        <v>33.41317365269461</v>
      </c>
      <c r="R23" s="54">
        <v>196154</v>
      </c>
      <c r="S23" s="69">
        <f t="shared" si="7"/>
        <v>5870.5587813620077</v>
      </c>
    </row>
    <row r="24" spans="1:20" x14ac:dyDescent="0.25">
      <c r="A24" s="58">
        <v>8</v>
      </c>
      <c r="B24" s="68">
        <f t="shared" si="0"/>
        <v>30.326086956521738</v>
      </c>
      <c r="C24" s="54">
        <v>-31569</v>
      </c>
      <c r="D24" s="69">
        <f t="shared" si="1"/>
        <v>-1040.9849462365592</v>
      </c>
      <c r="F24" s="95">
        <v>75</v>
      </c>
      <c r="G24" s="96">
        <f t="shared" si="2"/>
        <v>33.41317365269461</v>
      </c>
      <c r="H24" s="97">
        <v>241104</v>
      </c>
      <c r="I24" s="98">
        <f t="shared" si="3"/>
        <v>7215.8365591397851</v>
      </c>
      <c r="J24">
        <v>0</v>
      </c>
      <c r="K24" s="58">
        <v>43</v>
      </c>
      <c r="L24" s="68">
        <f t="shared" si="4"/>
        <v>30.326086956521738</v>
      </c>
      <c r="M24" s="54">
        <v>287718</v>
      </c>
      <c r="N24" s="69">
        <f t="shared" si="5"/>
        <v>9487.4752688172048</v>
      </c>
      <c r="P24" s="58">
        <v>56</v>
      </c>
      <c r="Q24" s="68">
        <f t="shared" si="6"/>
        <v>33.41317365269461</v>
      </c>
      <c r="R24" s="54">
        <v>175558</v>
      </c>
      <c r="S24" s="69">
        <f t="shared" si="7"/>
        <v>5254.1551971326162</v>
      </c>
    </row>
    <row r="25" spans="1:20" x14ac:dyDescent="0.25">
      <c r="A25" s="58">
        <v>62</v>
      </c>
      <c r="B25" s="68">
        <f t="shared" si="0"/>
        <v>30.326086956521738</v>
      </c>
      <c r="C25" s="54">
        <v>-50310</v>
      </c>
      <c r="D25" s="69">
        <f t="shared" si="1"/>
        <v>-1658.9677419354839</v>
      </c>
      <c r="F25" s="58">
        <v>21</v>
      </c>
      <c r="G25" s="68">
        <f t="shared" si="2"/>
        <v>33.41317365269461</v>
      </c>
      <c r="H25" s="54">
        <v>182068</v>
      </c>
      <c r="I25" s="69">
        <f t="shared" si="3"/>
        <v>5448.9885304659501</v>
      </c>
      <c r="K25" s="58">
        <v>47</v>
      </c>
      <c r="L25" s="68">
        <f t="shared" si="4"/>
        <v>30.326086956521738</v>
      </c>
      <c r="M25" s="54">
        <v>244892</v>
      </c>
      <c r="N25" s="69">
        <f t="shared" si="5"/>
        <v>8075.2917562724015</v>
      </c>
      <c r="P25" s="58">
        <v>24</v>
      </c>
      <c r="Q25" s="68">
        <f t="shared" si="6"/>
        <v>33.41317365269461</v>
      </c>
      <c r="R25" s="54">
        <v>71007</v>
      </c>
      <c r="S25" s="69">
        <f t="shared" si="7"/>
        <v>2125.1198924731184</v>
      </c>
    </row>
    <row r="26" spans="1:20" x14ac:dyDescent="0.25">
      <c r="A26" s="58">
        <v>20</v>
      </c>
      <c r="B26" s="68">
        <f t="shared" si="0"/>
        <v>30.326086956521738</v>
      </c>
      <c r="C26" s="54">
        <v>-55320</v>
      </c>
      <c r="D26" s="69">
        <f t="shared" si="1"/>
        <v>-1824.1720430107528</v>
      </c>
      <c r="F26" s="58">
        <v>59</v>
      </c>
      <c r="G26" s="68">
        <f t="shared" si="2"/>
        <v>33.41317365269461</v>
      </c>
      <c r="H26" s="54">
        <v>167225</v>
      </c>
      <c r="I26" s="69">
        <f t="shared" si="3"/>
        <v>5004.7625448028675</v>
      </c>
      <c r="K26" s="58">
        <v>27</v>
      </c>
      <c r="L26" s="68">
        <f t="shared" si="4"/>
        <v>30.326086956521738</v>
      </c>
      <c r="M26" s="54">
        <v>217246</v>
      </c>
      <c r="N26" s="69">
        <f t="shared" si="5"/>
        <v>7163.6673835125448</v>
      </c>
      <c r="P26" s="58">
        <v>94</v>
      </c>
      <c r="Q26" s="68">
        <f t="shared" si="6"/>
        <v>33.41317365269461</v>
      </c>
      <c r="R26" s="54">
        <v>48569</v>
      </c>
      <c r="S26" s="69">
        <f t="shared" si="7"/>
        <v>1453.5883512544804</v>
      </c>
    </row>
    <row r="27" spans="1:20" x14ac:dyDescent="0.25">
      <c r="A27" s="58">
        <v>14</v>
      </c>
      <c r="B27" s="68">
        <f t="shared" si="0"/>
        <v>30.326086956521738</v>
      </c>
      <c r="C27" s="54">
        <v>-99929</v>
      </c>
      <c r="D27" s="69">
        <f t="shared" si="1"/>
        <v>-3295.1498207885306</v>
      </c>
      <c r="F27" s="58">
        <v>63</v>
      </c>
      <c r="G27" s="68">
        <f t="shared" si="2"/>
        <v>33.41317365269461</v>
      </c>
      <c r="H27" s="54">
        <v>-59023</v>
      </c>
      <c r="I27" s="69">
        <f t="shared" si="3"/>
        <v>-1766.4589605734768</v>
      </c>
      <c r="K27" s="58">
        <v>98</v>
      </c>
      <c r="L27" s="68">
        <f t="shared" si="4"/>
        <v>30.326086956521738</v>
      </c>
      <c r="M27" s="54">
        <v>186371</v>
      </c>
      <c r="N27" s="69">
        <f t="shared" si="5"/>
        <v>6145.5670250896055</v>
      </c>
      <c r="P27" s="58">
        <v>98</v>
      </c>
      <c r="Q27" s="68">
        <f t="shared" si="6"/>
        <v>33.41317365269461</v>
      </c>
      <c r="R27" s="54">
        <v>42432</v>
      </c>
      <c r="S27" s="69">
        <f t="shared" si="7"/>
        <v>1269.9182795698925</v>
      </c>
    </row>
    <row r="28" spans="1:20" x14ac:dyDescent="0.25">
      <c r="A28" s="58">
        <v>59</v>
      </c>
      <c r="B28" s="68">
        <f t="shared" si="0"/>
        <v>30.326086956521738</v>
      </c>
      <c r="C28" s="54">
        <v>-120499</v>
      </c>
      <c r="D28" s="69">
        <f t="shared" si="1"/>
        <v>-3973.4437275985665</v>
      </c>
      <c r="F28" s="58">
        <v>70</v>
      </c>
      <c r="G28" s="68">
        <f t="shared" si="2"/>
        <v>33.41317365269461</v>
      </c>
      <c r="H28" s="54">
        <v>-82956</v>
      </c>
      <c r="I28" s="69">
        <f t="shared" si="3"/>
        <v>-2482.7333333333336</v>
      </c>
      <c r="K28" s="58">
        <v>82</v>
      </c>
      <c r="L28" s="68">
        <f t="shared" si="4"/>
        <v>30.326086956521738</v>
      </c>
      <c r="M28" s="54">
        <v>157735</v>
      </c>
      <c r="N28" s="69">
        <f t="shared" si="5"/>
        <v>5201.2974910394269</v>
      </c>
      <c r="P28" s="58">
        <v>79</v>
      </c>
      <c r="Q28" s="68">
        <f t="shared" si="6"/>
        <v>33.41317365269461</v>
      </c>
      <c r="R28" s="54">
        <v>-17472</v>
      </c>
      <c r="S28" s="69">
        <f t="shared" si="7"/>
        <v>-522.9075268817204</v>
      </c>
    </row>
    <row r="29" spans="1:20" x14ac:dyDescent="0.25">
      <c r="A29" s="58">
        <v>11</v>
      </c>
      <c r="B29" s="68">
        <f t="shared" si="0"/>
        <v>30.326086956521738</v>
      </c>
      <c r="C29" s="54">
        <v>-150180</v>
      </c>
      <c r="D29" s="69">
        <f t="shared" si="1"/>
        <v>-4952.1720430107525</v>
      </c>
      <c r="F29" s="58">
        <v>64</v>
      </c>
      <c r="G29" s="68">
        <f t="shared" si="2"/>
        <v>33.41317365269461</v>
      </c>
      <c r="H29" s="54">
        <v>-163863</v>
      </c>
      <c r="I29" s="69">
        <f t="shared" si="3"/>
        <v>-4904.1435483870973</v>
      </c>
      <c r="K29" s="58">
        <v>39</v>
      </c>
      <c r="L29" s="68">
        <f t="shared" si="4"/>
        <v>30.326086956521738</v>
      </c>
      <c r="M29" s="54">
        <v>75371</v>
      </c>
      <c r="N29" s="69">
        <f t="shared" si="5"/>
        <v>2485.3519713261649</v>
      </c>
      <c r="P29" s="58">
        <v>30</v>
      </c>
      <c r="Q29" s="68">
        <f t="shared" si="6"/>
        <v>33.41317365269461</v>
      </c>
      <c r="R29" s="54">
        <v>-18899</v>
      </c>
      <c r="S29" s="69">
        <f t="shared" si="7"/>
        <v>-565.61523297491044</v>
      </c>
    </row>
    <row r="30" spans="1:20" x14ac:dyDescent="0.25">
      <c r="A30" s="58">
        <v>19</v>
      </c>
      <c r="B30" s="68">
        <f t="shared" si="0"/>
        <v>30.326086956521738</v>
      </c>
      <c r="C30" s="54">
        <v>-212225</v>
      </c>
      <c r="D30" s="69">
        <f t="shared" si="1"/>
        <v>-6998.1003584229393</v>
      </c>
      <c r="F30" s="58">
        <v>8</v>
      </c>
      <c r="G30" s="68">
        <f t="shared" si="2"/>
        <v>33.41317365269461</v>
      </c>
      <c r="H30" s="54">
        <v>-187009</v>
      </c>
      <c r="I30" s="69">
        <f t="shared" si="3"/>
        <v>-5596.8643369175625</v>
      </c>
      <c r="K30" s="58">
        <v>79</v>
      </c>
      <c r="L30" s="68">
        <f t="shared" si="4"/>
        <v>30.326086956521738</v>
      </c>
      <c r="M30" s="54">
        <v>42924</v>
      </c>
      <c r="N30" s="69">
        <f t="shared" si="5"/>
        <v>1415.4150537634409</v>
      </c>
      <c r="P30" s="95">
        <v>99</v>
      </c>
      <c r="Q30" s="96">
        <f t="shared" si="6"/>
        <v>33.41317365269461</v>
      </c>
      <c r="R30" s="97">
        <v>-53380</v>
      </c>
      <c r="S30" s="98">
        <f t="shared" si="7"/>
        <v>-1597.573476702509</v>
      </c>
      <c r="T30">
        <v>0</v>
      </c>
    </row>
    <row r="31" spans="1:20" x14ac:dyDescent="0.25">
      <c r="A31" s="58">
        <v>7</v>
      </c>
      <c r="B31" s="68">
        <f t="shared" si="0"/>
        <v>30.326086956521738</v>
      </c>
      <c r="C31" s="54">
        <v>-425925</v>
      </c>
      <c r="D31" s="69">
        <f t="shared" si="1"/>
        <v>-14044.83870967742</v>
      </c>
      <c r="F31" s="95">
        <v>61</v>
      </c>
      <c r="G31" s="96">
        <f t="shared" si="2"/>
        <v>33.41317365269461</v>
      </c>
      <c r="H31" s="97">
        <v>-223907</v>
      </c>
      <c r="I31" s="98">
        <f t="shared" si="3"/>
        <v>-6701.159318996416</v>
      </c>
      <c r="J31">
        <v>0</v>
      </c>
      <c r="K31" s="58">
        <v>49</v>
      </c>
      <c r="L31" s="68">
        <f t="shared" si="4"/>
        <v>30.326086956521738</v>
      </c>
      <c r="M31" s="54">
        <v>-35135</v>
      </c>
      <c r="N31" s="69">
        <f t="shared" si="5"/>
        <v>-1158.573476702509</v>
      </c>
      <c r="P31" s="58">
        <v>76</v>
      </c>
      <c r="Q31" s="68">
        <f t="shared" si="6"/>
        <v>33.41317365269461</v>
      </c>
      <c r="R31" s="54">
        <v>-134133</v>
      </c>
      <c r="S31" s="69">
        <f t="shared" si="7"/>
        <v>-4014.3747311827956</v>
      </c>
    </row>
    <row r="32" spans="1:20" x14ac:dyDescent="0.25">
      <c r="A32" s="58">
        <v>88</v>
      </c>
      <c r="B32" s="68">
        <f t="shared" si="0"/>
        <v>30.326086956521738</v>
      </c>
      <c r="C32" s="54">
        <v>-426293</v>
      </c>
      <c r="D32" s="69">
        <f t="shared" si="1"/>
        <v>-14056.973476702509</v>
      </c>
      <c r="F32" s="58">
        <v>92</v>
      </c>
      <c r="G32" s="68">
        <f t="shared" si="2"/>
        <v>33.41317365269461</v>
      </c>
      <c r="H32" s="54">
        <v>-299484</v>
      </c>
      <c r="I32" s="69">
        <f t="shared" si="3"/>
        <v>-8963.0516129032258</v>
      </c>
      <c r="K32" s="58">
        <v>86</v>
      </c>
      <c r="L32" s="68">
        <f t="shared" si="4"/>
        <v>30.326086956521738</v>
      </c>
      <c r="M32" s="54">
        <v>-36114</v>
      </c>
      <c r="N32" s="69">
        <f t="shared" si="5"/>
        <v>-1190.8559139784948</v>
      </c>
      <c r="P32" s="58">
        <v>27</v>
      </c>
      <c r="Q32" s="68">
        <f t="shared" si="6"/>
        <v>33.41317365269461</v>
      </c>
      <c r="R32" s="54">
        <v>-237585</v>
      </c>
      <c r="S32" s="69">
        <f t="shared" si="7"/>
        <v>-7110.5188172043008</v>
      </c>
    </row>
    <row r="33" spans="1:20" x14ac:dyDescent="0.25">
      <c r="A33" s="58">
        <v>1</v>
      </c>
      <c r="B33" s="68">
        <f t="shared" si="0"/>
        <v>30.326086956521738</v>
      </c>
      <c r="C33" s="54">
        <v>-436549</v>
      </c>
      <c r="D33" s="69">
        <f t="shared" si="1"/>
        <v>-14395.164157706093</v>
      </c>
      <c r="F33" s="58">
        <v>93</v>
      </c>
      <c r="G33" s="68">
        <f t="shared" si="2"/>
        <v>33.41317365269461</v>
      </c>
      <c r="H33" s="54">
        <v>-392062</v>
      </c>
      <c r="I33" s="69">
        <f t="shared" si="3"/>
        <v>-11733.755197132617</v>
      </c>
      <c r="K33" s="58">
        <v>95</v>
      </c>
      <c r="L33" s="68">
        <f t="shared" si="4"/>
        <v>30.326086956521738</v>
      </c>
      <c r="M33" s="54">
        <v>-117870</v>
      </c>
      <c r="N33" s="69">
        <f t="shared" si="5"/>
        <v>-3886.7526881720432</v>
      </c>
      <c r="P33" s="58">
        <v>49</v>
      </c>
      <c r="Q33" s="68">
        <f t="shared" si="6"/>
        <v>33.41317365269461</v>
      </c>
      <c r="R33" s="54">
        <v>-320509</v>
      </c>
      <c r="S33" s="69">
        <f t="shared" si="7"/>
        <v>-9592.2944444444438</v>
      </c>
    </row>
    <row r="34" spans="1:20" x14ac:dyDescent="0.25">
      <c r="A34" s="58">
        <v>16</v>
      </c>
      <c r="B34" s="68">
        <f t="shared" si="0"/>
        <v>30.326086956521738</v>
      </c>
      <c r="C34" s="54">
        <v>-516654</v>
      </c>
      <c r="D34" s="69">
        <f t="shared" si="1"/>
        <v>-17036.619354838709</v>
      </c>
      <c r="F34" s="58">
        <v>17</v>
      </c>
      <c r="G34" s="68">
        <f t="shared" si="2"/>
        <v>33.41317365269461</v>
      </c>
      <c r="H34" s="54">
        <v>-421127</v>
      </c>
      <c r="I34" s="69">
        <f t="shared" si="3"/>
        <v>-12603.621684587813</v>
      </c>
      <c r="K34" s="58">
        <v>42</v>
      </c>
      <c r="L34" s="68">
        <f t="shared" si="4"/>
        <v>30.326086956521738</v>
      </c>
      <c r="M34" s="54">
        <v>-137859</v>
      </c>
      <c r="N34" s="69">
        <f t="shared" si="5"/>
        <v>-4545.8881720430109</v>
      </c>
      <c r="P34" s="58">
        <v>47</v>
      </c>
      <c r="Q34" s="68">
        <f t="shared" si="6"/>
        <v>33.41317365269461</v>
      </c>
      <c r="R34" s="54">
        <v>-338573</v>
      </c>
      <c r="S34" s="69">
        <f t="shared" si="7"/>
        <v>-10132.919534050179</v>
      </c>
    </row>
    <row r="35" spans="1:20" x14ac:dyDescent="0.25">
      <c r="A35" s="58">
        <v>73</v>
      </c>
      <c r="B35" s="68">
        <f t="shared" si="0"/>
        <v>30.326086956521738</v>
      </c>
      <c r="C35" s="54">
        <v>-526062</v>
      </c>
      <c r="D35" s="69">
        <f t="shared" si="1"/>
        <v>-17346.847311827958</v>
      </c>
      <c r="F35" s="58">
        <v>5</v>
      </c>
      <c r="G35" s="68">
        <f t="shared" si="2"/>
        <v>33.41317365269461</v>
      </c>
      <c r="H35" s="54">
        <v>-473972</v>
      </c>
      <c r="I35" s="69">
        <f t="shared" si="3"/>
        <v>-14185.183512544803</v>
      </c>
      <c r="K35" s="58">
        <v>50</v>
      </c>
      <c r="L35" s="68">
        <f t="shared" si="4"/>
        <v>30.326086956521738</v>
      </c>
      <c r="M35" s="54">
        <v>-141217</v>
      </c>
      <c r="N35" s="69">
        <f t="shared" si="5"/>
        <v>-4656.6179211469534</v>
      </c>
      <c r="P35" s="58">
        <v>34</v>
      </c>
      <c r="Q35" s="68">
        <f t="shared" si="6"/>
        <v>33.41317365269461</v>
      </c>
      <c r="R35" s="54">
        <v>-343537</v>
      </c>
      <c r="S35" s="69">
        <f t="shared" si="7"/>
        <v>-10281.483691756273</v>
      </c>
    </row>
    <row r="36" spans="1:20" x14ac:dyDescent="0.25">
      <c r="A36" s="58">
        <v>69</v>
      </c>
      <c r="B36" s="68">
        <f t="shared" si="0"/>
        <v>30.326086956521738</v>
      </c>
      <c r="C36" s="54">
        <v>-582190</v>
      </c>
      <c r="D36" s="69">
        <f t="shared" si="1"/>
        <v>-19197.663082437277</v>
      </c>
      <c r="F36" s="58">
        <v>67</v>
      </c>
      <c r="G36" s="68">
        <f t="shared" si="2"/>
        <v>33.41317365269461</v>
      </c>
      <c r="H36" s="54">
        <v>-479440</v>
      </c>
      <c r="I36" s="69">
        <f t="shared" si="3"/>
        <v>-14348.831541218638</v>
      </c>
      <c r="K36" s="58">
        <v>24</v>
      </c>
      <c r="L36" s="68">
        <f t="shared" si="4"/>
        <v>30.326086956521738</v>
      </c>
      <c r="M36" s="54">
        <v>-265494</v>
      </c>
      <c r="N36" s="69">
        <f t="shared" si="5"/>
        <v>-8754.6408602150532</v>
      </c>
      <c r="P36" s="58">
        <v>26</v>
      </c>
      <c r="Q36" s="68">
        <f t="shared" si="6"/>
        <v>33.41317365269461</v>
      </c>
      <c r="R36" s="54">
        <v>-410208</v>
      </c>
      <c r="S36" s="69">
        <f t="shared" si="7"/>
        <v>-12276.834408602152</v>
      </c>
    </row>
    <row r="37" spans="1:20" x14ac:dyDescent="0.25">
      <c r="A37" s="58">
        <v>17</v>
      </c>
      <c r="B37" s="68">
        <f t="shared" si="0"/>
        <v>30.326086956521738</v>
      </c>
      <c r="C37" s="54">
        <v>-710390</v>
      </c>
      <c r="D37" s="69">
        <f t="shared" si="1"/>
        <v>-23425.046594982079</v>
      </c>
      <c r="F37" s="58">
        <v>65</v>
      </c>
      <c r="G37" s="68">
        <f t="shared" si="2"/>
        <v>33.41317365269461</v>
      </c>
      <c r="H37" s="54">
        <v>-681880</v>
      </c>
      <c r="I37" s="69">
        <f t="shared" si="3"/>
        <v>-20407.519713261649</v>
      </c>
      <c r="K37" s="58">
        <v>44</v>
      </c>
      <c r="L37" s="68">
        <f t="shared" si="4"/>
        <v>30.326086956521738</v>
      </c>
      <c r="M37" s="54">
        <v>-279807</v>
      </c>
      <c r="N37" s="69">
        <f t="shared" si="5"/>
        <v>-9226.6107526881715</v>
      </c>
      <c r="P37" s="58">
        <v>55</v>
      </c>
      <c r="Q37" s="68">
        <f t="shared" si="6"/>
        <v>33.41317365269461</v>
      </c>
      <c r="R37" s="54">
        <v>-412943</v>
      </c>
      <c r="S37" s="69">
        <f t="shared" si="7"/>
        <v>-12358.688351254481</v>
      </c>
    </row>
    <row r="38" spans="1:20" x14ac:dyDescent="0.25">
      <c r="A38" s="58">
        <v>12</v>
      </c>
      <c r="B38" s="68">
        <f t="shared" si="0"/>
        <v>30.326086956521738</v>
      </c>
      <c r="C38" s="54">
        <v>-753136</v>
      </c>
      <c r="D38" s="69">
        <f t="shared" si="1"/>
        <v>-24834.592114695341</v>
      </c>
      <c r="F38" s="95">
        <v>15</v>
      </c>
      <c r="G38" s="96">
        <f t="shared" si="2"/>
        <v>33.41317365269461</v>
      </c>
      <c r="H38" s="97">
        <v>-737370</v>
      </c>
      <c r="I38" s="98">
        <f t="shared" si="3"/>
        <v>-22068.241935483871</v>
      </c>
      <c r="J38">
        <v>0</v>
      </c>
      <c r="K38" s="58">
        <v>78</v>
      </c>
      <c r="L38" s="68">
        <f t="shared" si="4"/>
        <v>30.326086956521738</v>
      </c>
      <c r="M38" s="54">
        <v>-450754</v>
      </c>
      <c r="N38" s="69">
        <f t="shared" si="5"/>
        <v>-14863.572759856632</v>
      </c>
      <c r="P38" s="95">
        <v>22</v>
      </c>
      <c r="Q38" s="96">
        <f t="shared" si="6"/>
        <v>33.41317365269461</v>
      </c>
      <c r="R38" s="97">
        <v>-443480</v>
      </c>
      <c r="S38" s="98">
        <f t="shared" si="7"/>
        <v>-13272.609318996416</v>
      </c>
      <c r="T38">
        <v>0</v>
      </c>
    </row>
    <row r="39" spans="1:20" x14ac:dyDescent="0.25">
      <c r="A39" s="58">
        <v>58</v>
      </c>
      <c r="B39" s="68">
        <f t="shared" si="0"/>
        <v>30.326086956521738</v>
      </c>
      <c r="C39" s="54">
        <v>-793953</v>
      </c>
      <c r="D39" s="69">
        <f t="shared" si="1"/>
        <v>-26180.529032258066</v>
      </c>
      <c r="F39" s="58">
        <v>6</v>
      </c>
      <c r="G39" s="68">
        <f t="shared" si="2"/>
        <v>33.41317365269461</v>
      </c>
      <c r="H39" s="54">
        <v>-760719</v>
      </c>
      <c r="I39" s="69">
        <f t="shared" si="3"/>
        <v>-22767.038172043012</v>
      </c>
      <c r="K39" s="58">
        <v>81</v>
      </c>
      <c r="L39" s="68">
        <f t="shared" si="4"/>
        <v>30.326086956521738</v>
      </c>
      <c r="M39" s="54">
        <v>-460974</v>
      </c>
      <c r="N39" s="69">
        <f t="shared" si="5"/>
        <v>-15200.576344086023</v>
      </c>
      <c r="P39" s="58">
        <v>97</v>
      </c>
      <c r="Q39" s="68">
        <f t="shared" si="6"/>
        <v>33.41317365269461</v>
      </c>
      <c r="R39" s="54">
        <v>-474669</v>
      </c>
      <c r="S39" s="69">
        <f t="shared" si="7"/>
        <v>-14206.043548387097</v>
      </c>
    </row>
    <row r="40" spans="1:20" x14ac:dyDescent="0.25">
      <c r="A40" s="58">
        <v>68</v>
      </c>
      <c r="B40" s="68">
        <f t="shared" si="0"/>
        <v>30.326086956521738</v>
      </c>
      <c r="C40" s="54">
        <v>-803861</v>
      </c>
      <c r="D40" s="69">
        <f t="shared" si="1"/>
        <v>-26507.244444444445</v>
      </c>
      <c r="F40" s="58">
        <v>18</v>
      </c>
      <c r="G40" s="68">
        <f t="shared" si="2"/>
        <v>33.41317365269461</v>
      </c>
      <c r="H40" s="54">
        <v>-824942</v>
      </c>
      <c r="I40" s="69">
        <f t="shared" si="3"/>
        <v>-24689.124372759856</v>
      </c>
      <c r="K40" s="58">
        <v>48</v>
      </c>
      <c r="L40" s="68">
        <f t="shared" si="4"/>
        <v>30.326086956521738</v>
      </c>
      <c r="M40" s="54">
        <v>-522318</v>
      </c>
      <c r="N40" s="69">
        <f t="shared" si="5"/>
        <v>-17223.389247311829</v>
      </c>
      <c r="P40" s="58">
        <v>57</v>
      </c>
      <c r="Q40" s="68">
        <f t="shared" si="6"/>
        <v>33.41317365269461</v>
      </c>
      <c r="R40" s="54">
        <v>-519769</v>
      </c>
      <c r="S40" s="69">
        <f t="shared" si="7"/>
        <v>-15555.810573476703</v>
      </c>
    </row>
    <row r="41" spans="1:20" x14ac:dyDescent="0.25">
      <c r="A41" s="58">
        <v>60</v>
      </c>
      <c r="B41" s="68">
        <f t="shared" si="0"/>
        <v>30.326086956521738</v>
      </c>
      <c r="C41" s="54">
        <v>-850901</v>
      </c>
      <c r="D41" s="69">
        <f t="shared" si="1"/>
        <v>-28058.384229390682</v>
      </c>
      <c r="F41" s="58">
        <v>11</v>
      </c>
      <c r="G41" s="68">
        <f t="shared" si="2"/>
        <v>33.41317365269461</v>
      </c>
      <c r="H41" s="54">
        <v>-906527</v>
      </c>
      <c r="I41" s="69">
        <f t="shared" si="3"/>
        <v>-27130.825985663083</v>
      </c>
      <c r="K41" s="58">
        <v>87</v>
      </c>
      <c r="L41" s="68">
        <f t="shared" si="4"/>
        <v>30.326086956521738</v>
      </c>
      <c r="M41" s="54">
        <v>-542332</v>
      </c>
      <c r="N41" s="69">
        <f t="shared" si="5"/>
        <v>-17883.349103942652</v>
      </c>
      <c r="P41" s="58">
        <v>35</v>
      </c>
      <c r="Q41" s="68">
        <f t="shared" si="6"/>
        <v>33.41317365269461</v>
      </c>
      <c r="R41" s="54">
        <v>-552149</v>
      </c>
      <c r="S41" s="69">
        <f t="shared" si="7"/>
        <v>-16524.889426523299</v>
      </c>
    </row>
    <row r="42" spans="1:20" x14ac:dyDescent="0.25">
      <c r="A42" s="58">
        <v>74</v>
      </c>
      <c r="B42" s="68">
        <f t="shared" si="0"/>
        <v>30.326086956521738</v>
      </c>
      <c r="C42" s="54">
        <v>-871942</v>
      </c>
      <c r="D42" s="69">
        <f t="shared" si="1"/>
        <v>-28752.209318996418</v>
      </c>
      <c r="F42" s="58">
        <v>14</v>
      </c>
      <c r="G42" s="68">
        <f t="shared" si="2"/>
        <v>33.41317365269461</v>
      </c>
      <c r="H42" s="54">
        <v>-923878</v>
      </c>
      <c r="I42" s="69">
        <f t="shared" si="3"/>
        <v>-27650.112186379931</v>
      </c>
      <c r="K42" s="58">
        <v>41</v>
      </c>
      <c r="L42" s="68">
        <f t="shared" si="4"/>
        <v>30.326086956521738</v>
      </c>
      <c r="M42" s="54">
        <v>-545075</v>
      </c>
      <c r="N42" s="69">
        <f t="shared" si="5"/>
        <v>-17973.799283154123</v>
      </c>
      <c r="P42" s="58">
        <v>81</v>
      </c>
      <c r="Q42" s="68">
        <f t="shared" si="6"/>
        <v>33.41317365269461</v>
      </c>
      <c r="R42" s="54">
        <v>-553719</v>
      </c>
      <c r="S42" s="69">
        <f t="shared" si="7"/>
        <v>-16571.876881720429</v>
      </c>
    </row>
    <row r="43" spans="1:20" x14ac:dyDescent="0.25">
      <c r="A43" s="58">
        <v>71</v>
      </c>
      <c r="B43" s="68">
        <f t="shared" si="0"/>
        <v>30.326086956521738</v>
      </c>
      <c r="C43" s="54">
        <v>-879757</v>
      </c>
      <c r="D43" s="69">
        <f t="shared" si="1"/>
        <v>-29009.908243727601</v>
      </c>
      <c r="F43" s="58">
        <v>90</v>
      </c>
      <c r="G43" s="68">
        <f t="shared" si="2"/>
        <v>33.41317365269461</v>
      </c>
      <c r="H43" s="54">
        <v>-944796</v>
      </c>
      <c r="I43" s="69">
        <f t="shared" si="3"/>
        <v>-28276.152688172042</v>
      </c>
      <c r="K43" s="58">
        <v>23</v>
      </c>
      <c r="L43" s="68">
        <f t="shared" si="4"/>
        <v>30.326086956521738</v>
      </c>
      <c r="M43" s="54">
        <v>-550483</v>
      </c>
      <c r="N43" s="69">
        <f t="shared" si="5"/>
        <v>-18152.127598566309</v>
      </c>
      <c r="P43" s="58">
        <v>25</v>
      </c>
      <c r="Q43" s="68">
        <f t="shared" si="6"/>
        <v>33.41317365269461</v>
      </c>
      <c r="R43" s="54">
        <v>-602771</v>
      </c>
      <c r="S43" s="69">
        <f t="shared" si="7"/>
        <v>-18039.920609318997</v>
      </c>
    </row>
    <row r="44" spans="1:20" x14ac:dyDescent="0.25">
      <c r="A44" s="58">
        <v>13</v>
      </c>
      <c r="B44" s="68">
        <f t="shared" si="0"/>
        <v>30.326086956521738</v>
      </c>
      <c r="C44" s="54">
        <v>-1072053</v>
      </c>
      <c r="D44" s="69">
        <f t="shared" si="1"/>
        <v>-35350.851612903229</v>
      </c>
      <c r="F44" s="58">
        <v>88</v>
      </c>
      <c r="G44" s="68">
        <f t="shared" si="2"/>
        <v>33.41317365269461</v>
      </c>
      <c r="H44" s="54">
        <v>-964689</v>
      </c>
      <c r="I44" s="69">
        <f t="shared" si="3"/>
        <v>-28871.516666666666</v>
      </c>
      <c r="K44" s="58">
        <v>55</v>
      </c>
      <c r="L44" s="68">
        <f t="shared" si="4"/>
        <v>30.326086956521738</v>
      </c>
      <c r="M44" s="54">
        <v>-592287</v>
      </c>
      <c r="N44" s="69">
        <f t="shared" si="5"/>
        <v>-19530.610752688171</v>
      </c>
      <c r="P44" s="58">
        <v>23</v>
      </c>
      <c r="Q44" s="68">
        <f t="shared" si="6"/>
        <v>33.41317365269461</v>
      </c>
      <c r="R44" s="54">
        <v>-625997</v>
      </c>
      <c r="S44" s="69">
        <f t="shared" si="7"/>
        <v>-18735.035663082439</v>
      </c>
    </row>
    <row r="45" spans="1:20" x14ac:dyDescent="0.25">
      <c r="A45" s="58">
        <v>92</v>
      </c>
      <c r="B45" s="68">
        <f t="shared" si="0"/>
        <v>30.326086956521738</v>
      </c>
      <c r="C45" s="54">
        <v>-1105120</v>
      </c>
      <c r="D45" s="69">
        <f t="shared" si="1"/>
        <v>-36441.232974910396</v>
      </c>
      <c r="F45" s="58">
        <v>10</v>
      </c>
      <c r="G45" s="68">
        <f t="shared" si="2"/>
        <v>33.41317365269461</v>
      </c>
      <c r="H45" s="54">
        <v>-1019506</v>
      </c>
      <c r="I45" s="69">
        <f t="shared" si="3"/>
        <v>-30512.097132616487</v>
      </c>
      <c r="K45" s="95">
        <v>31</v>
      </c>
      <c r="L45" s="96">
        <f t="shared" si="4"/>
        <v>30.326086956521738</v>
      </c>
      <c r="M45" s="97">
        <v>-620072</v>
      </c>
      <c r="N45" s="98">
        <f t="shared" si="5"/>
        <v>-20446.818637992834</v>
      </c>
      <c r="O45">
        <v>0</v>
      </c>
      <c r="P45" s="58">
        <v>78</v>
      </c>
      <c r="Q45" s="68">
        <f t="shared" si="6"/>
        <v>33.41317365269461</v>
      </c>
      <c r="R45" s="54">
        <v>-732192</v>
      </c>
      <c r="S45" s="69">
        <f t="shared" si="7"/>
        <v>-21913.273118279569</v>
      </c>
    </row>
    <row r="46" spans="1:20" x14ac:dyDescent="0.25">
      <c r="A46" s="58">
        <v>21</v>
      </c>
      <c r="B46" s="68">
        <f t="shared" si="0"/>
        <v>30.326086956521738</v>
      </c>
      <c r="C46" s="54">
        <v>-1124143</v>
      </c>
      <c r="D46" s="69">
        <f t="shared" si="1"/>
        <v>-37068.514695340506</v>
      </c>
      <c r="F46" s="95">
        <v>2</v>
      </c>
      <c r="G46" s="96">
        <f t="shared" si="2"/>
        <v>33.41317365269461</v>
      </c>
      <c r="H46" s="97">
        <v>-1048073</v>
      </c>
      <c r="I46" s="98">
        <f t="shared" si="3"/>
        <v>-31367.059318996417</v>
      </c>
      <c r="J46">
        <v>0</v>
      </c>
      <c r="K46" s="58">
        <v>40</v>
      </c>
      <c r="L46" s="68">
        <f t="shared" si="4"/>
        <v>30.326086956521738</v>
      </c>
      <c r="M46" s="54">
        <v>-658386</v>
      </c>
      <c r="N46" s="69">
        <f t="shared" si="5"/>
        <v>-21710.219354838711</v>
      </c>
      <c r="P46" s="58">
        <v>41</v>
      </c>
      <c r="Q46" s="68">
        <f t="shared" si="6"/>
        <v>33.41317365269461</v>
      </c>
      <c r="R46" s="54">
        <v>-890843</v>
      </c>
      <c r="S46" s="69">
        <f t="shared" si="7"/>
        <v>-26661.430286738352</v>
      </c>
    </row>
    <row r="47" spans="1:20" x14ac:dyDescent="0.25">
      <c r="A47" s="58">
        <v>64</v>
      </c>
      <c r="B47" s="68">
        <f t="shared" si="0"/>
        <v>30.326086956521738</v>
      </c>
      <c r="C47" s="54">
        <v>-1198677</v>
      </c>
      <c r="D47" s="69">
        <f t="shared" si="1"/>
        <v>-39526.26666666667</v>
      </c>
      <c r="F47" s="58">
        <v>12</v>
      </c>
      <c r="G47" s="68">
        <f t="shared" si="2"/>
        <v>33.41317365269461</v>
      </c>
      <c r="H47" s="54">
        <v>-1098022</v>
      </c>
      <c r="I47" s="69">
        <f t="shared" si="3"/>
        <v>-32861.948745519716</v>
      </c>
      <c r="K47" s="58">
        <v>97</v>
      </c>
      <c r="L47" s="68">
        <f t="shared" si="4"/>
        <v>30.326086956521738</v>
      </c>
      <c r="M47" s="54">
        <v>-661431</v>
      </c>
      <c r="N47" s="69">
        <f t="shared" si="5"/>
        <v>-21810.627956989247</v>
      </c>
      <c r="P47" s="58">
        <v>48</v>
      </c>
      <c r="Q47" s="68">
        <f t="shared" si="6"/>
        <v>33.41317365269461</v>
      </c>
      <c r="R47" s="54">
        <v>-914243</v>
      </c>
      <c r="S47" s="69">
        <f t="shared" si="7"/>
        <v>-27361.752867383515</v>
      </c>
    </row>
    <row r="48" spans="1:20" x14ac:dyDescent="0.25">
      <c r="A48" s="58">
        <v>3</v>
      </c>
      <c r="B48" s="68">
        <f t="shared" si="0"/>
        <v>30.326086956521738</v>
      </c>
      <c r="C48" s="54">
        <v>-1231829</v>
      </c>
      <c r="D48" s="69">
        <f t="shared" si="1"/>
        <v>-40619.450896057351</v>
      </c>
      <c r="F48" s="58">
        <v>72</v>
      </c>
      <c r="G48" s="68">
        <f t="shared" si="2"/>
        <v>33.41317365269461</v>
      </c>
      <c r="H48" s="54">
        <v>-1168137</v>
      </c>
      <c r="I48" s="69">
        <f t="shared" si="3"/>
        <v>-34960.372580645162</v>
      </c>
      <c r="K48" s="58">
        <v>56</v>
      </c>
      <c r="L48" s="68">
        <f t="shared" si="4"/>
        <v>30.326086956521738</v>
      </c>
      <c r="M48" s="54">
        <v>-736742</v>
      </c>
      <c r="N48" s="69">
        <f t="shared" si="5"/>
        <v>-24294.001433691756</v>
      </c>
      <c r="P48" s="58">
        <v>96</v>
      </c>
      <c r="Q48" s="68">
        <f t="shared" si="6"/>
        <v>33.41317365269461</v>
      </c>
      <c r="R48" s="54">
        <v>-944950</v>
      </c>
      <c r="S48" s="69">
        <f t="shared" si="7"/>
        <v>-28280.76164874552</v>
      </c>
    </row>
    <row r="49" spans="1:20" x14ac:dyDescent="0.25">
      <c r="A49" s="58">
        <v>70</v>
      </c>
      <c r="B49" s="68">
        <f t="shared" si="0"/>
        <v>30.326086956521738</v>
      </c>
      <c r="C49" s="54">
        <v>-1290356</v>
      </c>
      <c r="D49" s="69">
        <f t="shared" si="1"/>
        <v>-42549.373476702509</v>
      </c>
      <c r="F49" s="58">
        <v>62</v>
      </c>
      <c r="G49" s="68">
        <f t="shared" si="2"/>
        <v>33.41317365269461</v>
      </c>
      <c r="H49" s="54">
        <v>-1177761</v>
      </c>
      <c r="I49" s="69">
        <f t="shared" si="3"/>
        <v>-35248.402688172042</v>
      </c>
      <c r="K49" s="58">
        <v>85</v>
      </c>
      <c r="L49" s="68">
        <f t="shared" si="4"/>
        <v>30.326086956521738</v>
      </c>
      <c r="M49" s="54">
        <v>-789944</v>
      </c>
      <c r="N49" s="69">
        <f t="shared" si="5"/>
        <v>-26048.332616487456</v>
      </c>
      <c r="P49" s="58">
        <v>82</v>
      </c>
      <c r="Q49" s="68">
        <f t="shared" si="6"/>
        <v>33.41317365269461</v>
      </c>
      <c r="R49" s="54">
        <v>-954865</v>
      </c>
      <c r="S49" s="69">
        <f t="shared" si="7"/>
        <v>-28577.500896057347</v>
      </c>
    </row>
    <row r="50" spans="1:20" x14ac:dyDescent="0.25">
      <c r="A50" s="58">
        <v>65</v>
      </c>
      <c r="B50" s="68">
        <f t="shared" si="0"/>
        <v>30.326086956521738</v>
      </c>
      <c r="C50" s="54">
        <v>-1335361</v>
      </c>
      <c r="D50" s="69">
        <f t="shared" si="1"/>
        <v>-44033.409318996419</v>
      </c>
      <c r="F50" s="58">
        <v>19</v>
      </c>
      <c r="G50" s="68">
        <f t="shared" si="2"/>
        <v>33.41317365269461</v>
      </c>
      <c r="H50" s="54">
        <v>-1251057</v>
      </c>
      <c r="I50" s="69">
        <f t="shared" si="3"/>
        <v>-37442.028494623657</v>
      </c>
      <c r="K50" s="58">
        <v>26</v>
      </c>
      <c r="L50" s="68">
        <f t="shared" si="4"/>
        <v>30.326086956521738</v>
      </c>
      <c r="M50" s="54">
        <v>-946136</v>
      </c>
      <c r="N50" s="69">
        <f t="shared" si="5"/>
        <v>-31198.749820788533</v>
      </c>
      <c r="P50" s="58">
        <v>50</v>
      </c>
      <c r="Q50" s="68">
        <f t="shared" si="6"/>
        <v>33.41317365269461</v>
      </c>
      <c r="R50" s="54">
        <v>-1011749</v>
      </c>
      <c r="S50" s="69">
        <f t="shared" si="7"/>
        <v>-30279.943189964157</v>
      </c>
    </row>
    <row r="51" spans="1:20" x14ac:dyDescent="0.25">
      <c r="A51" s="58">
        <v>18</v>
      </c>
      <c r="B51" s="68">
        <f t="shared" si="0"/>
        <v>30.326086956521738</v>
      </c>
      <c r="C51" s="54">
        <v>-1388548</v>
      </c>
      <c r="D51" s="69">
        <f t="shared" si="1"/>
        <v>-45787.2458781362</v>
      </c>
      <c r="F51" s="58">
        <v>68</v>
      </c>
      <c r="G51" s="68">
        <f t="shared" si="2"/>
        <v>33.41317365269461</v>
      </c>
      <c r="H51" s="54">
        <v>-1292553</v>
      </c>
      <c r="I51" s="69">
        <f t="shared" si="3"/>
        <v>-38683.933870967739</v>
      </c>
      <c r="K51" s="58">
        <v>84</v>
      </c>
      <c r="L51" s="68">
        <f t="shared" si="4"/>
        <v>30.326086956521738</v>
      </c>
      <c r="M51" s="54">
        <v>-948146</v>
      </c>
      <c r="N51" s="69">
        <f t="shared" si="5"/>
        <v>-31265.029390681004</v>
      </c>
      <c r="P51" s="58">
        <v>40</v>
      </c>
      <c r="Q51" s="68">
        <f t="shared" si="6"/>
        <v>33.41317365269461</v>
      </c>
      <c r="R51" s="54">
        <v>-1028317</v>
      </c>
      <c r="S51" s="69">
        <f t="shared" si="7"/>
        <v>-30775.795519713261</v>
      </c>
    </row>
    <row r="52" spans="1:20" x14ac:dyDescent="0.25">
      <c r="A52" s="58">
        <v>91</v>
      </c>
      <c r="B52" s="68">
        <f t="shared" si="0"/>
        <v>30.326086956521738</v>
      </c>
      <c r="C52" s="54">
        <v>-1477388</v>
      </c>
      <c r="D52" s="69">
        <f t="shared" si="1"/>
        <v>-48716.736917562725</v>
      </c>
      <c r="F52" s="58">
        <v>60</v>
      </c>
      <c r="G52" s="68">
        <f t="shared" si="2"/>
        <v>33.41317365269461</v>
      </c>
      <c r="H52" s="54">
        <v>-1363928</v>
      </c>
      <c r="I52" s="69">
        <f t="shared" si="3"/>
        <v>-40820.067383512549</v>
      </c>
      <c r="K52" s="58">
        <v>37</v>
      </c>
      <c r="L52" s="68">
        <f t="shared" si="4"/>
        <v>30.326086956521738</v>
      </c>
      <c r="M52" s="54">
        <v>-1123636</v>
      </c>
      <c r="N52" s="69">
        <f t="shared" si="5"/>
        <v>-37051.796415770608</v>
      </c>
      <c r="P52" s="58">
        <v>45</v>
      </c>
      <c r="Q52" s="68">
        <f t="shared" si="6"/>
        <v>33.41317365269461</v>
      </c>
      <c r="R52" s="54">
        <v>-1108132</v>
      </c>
      <c r="S52" s="69">
        <f t="shared" si="7"/>
        <v>-33164.524014336916</v>
      </c>
    </row>
    <row r="53" spans="1:20" x14ac:dyDescent="0.25">
      <c r="A53" s="58">
        <v>67</v>
      </c>
      <c r="B53" s="68">
        <f t="shared" si="0"/>
        <v>30.326086956521738</v>
      </c>
      <c r="C53" s="54">
        <v>-1558535</v>
      </c>
      <c r="D53" s="69">
        <f t="shared" si="1"/>
        <v>-51392.551971326167</v>
      </c>
      <c r="F53" s="58">
        <v>66</v>
      </c>
      <c r="G53" s="68">
        <f t="shared" si="2"/>
        <v>33.41317365269461</v>
      </c>
      <c r="H53" s="54">
        <v>-1541082</v>
      </c>
      <c r="I53" s="69">
        <f t="shared" si="3"/>
        <v>-46121.988172043013</v>
      </c>
      <c r="K53" s="58">
        <v>77</v>
      </c>
      <c r="L53" s="68">
        <f t="shared" si="4"/>
        <v>30.326086956521738</v>
      </c>
      <c r="M53" s="54">
        <v>-1136517</v>
      </c>
      <c r="N53" s="69">
        <f t="shared" si="5"/>
        <v>-37476.546236559137</v>
      </c>
      <c r="P53" s="58">
        <v>37</v>
      </c>
      <c r="Q53" s="68">
        <f t="shared" si="6"/>
        <v>33.41317365269461</v>
      </c>
      <c r="R53" s="54">
        <v>-1231599</v>
      </c>
      <c r="S53" s="69">
        <f t="shared" si="7"/>
        <v>-36859.683333333334</v>
      </c>
    </row>
    <row r="54" spans="1:20" x14ac:dyDescent="0.25">
      <c r="A54" s="58">
        <v>93</v>
      </c>
      <c r="B54" s="68">
        <f t="shared" si="0"/>
        <v>30.326086956521738</v>
      </c>
      <c r="C54" s="54">
        <v>-1560391</v>
      </c>
      <c r="D54" s="69">
        <f t="shared" si="1"/>
        <v>-51453.753405017924</v>
      </c>
      <c r="F54" s="58">
        <v>13</v>
      </c>
      <c r="G54" s="68">
        <f t="shared" si="2"/>
        <v>33.41317365269461</v>
      </c>
      <c r="H54" s="54">
        <v>-1570807</v>
      </c>
      <c r="I54" s="69">
        <f t="shared" si="3"/>
        <v>-47011.607347670251</v>
      </c>
      <c r="K54" s="58">
        <v>94</v>
      </c>
      <c r="L54" s="68">
        <f t="shared" si="4"/>
        <v>30.326086956521738</v>
      </c>
      <c r="M54" s="54">
        <v>-1189690</v>
      </c>
      <c r="N54" s="69">
        <f t="shared" si="5"/>
        <v>-39229.921146953406</v>
      </c>
      <c r="P54" s="58">
        <v>80</v>
      </c>
      <c r="Q54" s="68">
        <f t="shared" si="6"/>
        <v>33.41317365269461</v>
      </c>
      <c r="R54" s="54">
        <v>-1261366</v>
      </c>
      <c r="S54" s="69">
        <f t="shared" si="7"/>
        <v>-37750.559498207884</v>
      </c>
    </row>
    <row r="55" spans="1:20" x14ac:dyDescent="0.25">
      <c r="A55" s="58"/>
      <c r="B55" s="59"/>
      <c r="C55" s="54"/>
      <c r="D55" s="55"/>
      <c r="F55" s="58"/>
      <c r="G55" s="59"/>
      <c r="H55" s="54"/>
      <c r="I55" s="55"/>
      <c r="K55" s="58">
        <v>32</v>
      </c>
      <c r="L55" s="68">
        <f t="shared" si="4"/>
        <v>30.326086956521738</v>
      </c>
      <c r="M55" s="54">
        <v>-1238968</v>
      </c>
      <c r="N55" s="69">
        <f t="shared" si="5"/>
        <v>-40854.858781362011</v>
      </c>
      <c r="P55" s="58">
        <v>52</v>
      </c>
      <c r="Q55" s="68">
        <f t="shared" si="6"/>
        <v>33.41317365269461</v>
      </c>
      <c r="R55" s="54">
        <v>-1306284</v>
      </c>
      <c r="S55" s="69">
        <f t="shared" si="7"/>
        <v>-39094.879569892473</v>
      </c>
    </row>
    <row r="56" spans="1:20" x14ac:dyDescent="0.25">
      <c r="A56" s="58"/>
      <c r="B56" s="59"/>
      <c r="C56" s="54"/>
      <c r="D56" s="55"/>
      <c r="F56" s="58"/>
      <c r="G56" s="59"/>
      <c r="H56" s="54"/>
      <c r="I56" s="55"/>
      <c r="K56" s="58">
        <v>36</v>
      </c>
      <c r="L56" s="68">
        <f t="shared" si="4"/>
        <v>30.326086956521738</v>
      </c>
      <c r="M56" s="54">
        <v>-1281241</v>
      </c>
      <c r="N56" s="69">
        <f t="shared" si="5"/>
        <v>-42248.807168458785</v>
      </c>
      <c r="P56" s="58">
        <v>38</v>
      </c>
      <c r="Q56" s="68">
        <f t="shared" si="6"/>
        <v>33.41317365269461</v>
      </c>
      <c r="R56" s="54">
        <v>-1308829</v>
      </c>
      <c r="S56" s="69">
        <f t="shared" si="7"/>
        <v>-39171.047132616492</v>
      </c>
    </row>
    <row r="57" spans="1:20" x14ac:dyDescent="0.25">
      <c r="A57" s="58"/>
      <c r="B57" s="59"/>
      <c r="C57" s="54"/>
      <c r="D57" s="55"/>
      <c r="F57" s="58"/>
      <c r="G57" s="59"/>
      <c r="H57" s="54"/>
      <c r="I57" s="55"/>
      <c r="K57" s="58">
        <v>29</v>
      </c>
      <c r="L57" s="68">
        <f t="shared" si="4"/>
        <v>30.326086956521738</v>
      </c>
      <c r="M57" s="54">
        <v>-1329121</v>
      </c>
      <c r="N57" s="69">
        <f t="shared" si="5"/>
        <v>-43827.645878136202</v>
      </c>
      <c r="P57" s="58">
        <v>46</v>
      </c>
      <c r="Q57" s="68">
        <f t="shared" si="6"/>
        <v>33.41317365269461</v>
      </c>
      <c r="R57" s="54">
        <v>-1311822</v>
      </c>
      <c r="S57" s="69">
        <f t="shared" si="7"/>
        <v>-39260.622580645162</v>
      </c>
    </row>
    <row r="58" spans="1:20" x14ac:dyDescent="0.25">
      <c r="A58" s="58"/>
      <c r="B58" s="59"/>
      <c r="C58" s="54"/>
      <c r="D58" s="55"/>
      <c r="F58" s="58"/>
      <c r="G58" s="59"/>
      <c r="H58" s="54"/>
      <c r="I58" s="55"/>
      <c r="K58" s="58">
        <v>80</v>
      </c>
      <c r="L58" s="68">
        <f t="shared" si="4"/>
        <v>30.326086956521738</v>
      </c>
      <c r="M58" s="54">
        <v>-1382584</v>
      </c>
      <c r="N58" s="69">
        <f t="shared" si="5"/>
        <v>-45590.583512544807</v>
      </c>
      <c r="P58" s="58">
        <v>53</v>
      </c>
      <c r="Q58" s="68">
        <f t="shared" si="6"/>
        <v>33.41317365269461</v>
      </c>
      <c r="R58" s="54">
        <v>-1316172</v>
      </c>
      <c r="S58" s="69">
        <f t="shared" si="7"/>
        <v>-39390.810752688172</v>
      </c>
    </row>
    <row r="59" spans="1:20" x14ac:dyDescent="0.25">
      <c r="A59" s="58"/>
      <c r="B59" s="59"/>
      <c r="C59" s="54"/>
      <c r="D59" s="55"/>
      <c r="F59" s="58"/>
      <c r="G59" s="59"/>
      <c r="H59" s="54"/>
      <c r="I59" s="55"/>
      <c r="K59" s="58">
        <v>38</v>
      </c>
      <c r="L59" s="68">
        <f t="shared" si="4"/>
        <v>30.326086956521738</v>
      </c>
      <c r="M59" s="54">
        <v>-1454904</v>
      </c>
      <c r="N59" s="69">
        <f t="shared" si="5"/>
        <v>-47975.329032258065</v>
      </c>
      <c r="P59" s="58">
        <v>87</v>
      </c>
      <c r="Q59" s="68">
        <f t="shared" si="6"/>
        <v>33.41317365269461</v>
      </c>
      <c r="R59" s="54">
        <v>-1394051</v>
      </c>
      <c r="S59" s="69">
        <f t="shared" si="7"/>
        <v>-41721.598028673834</v>
      </c>
    </row>
    <row r="60" spans="1:20" x14ac:dyDescent="0.25">
      <c r="A60" s="58"/>
      <c r="B60" s="59"/>
      <c r="C60" s="54"/>
      <c r="D60" s="55"/>
      <c r="F60" s="58"/>
      <c r="G60" s="59"/>
      <c r="H60" s="54"/>
      <c r="I60" s="55"/>
      <c r="K60" s="58">
        <v>96</v>
      </c>
      <c r="L60" s="68">
        <f t="shared" si="4"/>
        <v>30.326086956521738</v>
      </c>
      <c r="M60" s="54">
        <v>-1495940</v>
      </c>
      <c r="N60" s="69">
        <f t="shared" si="5"/>
        <v>-49328.487455197137</v>
      </c>
      <c r="P60" s="58">
        <v>36</v>
      </c>
      <c r="Q60" s="68">
        <f t="shared" si="6"/>
        <v>33.41317365269461</v>
      </c>
      <c r="R60" s="54">
        <v>-1395762</v>
      </c>
      <c r="S60" s="69">
        <f t="shared" si="7"/>
        <v>-41772.805376344084</v>
      </c>
    </row>
    <row r="61" spans="1:20" x14ac:dyDescent="0.25">
      <c r="A61" s="58"/>
      <c r="B61" s="59"/>
      <c r="C61" s="54"/>
      <c r="D61" s="55"/>
      <c r="F61" s="58"/>
      <c r="G61" s="59"/>
      <c r="H61" s="54"/>
      <c r="I61" s="55"/>
      <c r="K61" s="58">
        <v>76</v>
      </c>
      <c r="L61" s="68">
        <f t="shared" si="4"/>
        <v>30.326086956521738</v>
      </c>
      <c r="M61" s="54">
        <v>-1505954</v>
      </c>
      <c r="N61" s="69">
        <f t="shared" si="5"/>
        <v>-49658.698207885303</v>
      </c>
      <c r="P61" s="58">
        <v>42</v>
      </c>
      <c r="Q61" s="68">
        <f t="shared" si="6"/>
        <v>33.41317365269461</v>
      </c>
      <c r="R61" s="54">
        <v>-1449513</v>
      </c>
      <c r="S61" s="69">
        <f t="shared" si="7"/>
        <v>-43381.48225806452</v>
      </c>
    </row>
    <row r="62" spans="1:20" x14ac:dyDescent="0.25">
      <c r="A62" s="58"/>
      <c r="B62" s="59"/>
      <c r="C62" s="54"/>
      <c r="D62" s="55"/>
      <c r="F62" s="58"/>
      <c r="G62" s="59"/>
      <c r="H62" s="54"/>
      <c r="I62" s="55"/>
      <c r="K62" s="58">
        <v>52</v>
      </c>
      <c r="L62" s="68">
        <f t="shared" si="4"/>
        <v>30.326086956521738</v>
      </c>
      <c r="M62" s="54">
        <v>-1572435</v>
      </c>
      <c r="N62" s="69">
        <f t="shared" si="5"/>
        <v>-51850.903225806454</v>
      </c>
      <c r="P62" s="58">
        <v>28</v>
      </c>
      <c r="Q62" s="68">
        <f t="shared" si="6"/>
        <v>33.41317365269461</v>
      </c>
      <c r="R62" s="54">
        <v>-1475625</v>
      </c>
      <c r="S62" s="69">
        <f t="shared" si="7"/>
        <v>-44162.970430107525</v>
      </c>
    </row>
    <row r="63" spans="1:20" x14ac:dyDescent="0.25">
      <c r="A63" s="58"/>
      <c r="B63" s="59"/>
      <c r="C63" s="54"/>
      <c r="D63" s="55"/>
      <c r="F63" s="58"/>
      <c r="G63" s="59"/>
      <c r="H63" s="54"/>
      <c r="I63" s="55"/>
      <c r="K63" s="58">
        <v>100</v>
      </c>
      <c r="L63" s="68">
        <f t="shared" si="4"/>
        <v>30.326086956521738</v>
      </c>
      <c r="M63" s="54">
        <v>-1597710</v>
      </c>
      <c r="N63" s="69">
        <f t="shared" si="5"/>
        <v>-52684.344086021505</v>
      </c>
      <c r="P63" s="95">
        <v>83</v>
      </c>
      <c r="Q63" s="96">
        <f t="shared" si="6"/>
        <v>33.41317365269461</v>
      </c>
      <c r="R63" s="97">
        <v>-1533913</v>
      </c>
      <c r="S63" s="98">
        <f t="shared" si="7"/>
        <v>-45907.432078853046</v>
      </c>
      <c r="T63">
        <v>0</v>
      </c>
    </row>
    <row r="64" spans="1:20" x14ac:dyDescent="0.25">
      <c r="A64" s="58"/>
      <c r="B64" s="59"/>
      <c r="C64" s="54"/>
      <c r="D64" s="55"/>
      <c r="F64" s="58"/>
      <c r="G64" s="59"/>
      <c r="H64" s="54"/>
      <c r="I64" s="55"/>
      <c r="K64" s="58">
        <v>51</v>
      </c>
      <c r="L64" s="68">
        <f t="shared" si="4"/>
        <v>30.326086956521738</v>
      </c>
      <c r="M64" s="54">
        <v>-1602000</v>
      </c>
      <c r="N64" s="69">
        <f t="shared" si="5"/>
        <v>-52825.806451612902</v>
      </c>
      <c r="P64" s="58">
        <v>77</v>
      </c>
      <c r="Q64" s="68">
        <f t="shared" si="6"/>
        <v>33.41317365269461</v>
      </c>
      <c r="R64" s="54">
        <v>-1545855</v>
      </c>
      <c r="S64" s="69">
        <f t="shared" si="7"/>
        <v>-46264.836021505376</v>
      </c>
    </row>
    <row r="65" spans="1:19" x14ac:dyDescent="0.25">
      <c r="A65" s="58"/>
      <c r="B65" s="59"/>
      <c r="C65" s="54"/>
      <c r="D65" s="55"/>
      <c r="F65" s="58"/>
      <c r="G65" s="59"/>
      <c r="H65" s="54"/>
      <c r="I65" s="55"/>
      <c r="K65" s="58"/>
      <c r="L65" s="59"/>
      <c r="M65" s="54"/>
      <c r="N65" s="55"/>
      <c r="P65" s="58"/>
      <c r="Q65" s="59"/>
      <c r="R65" s="54"/>
      <c r="S65" s="55"/>
    </row>
    <row r="66" spans="1:19" x14ac:dyDescent="0.25">
      <c r="A66" s="58"/>
      <c r="B66" s="59"/>
      <c r="C66" s="54"/>
      <c r="D66" s="55"/>
      <c r="F66" s="58"/>
      <c r="G66" s="59"/>
      <c r="H66" s="54"/>
      <c r="I66" s="55"/>
      <c r="K66" s="58"/>
      <c r="L66" s="59"/>
      <c r="M66" s="54"/>
      <c r="N66" s="55"/>
      <c r="P66" s="58"/>
      <c r="Q66" s="59"/>
      <c r="R66" s="54"/>
      <c r="S66" s="55"/>
    </row>
    <row r="67" spans="1:19" x14ac:dyDescent="0.25">
      <c r="A67" s="58"/>
      <c r="B67" s="59"/>
      <c r="C67" s="54"/>
      <c r="D67" s="55"/>
      <c r="F67" s="58"/>
      <c r="G67" s="59"/>
      <c r="H67" s="54"/>
      <c r="I67" s="55"/>
      <c r="K67" s="58"/>
      <c r="L67" s="59"/>
      <c r="M67" s="54"/>
      <c r="N67" s="55"/>
      <c r="P67" s="58"/>
      <c r="Q67" s="59"/>
      <c r="R67" s="54"/>
      <c r="S67" s="55"/>
    </row>
    <row r="68" spans="1:19" x14ac:dyDescent="0.25">
      <c r="A68" s="58"/>
      <c r="B68" s="59"/>
      <c r="C68" s="54"/>
      <c r="D68" s="55"/>
      <c r="F68" s="58"/>
      <c r="G68" s="59"/>
      <c r="H68" s="54"/>
      <c r="I68" s="55"/>
      <c r="K68" s="58"/>
      <c r="L68" s="59"/>
      <c r="M68" s="54"/>
      <c r="N68" s="55"/>
      <c r="P68" s="58"/>
      <c r="Q68" s="59"/>
      <c r="R68" s="54"/>
      <c r="S68" s="55"/>
    </row>
    <row r="69" spans="1:19" x14ac:dyDescent="0.25">
      <c r="A69" s="58"/>
      <c r="B69" s="59"/>
      <c r="C69" s="54"/>
      <c r="D69" s="55"/>
      <c r="F69" s="58"/>
      <c r="G69" s="59"/>
      <c r="H69" s="54"/>
      <c r="I69" s="55"/>
      <c r="K69" s="58"/>
      <c r="L69" s="59"/>
      <c r="M69" s="54"/>
      <c r="N69" s="55"/>
      <c r="P69" s="58"/>
      <c r="Q69" s="59"/>
      <c r="R69" s="54"/>
      <c r="S69" s="55"/>
    </row>
    <row r="70" spans="1:19" x14ac:dyDescent="0.25">
      <c r="A70" s="58"/>
      <c r="B70" s="59"/>
      <c r="C70" s="54"/>
      <c r="D70" s="55"/>
      <c r="F70" s="58"/>
      <c r="G70" s="59"/>
      <c r="H70" s="54"/>
      <c r="I70" s="55"/>
      <c r="K70" s="58"/>
      <c r="L70" s="59"/>
      <c r="M70" s="54"/>
      <c r="N70" s="55"/>
      <c r="P70" s="58"/>
      <c r="Q70" s="59"/>
      <c r="R70" s="54"/>
      <c r="S70" s="55"/>
    </row>
    <row r="71" spans="1:19" x14ac:dyDescent="0.25">
      <c r="A71" s="58"/>
      <c r="B71" s="59"/>
      <c r="C71" s="54"/>
      <c r="D71" s="55"/>
      <c r="F71" s="58"/>
      <c r="G71" s="59"/>
      <c r="H71" s="54"/>
      <c r="I71" s="55"/>
      <c r="K71" s="58"/>
      <c r="L71" s="59"/>
      <c r="M71" s="54"/>
      <c r="N71" s="55"/>
      <c r="P71" s="58"/>
      <c r="Q71" s="59"/>
      <c r="R71" s="54"/>
      <c r="S71" s="55"/>
    </row>
    <row r="72" spans="1:19" x14ac:dyDescent="0.25">
      <c r="A72" s="58"/>
      <c r="B72" s="59"/>
      <c r="C72" s="54"/>
      <c r="D72" s="55"/>
      <c r="F72" s="58"/>
      <c r="G72" s="59"/>
      <c r="H72" s="54"/>
      <c r="I72" s="55"/>
      <c r="K72" s="58"/>
      <c r="L72" s="59"/>
      <c r="M72" s="54"/>
      <c r="N72" s="55"/>
      <c r="P72" s="58"/>
      <c r="Q72" s="59"/>
      <c r="R72" s="54"/>
      <c r="S72" s="55"/>
    </row>
    <row r="73" spans="1:19" x14ac:dyDescent="0.25">
      <c r="A73" s="58"/>
      <c r="B73" s="59"/>
      <c r="C73" s="54"/>
      <c r="D73" s="55"/>
      <c r="F73" s="58"/>
      <c r="G73" s="59"/>
      <c r="H73" s="54"/>
      <c r="I73" s="55"/>
      <c r="K73" s="58"/>
      <c r="L73" s="59"/>
      <c r="M73" s="54"/>
      <c r="N73" s="55"/>
      <c r="P73" s="58"/>
      <c r="Q73" s="59"/>
      <c r="R73" s="54"/>
      <c r="S73" s="55"/>
    </row>
    <row r="74" spans="1:19" x14ac:dyDescent="0.25">
      <c r="A74" s="58"/>
      <c r="B74" s="59"/>
      <c r="C74" s="54"/>
      <c r="D74" s="55"/>
      <c r="F74" s="58"/>
      <c r="G74" s="59"/>
      <c r="H74" s="54"/>
      <c r="I74" s="55"/>
      <c r="K74" s="58"/>
      <c r="L74" s="59"/>
      <c r="M74" s="54"/>
      <c r="N74" s="55"/>
      <c r="P74" s="58"/>
      <c r="Q74" s="59"/>
      <c r="R74" s="54"/>
      <c r="S74" s="55"/>
    </row>
    <row r="75" spans="1:19" x14ac:dyDescent="0.25">
      <c r="A75" s="58"/>
      <c r="B75" s="59"/>
      <c r="C75" s="54"/>
      <c r="D75" s="55"/>
      <c r="F75" s="58"/>
      <c r="G75" s="59"/>
      <c r="H75" s="54"/>
      <c r="I75" s="55"/>
      <c r="K75" s="58"/>
      <c r="L75" s="59"/>
      <c r="M75" s="54"/>
      <c r="N75" s="55"/>
      <c r="P75" s="58"/>
      <c r="Q75" s="59"/>
      <c r="R75" s="54"/>
      <c r="S75" s="55"/>
    </row>
    <row r="76" spans="1:19" x14ac:dyDescent="0.25">
      <c r="A76" s="58"/>
      <c r="B76" s="59"/>
      <c r="C76" s="54"/>
      <c r="D76" s="55"/>
      <c r="F76" s="58"/>
      <c r="G76" s="59"/>
      <c r="H76" s="54"/>
      <c r="I76" s="55"/>
      <c r="K76" s="58"/>
      <c r="L76" s="59"/>
      <c r="M76" s="54"/>
      <c r="N76" s="55"/>
      <c r="P76" s="58"/>
      <c r="Q76" s="59"/>
      <c r="R76" s="54"/>
      <c r="S76" s="55"/>
    </row>
    <row r="77" spans="1:19" x14ac:dyDescent="0.25">
      <c r="A77" s="58"/>
      <c r="B77" s="59"/>
      <c r="C77" s="54"/>
      <c r="D77" s="55"/>
      <c r="F77" s="58"/>
      <c r="G77" s="59"/>
      <c r="H77" s="54"/>
      <c r="I77" s="55"/>
      <c r="K77" s="58"/>
      <c r="L77" s="59"/>
      <c r="M77" s="54"/>
      <c r="N77" s="55"/>
      <c r="P77" s="58"/>
      <c r="Q77" s="59"/>
      <c r="R77" s="54"/>
      <c r="S77" s="55"/>
    </row>
    <row r="78" spans="1:19" x14ac:dyDescent="0.25">
      <c r="A78" s="58"/>
      <c r="B78" s="59"/>
      <c r="C78" s="54"/>
      <c r="D78" s="55"/>
      <c r="F78" s="58"/>
      <c r="G78" s="59"/>
      <c r="H78" s="54"/>
      <c r="I78" s="55"/>
      <c r="K78" s="58"/>
      <c r="L78" s="59"/>
      <c r="M78" s="54"/>
      <c r="N78" s="55"/>
      <c r="P78" s="58"/>
      <c r="Q78" s="59"/>
      <c r="R78" s="54"/>
      <c r="S78" s="55"/>
    </row>
    <row r="79" spans="1:19" x14ac:dyDescent="0.25">
      <c r="A79" s="58"/>
      <c r="B79" s="59"/>
      <c r="C79" s="54"/>
      <c r="D79" s="55"/>
      <c r="F79" s="58"/>
      <c r="G79" s="59"/>
      <c r="H79" s="54"/>
      <c r="I79" s="55"/>
      <c r="K79" s="58"/>
      <c r="L79" s="59"/>
      <c r="M79" s="54"/>
      <c r="N79" s="55"/>
      <c r="P79" s="58"/>
      <c r="Q79" s="59"/>
      <c r="R79" s="54"/>
      <c r="S79" s="55"/>
    </row>
    <row r="80" spans="1:19" x14ac:dyDescent="0.25">
      <c r="A80" s="58"/>
      <c r="B80" s="59"/>
      <c r="C80" s="54"/>
      <c r="D80" s="55"/>
      <c r="F80" s="58"/>
      <c r="G80" s="59"/>
      <c r="H80" s="54"/>
      <c r="I80" s="55"/>
      <c r="K80" s="58"/>
      <c r="L80" s="59"/>
      <c r="M80" s="54"/>
      <c r="N80" s="55"/>
      <c r="P80" s="58"/>
      <c r="Q80" s="59"/>
      <c r="R80" s="54"/>
      <c r="S80" s="55"/>
    </row>
    <row r="81" spans="1:19" x14ac:dyDescent="0.25">
      <c r="A81" s="58"/>
      <c r="B81" s="59"/>
      <c r="C81" s="54"/>
      <c r="D81" s="55"/>
      <c r="F81" s="58"/>
      <c r="G81" s="59"/>
      <c r="H81" s="54"/>
      <c r="I81" s="55"/>
      <c r="K81" s="58"/>
      <c r="L81" s="59"/>
      <c r="M81" s="54"/>
      <c r="N81" s="55"/>
      <c r="P81" s="58"/>
      <c r="Q81" s="59"/>
      <c r="R81" s="54"/>
      <c r="S81" s="55"/>
    </row>
    <row r="82" spans="1:19" x14ac:dyDescent="0.25">
      <c r="A82" s="58"/>
      <c r="B82" s="59"/>
      <c r="C82" s="54"/>
      <c r="D82" s="55"/>
      <c r="F82" s="58"/>
      <c r="G82" s="59"/>
      <c r="H82" s="54"/>
      <c r="I82" s="55"/>
      <c r="K82" s="58"/>
      <c r="L82" s="59"/>
      <c r="M82" s="54"/>
      <c r="N82" s="55"/>
      <c r="P82" s="58"/>
      <c r="Q82" s="59"/>
      <c r="R82" s="54"/>
      <c r="S82" s="55"/>
    </row>
    <row r="83" spans="1:19" x14ac:dyDescent="0.25">
      <c r="A83" s="58"/>
      <c r="B83" s="59"/>
      <c r="C83" s="54"/>
      <c r="D83" s="55"/>
      <c r="F83" s="58"/>
      <c r="G83" s="59"/>
      <c r="H83" s="54"/>
      <c r="I83" s="55"/>
      <c r="K83" s="58"/>
      <c r="L83" s="59"/>
      <c r="M83" s="54"/>
      <c r="N83" s="55"/>
      <c r="P83" s="58"/>
      <c r="Q83" s="59"/>
      <c r="R83" s="54"/>
      <c r="S83" s="55"/>
    </row>
    <row r="84" spans="1:19" x14ac:dyDescent="0.25">
      <c r="A84" s="58"/>
      <c r="B84" s="59"/>
      <c r="C84" s="54"/>
      <c r="D84" s="55"/>
      <c r="F84" s="58"/>
      <c r="G84" s="59"/>
      <c r="H84" s="54"/>
      <c r="I84" s="55"/>
      <c r="K84" s="58"/>
      <c r="L84" s="59"/>
      <c r="M84" s="54"/>
      <c r="N84" s="55"/>
      <c r="P84" s="58"/>
      <c r="Q84" s="59"/>
      <c r="R84" s="54"/>
      <c r="S84" s="55"/>
    </row>
    <row r="85" spans="1:19" x14ac:dyDescent="0.25">
      <c r="A85" s="58"/>
      <c r="B85" s="59"/>
      <c r="C85" s="54"/>
      <c r="D85" s="55"/>
      <c r="F85" s="58"/>
      <c r="G85" s="59"/>
      <c r="H85" s="54"/>
      <c r="I85" s="55"/>
      <c r="K85" s="58"/>
      <c r="L85" s="59"/>
      <c r="M85" s="54"/>
      <c r="N85" s="55"/>
      <c r="P85" s="58"/>
      <c r="Q85" s="59"/>
      <c r="R85" s="54"/>
      <c r="S85" s="55"/>
    </row>
    <row r="86" spans="1:19" x14ac:dyDescent="0.25">
      <c r="A86" s="58"/>
      <c r="B86" s="59"/>
      <c r="C86" s="54"/>
      <c r="D86" s="55"/>
      <c r="F86" s="58"/>
      <c r="G86" s="59"/>
      <c r="H86" s="54"/>
      <c r="I86" s="55"/>
      <c r="K86" s="58"/>
      <c r="L86" s="59"/>
      <c r="M86" s="54"/>
      <c r="N86" s="55"/>
      <c r="P86" s="58"/>
      <c r="Q86" s="59"/>
      <c r="R86" s="54"/>
      <c r="S86" s="55"/>
    </row>
    <row r="87" spans="1:19" x14ac:dyDescent="0.25">
      <c r="A87" s="58"/>
      <c r="B87" s="59"/>
      <c r="C87" s="54"/>
      <c r="D87" s="55"/>
      <c r="F87" s="58"/>
      <c r="G87" s="59"/>
      <c r="H87" s="54"/>
      <c r="I87" s="55"/>
      <c r="K87" s="58"/>
      <c r="L87" s="59"/>
      <c r="M87" s="54"/>
      <c r="N87" s="55"/>
      <c r="P87" s="58"/>
      <c r="Q87" s="59"/>
      <c r="R87" s="54"/>
      <c r="S87" s="55"/>
    </row>
    <row r="88" spans="1:19" x14ac:dyDescent="0.25">
      <c r="A88" s="58"/>
      <c r="B88" s="59"/>
      <c r="C88" s="54"/>
      <c r="D88" s="55"/>
      <c r="F88" s="58"/>
      <c r="G88" s="59"/>
      <c r="H88" s="54"/>
      <c r="I88" s="55"/>
      <c r="K88" s="58"/>
      <c r="L88" s="59"/>
      <c r="M88" s="54"/>
      <c r="N88" s="55"/>
      <c r="P88" s="58"/>
      <c r="Q88" s="59"/>
      <c r="R88" s="54"/>
      <c r="S88" s="55"/>
    </row>
    <row r="89" spans="1:19" x14ac:dyDescent="0.25">
      <c r="A89" s="58"/>
      <c r="B89" s="59"/>
      <c r="C89" s="54"/>
      <c r="D89" s="55"/>
      <c r="F89" s="58"/>
      <c r="G89" s="59"/>
      <c r="H89" s="54"/>
      <c r="I89" s="55"/>
      <c r="K89" s="58"/>
      <c r="L89" s="59"/>
      <c r="M89" s="54"/>
      <c r="N89" s="55"/>
      <c r="P89" s="58"/>
      <c r="Q89" s="59"/>
      <c r="R89" s="54"/>
      <c r="S89" s="55"/>
    </row>
    <row r="90" spans="1:19" x14ac:dyDescent="0.25">
      <c r="A90" s="58"/>
      <c r="B90" s="59"/>
      <c r="C90" s="54"/>
      <c r="D90" s="55"/>
      <c r="F90" s="58"/>
      <c r="G90" s="59"/>
      <c r="H90" s="54"/>
      <c r="I90" s="55"/>
      <c r="K90" s="58"/>
      <c r="L90" s="59"/>
      <c r="M90" s="54"/>
      <c r="N90" s="55"/>
      <c r="P90" s="58"/>
      <c r="Q90" s="59"/>
      <c r="R90" s="54"/>
      <c r="S90" s="55"/>
    </row>
    <row r="91" spans="1:19" x14ac:dyDescent="0.25">
      <c r="A91" s="58"/>
      <c r="B91" s="59"/>
      <c r="C91" s="54"/>
      <c r="D91" s="55"/>
      <c r="F91" s="58"/>
      <c r="G91" s="59"/>
      <c r="H91" s="54"/>
      <c r="I91" s="55"/>
      <c r="K91" s="58"/>
      <c r="L91" s="59"/>
      <c r="M91" s="54"/>
      <c r="N91" s="55"/>
      <c r="P91" s="58"/>
      <c r="Q91" s="59"/>
      <c r="R91" s="54"/>
      <c r="S91" s="55"/>
    </row>
    <row r="92" spans="1:19" x14ac:dyDescent="0.25">
      <c r="A92" s="58"/>
      <c r="B92" s="59"/>
      <c r="C92" s="54"/>
      <c r="D92" s="55"/>
      <c r="F92" s="58"/>
      <c r="G92" s="59"/>
      <c r="H92" s="54"/>
      <c r="I92" s="55"/>
      <c r="K92" s="58"/>
      <c r="L92" s="59"/>
      <c r="M92" s="54"/>
      <c r="N92" s="55"/>
      <c r="P92" s="58"/>
      <c r="Q92" s="59"/>
      <c r="R92" s="54"/>
      <c r="S92" s="55"/>
    </row>
    <row r="93" spans="1:19" x14ac:dyDescent="0.25">
      <c r="A93" s="58"/>
      <c r="B93" s="59"/>
      <c r="C93" s="54"/>
      <c r="D93" s="55"/>
      <c r="F93" s="58"/>
      <c r="G93" s="59"/>
      <c r="H93" s="54"/>
      <c r="I93" s="55"/>
      <c r="K93" s="58"/>
      <c r="L93" s="59"/>
      <c r="M93" s="54"/>
      <c r="N93" s="55"/>
      <c r="P93" s="58"/>
      <c r="Q93" s="59"/>
      <c r="R93" s="54"/>
      <c r="S93" s="55"/>
    </row>
    <row r="94" spans="1:19" x14ac:dyDescent="0.25">
      <c r="A94" s="58"/>
      <c r="B94" s="59"/>
      <c r="C94" s="54"/>
      <c r="D94" s="55"/>
      <c r="F94" s="58"/>
      <c r="G94" s="59"/>
      <c r="H94" s="54"/>
      <c r="I94" s="55"/>
      <c r="K94" s="58"/>
      <c r="L94" s="59"/>
      <c r="M94" s="54"/>
      <c r="N94" s="55"/>
      <c r="P94" s="58"/>
      <c r="Q94" s="59"/>
      <c r="R94" s="54"/>
      <c r="S94" s="55"/>
    </row>
    <row r="95" spans="1:19" x14ac:dyDescent="0.25">
      <c r="A95" s="58"/>
      <c r="B95" s="59"/>
      <c r="C95" s="54"/>
      <c r="D95" s="55"/>
      <c r="F95" s="58"/>
      <c r="G95" s="59"/>
      <c r="H95" s="54"/>
      <c r="I95" s="55"/>
      <c r="K95" s="58"/>
      <c r="L95" s="59"/>
      <c r="M95" s="54"/>
      <c r="N95" s="55"/>
      <c r="P95" s="58"/>
      <c r="Q95" s="59"/>
      <c r="R95" s="54"/>
      <c r="S95" s="55"/>
    </row>
    <row r="96" spans="1:19" x14ac:dyDescent="0.25">
      <c r="A96" s="58"/>
      <c r="B96" s="59"/>
      <c r="C96" s="54"/>
      <c r="D96" s="55"/>
      <c r="F96" s="58"/>
      <c r="G96" s="59"/>
      <c r="H96" s="54"/>
      <c r="I96" s="55"/>
      <c r="K96" s="58"/>
      <c r="L96" s="59"/>
      <c r="M96" s="54"/>
      <c r="N96" s="55"/>
      <c r="P96" s="58"/>
      <c r="Q96" s="59"/>
      <c r="R96" s="54"/>
      <c r="S96" s="55"/>
    </row>
    <row r="97" spans="1:19" x14ac:dyDescent="0.25">
      <c r="A97" s="58"/>
      <c r="B97" s="59"/>
      <c r="C97" s="54"/>
      <c r="D97" s="55"/>
      <c r="F97" s="58"/>
      <c r="G97" s="59"/>
      <c r="H97" s="54"/>
      <c r="I97" s="55"/>
      <c r="K97" s="58"/>
      <c r="L97" s="59"/>
      <c r="M97" s="54"/>
      <c r="N97" s="55"/>
      <c r="P97" s="58"/>
      <c r="Q97" s="59"/>
      <c r="R97" s="54"/>
      <c r="S97" s="55"/>
    </row>
    <row r="98" spans="1:19" x14ac:dyDescent="0.25">
      <c r="A98" s="58"/>
      <c r="B98" s="59"/>
      <c r="C98" s="54"/>
      <c r="D98" s="55"/>
      <c r="F98" s="58"/>
      <c r="G98" s="59"/>
      <c r="H98" s="54"/>
      <c r="I98" s="55"/>
      <c r="K98" s="58"/>
      <c r="L98" s="59"/>
      <c r="M98" s="54"/>
      <c r="N98" s="55"/>
      <c r="P98" s="58"/>
      <c r="Q98" s="59"/>
      <c r="R98" s="54"/>
      <c r="S98" s="55"/>
    </row>
    <row r="99" spans="1:19" x14ac:dyDescent="0.25">
      <c r="A99" s="58"/>
      <c r="B99" s="59"/>
      <c r="C99" s="54"/>
      <c r="D99" s="55"/>
      <c r="F99" s="58"/>
      <c r="G99" s="59"/>
      <c r="H99" s="54"/>
      <c r="I99" s="55"/>
      <c r="K99" s="58"/>
      <c r="L99" s="59"/>
      <c r="M99" s="54"/>
      <c r="N99" s="55"/>
      <c r="P99" s="58"/>
      <c r="Q99" s="59"/>
      <c r="R99" s="54"/>
      <c r="S99" s="55"/>
    </row>
    <row r="100" spans="1:19" x14ac:dyDescent="0.25">
      <c r="A100" s="58"/>
      <c r="B100" s="59"/>
      <c r="C100" s="54"/>
      <c r="D100" s="55"/>
      <c r="F100" s="58"/>
      <c r="G100" s="59"/>
      <c r="H100" s="54"/>
      <c r="I100" s="55"/>
      <c r="K100" s="58"/>
      <c r="L100" s="59"/>
      <c r="M100" s="54"/>
      <c r="N100" s="55"/>
      <c r="P100" s="58"/>
      <c r="Q100" s="59"/>
      <c r="R100" s="54"/>
      <c r="S100" s="55"/>
    </row>
    <row r="101" spans="1:19" x14ac:dyDescent="0.25">
      <c r="A101" s="58"/>
      <c r="B101" s="59"/>
      <c r="C101" s="54"/>
      <c r="D101" s="55"/>
      <c r="F101" s="58"/>
      <c r="G101" s="59"/>
      <c r="H101" s="54"/>
      <c r="I101" s="55"/>
      <c r="K101" s="58"/>
      <c r="L101" s="59"/>
      <c r="M101" s="54"/>
      <c r="N101" s="55"/>
      <c r="P101" s="58"/>
      <c r="Q101" s="59"/>
      <c r="R101" s="54"/>
      <c r="S101" s="55"/>
    </row>
    <row r="102" spans="1:19" x14ac:dyDescent="0.25">
      <c r="A102" s="58"/>
      <c r="B102" s="59"/>
      <c r="C102" s="54"/>
      <c r="D102" s="55"/>
      <c r="F102" s="58"/>
      <c r="G102" s="59"/>
      <c r="H102" s="54"/>
      <c r="I102" s="55"/>
      <c r="K102" s="58"/>
      <c r="L102" s="59"/>
      <c r="M102" s="54"/>
      <c r="N102" s="55"/>
      <c r="P102" s="58"/>
      <c r="Q102" s="59"/>
      <c r="R102" s="54"/>
      <c r="S102" s="55"/>
    </row>
    <row r="103" spans="1:19" x14ac:dyDescent="0.25">
      <c r="A103" s="58"/>
      <c r="B103" s="59"/>
      <c r="C103" s="54"/>
      <c r="D103" s="55"/>
      <c r="F103" s="58"/>
      <c r="G103" s="59"/>
      <c r="H103" s="54"/>
      <c r="I103" s="55"/>
      <c r="K103" s="58"/>
      <c r="L103" s="59"/>
      <c r="M103" s="54"/>
      <c r="N103" s="55"/>
      <c r="P103" s="58"/>
      <c r="Q103" s="59"/>
      <c r="R103" s="54"/>
      <c r="S103" s="55"/>
    </row>
    <row r="104" spans="1:19" x14ac:dyDescent="0.25">
      <c r="A104" s="58"/>
      <c r="B104" s="59"/>
      <c r="C104" s="54"/>
      <c r="D104" s="55"/>
      <c r="F104" s="58"/>
      <c r="G104" s="59"/>
      <c r="H104" s="54"/>
      <c r="I104" s="55"/>
      <c r="K104" s="58"/>
      <c r="L104" s="59"/>
      <c r="M104" s="54"/>
      <c r="N104" s="55"/>
      <c r="P104" s="58"/>
      <c r="Q104" s="59"/>
      <c r="R104" s="54"/>
      <c r="S104" s="55"/>
    </row>
    <row r="105" spans="1:19" x14ac:dyDescent="0.25">
      <c r="A105" s="58"/>
      <c r="B105" s="59"/>
      <c r="C105" s="54"/>
      <c r="D105" s="55"/>
      <c r="F105" s="58"/>
      <c r="G105" s="59"/>
      <c r="H105" s="54"/>
      <c r="I105" s="55"/>
      <c r="K105" s="58"/>
      <c r="L105" s="59"/>
      <c r="M105" s="54"/>
      <c r="N105" s="55"/>
      <c r="P105" s="58"/>
      <c r="Q105" s="59"/>
      <c r="R105" s="54"/>
      <c r="S105" s="55"/>
    </row>
    <row r="106" spans="1:19" x14ac:dyDescent="0.25">
      <c r="A106" s="58"/>
      <c r="B106" s="59"/>
      <c r="C106" s="54"/>
      <c r="D106" s="55"/>
      <c r="F106" s="58"/>
      <c r="G106" s="59"/>
      <c r="H106" s="54"/>
      <c r="I106" s="55"/>
      <c r="K106" s="58"/>
      <c r="L106" s="59"/>
      <c r="M106" s="54"/>
      <c r="N106" s="55"/>
      <c r="P106" s="58"/>
      <c r="Q106" s="59"/>
      <c r="R106" s="54"/>
      <c r="S106" s="55"/>
    </row>
    <row r="107" spans="1:19" x14ac:dyDescent="0.25">
      <c r="A107" s="58"/>
      <c r="B107" s="59"/>
      <c r="C107" s="54"/>
      <c r="D107" s="55"/>
      <c r="F107" s="58"/>
      <c r="G107" s="59"/>
      <c r="H107" s="54"/>
      <c r="I107" s="55"/>
      <c r="K107" s="58"/>
      <c r="L107" s="59"/>
      <c r="M107" s="54"/>
      <c r="N107" s="55"/>
      <c r="P107" s="58"/>
      <c r="Q107" s="59"/>
      <c r="R107" s="54"/>
      <c r="S107" s="55"/>
    </row>
    <row r="108" spans="1:19" x14ac:dyDescent="0.25">
      <c r="A108" s="58"/>
      <c r="B108" s="59"/>
      <c r="C108" s="54"/>
      <c r="D108" s="55"/>
      <c r="F108" s="58"/>
      <c r="G108" s="59"/>
      <c r="H108" s="54"/>
      <c r="I108" s="55"/>
      <c r="K108" s="58"/>
      <c r="L108" s="59"/>
      <c r="M108" s="54"/>
      <c r="N108" s="55"/>
      <c r="P108" s="58"/>
      <c r="Q108" s="59"/>
      <c r="R108" s="54"/>
      <c r="S108" s="55"/>
    </row>
    <row r="109" spans="1:19" x14ac:dyDescent="0.25">
      <c r="A109" s="58"/>
      <c r="B109" s="59"/>
      <c r="C109" s="54"/>
      <c r="D109" s="55"/>
      <c r="F109" s="58"/>
      <c r="G109" s="59"/>
      <c r="H109" s="54"/>
      <c r="I109" s="55"/>
      <c r="K109" s="58"/>
      <c r="L109" s="59"/>
      <c r="M109" s="54"/>
      <c r="N109" s="55"/>
      <c r="P109" s="58"/>
      <c r="Q109" s="59"/>
      <c r="R109" s="54"/>
      <c r="S109" s="55"/>
    </row>
    <row r="110" spans="1:19" x14ac:dyDescent="0.25">
      <c r="A110" s="58"/>
      <c r="B110" s="59"/>
      <c r="C110" s="54"/>
      <c r="D110" s="55"/>
      <c r="F110" s="58"/>
      <c r="G110" s="59"/>
      <c r="H110" s="54"/>
      <c r="I110" s="55"/>
      <c r="K110" s="58"/>
      <c r="L110" s="59"/>
      <c r="M110" s="54"/>
      <c r="N110" s="55"/>
      <c r="P110" s="58"/>
      <c r="Q110" s="59"/>
      <c r="R110" s="54"/>
      <c r="S110" s="55"/>
    </row>
    <row r="111" spans="1:19" x14ac:dyDescent="0.25">
      <c r="A111" s="58"/>
      <c r="B111" s="59"/>
      <c r="C111" s="54"/>
      <c r="D111" s="55"/>
      <c r="F111" s="58"/>
      <c r="G111" s="59"/>
      <c r="H111" s="54"/>
      <c r="I111" s="55"/>
      <c r="K111" s="58"/>
      <c r="L111" s="59"/>
      <c r="M111" s="54"/>
      <c r="N111" s="55"/>
      <c r="P111" s="58"/>
      <c r="Q111" s="59"/>
      <c r="R111" s="54"/>
      <c r="S111" s="55"/>
    </row>
    <row r="112" spans="1:19" x14ac:dyDescent="0.25">
      <c r="A112" s="58"/>
      <c r="B112" s="59"/>
      <c r="C112" s="54"/>
      <c r="D112" s="55"/>
      <c r="F112" s="58"/>
      <c r="G112" s="59"/>
      <c r="H112" s="54"/>
      <c r="I112" s="55"/>
      <c r="K112" s="58"/>
      <c r="L112" s="59"/>
      <c r="M112" s="54"/>
      <c r="N112" s="55"/>
      <c r="P112" s="58"/>
      <c r="Q112" s="59"/>
      <c r="R112" s="54"/>
      <c r="S112" s="55"/>
    </row>
    <row r="113" spans="1:19" x14ac:dyDescent="0.25">
      <c r="A113" s="58"/>
      <c r="B113" s="59"/>
      <c r="C113" s="54"/>
      <c r="D113" s="55"/>
      <c r="F113" s="58"/>
      <c r="G113" s="59"/>
      <c r="H113" s="54"/>
      <c r="I113" s="55"/>
      <c r="K113" s="58"/>
      <c r="L113" s="59"/>
      <c r="M113" s="54"/>
      <c r="N113" s="55"/>
      <c r="P113" s="58"/>
      <c r="Q113" s="59"/>
      <c r="R113" s="54"/>
      <c r="S113" s="55"/>
    </row>
    <row r="114" spans="1:19" x14ac:dyDescent="0.25">
      <c r="A114" s="58"/>
      <c r="B114" s="59"/>
      <c r="C114" s="54"/>
      <c r="D114" s="55"/>
      <c r="F114" s="58"/>
      <c r="G114" s="59"/>
      <c r="H114" s="54"/>
      <c r="I114" s="55"/>
      <c r="K114" s="58"/>
      <c r="L114" s="59"/>
      <c r="M114" s="54"/>
      <c r="N114" s="55"/>
      <c r="P114" s="58"/>
      <c r="Q114" s="59"/>
      <c r="R114" s="54"/>
      <c r="S114" s="55"/>
    </row>
    <row r="115" spans="1:19" x14ac:dyDescent="0.25">
      <c r="A115" s="58"/>
      <c r="B115" s="59"/>
      <c r="C115" s="54"/>
      <c r="D115" s="55"/>
      <c r="F115" s="58"/>
      <c r="G115" s="59"/>
      <c r="H115" s="54"/>
      <c r="I115" s="55"/>
      <c r="K115" s="58"/>
      <c r="L115" s="59"/>
      <c r="M115" s="54"/>
      <c r="N115" s="55"/>
      <c r="P115" s="58"/>
      <c r="Q115" s="59"/>
      <c r="R115" s="54"/>
      <c r="S115" s="55"/>
    </row>
    <row r="116" spans="1:19" x14ac:dyDescent="0.25">
      <c r="A116" s="58"/>
      <c r="B116" s="59"/>
      <c r="C116" s="54"/>
      <c r="D116" s="55"/>
      <c r="F116" s="58"/>
      <c r="G116" s="59"/>
      <c r="H116" s="54"/>
      <c r="I116" s="55"/>
      <c r="K116" s="58"/>
      <c r="L116" s="59"/>
      <c r="M116" s="54"/>
      <c r="N116" s="55"/>
      <c r="P116" s="58"/>
      <c r="Q116" s="59"/>
      <c r="R116" s="54"/>
      <c r="S116" s="55"/>
    </row>
    <row r="117" spans="1:19" x14ac:dyDescent="0.25">
      <c r="A117" s="58"/>
      <c r="B117" s="59"/>
      <c r="C117" s="54"/>
      <c r="D117" s="55"/>
      <c r="F117" s="58"/>
      <c r="G117" s="59"/>
      <c r="H117" s="54"/>
      <c r="I117" s="55"/>
      <c r="K117" s="58"/>
      <c r="L117" s="59"/>
      <c r="M117" s="54"/>
      <c r="N117" s="55"/>
      <c r="P117" s="58"/>
      <c r="Q117" s="59"/>
      <c r="R117" s="54"/>
      <c r="S117" s="55"/>
    </row>
    <row r="118" spans="1:19" ht="15.75" thickBot="1" x14ac:dyDescent="0.3">
      <c r="A118" s="60"/>
      <c r="B118" s="61"/>
      <c r="C118" s="56"/>
      <c r="D118" s="57"/>
      <c r="F118" s="60"/>
      <c r="G118" s="61"/>
      <c r="H118" s="56"/>
      <c r="I118" s="57"/>
      <c r="K118" s="58"/>
      <c r="L118" s="59"/>
      <c r="M118" s="54"/>
      <c r="N118" s="55"/>
      <c r="P118" s="58"/>
      <c r="Q118" s="59"/>
      <c r="R118" s="54"/>
      <c r="S118" s="55"/>
    </row>
    <row r="119" spans="1:19" x14ac:dyDescent="0.25">
      <c r="K119" s="58"/>
      <c r="L119" s="59"/>
      <c r="M119" s="54"/>
      <c r="N119" s="55"/>
      <c r="P119" s="58"/>
      <c r="Q119" s="59"/>
      <c r="R119" s="54"/>
      <c r="S119" s="55"/>
    </row>
    <row r="120" spans="1:19" x14ac:dyDescent="0.25">
      <c r="K120" s="58"/>
      <c r="L120" s="59"/>
      <c r="M120" s="54"/>
      <c r="N120" s="55"/>
      <c r="P120" s="58"/>
      <c r="Q120" s="59"/>
      <c r="R120" s="54"/>
      <c r="S120" s="55"/>
    </row>
    <row r="121" spans="1:19" x14ac:dyDescent="0.25">
      <c r="K121" s="58"/>
      <c r="L121" s="59"/>
      <c r="M121" s="54"/>
      <c r="N121" s="55"/>
      <c r="P121" s="58"/>
      <c r="Q121" s="59"/>
      <c r="R121" s="54"/>
      <c r="S121" s="55"/>
    </row>
    <row r="122" spans="1:19" x14ac:dyDescent="0.25">
      <c r="K122" s="58"/>
      <c r="L122" s="59"/>
      <c r="M122" s="54"/>
      <c r="N122" s="55"/>
      <c r="P122" s="58"/>
      <c r="Q122" s="59"/>
      <c r="R122" s="54"/>
      <c r="S122" s="55"/>
    </row>
    <row r="123" spans="1:19" x14ac:dyDescent="0.25">
      <c r="K123" s="58"/>
      <c r="L123" s="59"/>
      <c r="M123" s="54"/>
      <c r="N123" s="55"/>
      <c r="P123" s="58"/>
      <c r="Q123" s="59"/>
      <c r="R123" s="54"/>
      <c r="S123" s="55"/>
    </row>
    <row r="124" spans="1:19" x14ac:dyDescent="0.25">
      <c r="K124" s="58"/>
      <c r="L124" s="59"/>
      <c r="M124" s="54"/>
      <c r="N124" s="55"/>
      <c r="P124" s="58"/>
      <c r="Q124" s="59"/>
      <c r="R124" s="54"/>
      <c r="S124" s="55"/>
    </row>
    <row r="125" spans="1:19" x14ac:dyDescent="0.25">
      <c r="K125" s="58"/>
      <c r="L125" s="59"/>
      <c r="M125" s="54"/>
      <c r="N125" s="55"/>
      <c r="P125" s="58"/>
      <c r="Q125" s="59"/>
      <c r="R125" s="54"/>
      <c r="S125" s="55"/>
    </row>
    <row r="126" spans="1:19" x14ac:dyDescent="0.25">
      <c r="K126" s="58"/>
      <c r="L126" s="59"/>
      <c r="M126" s="54"/>
      <c r="N126" s="55"/>
      <c r="P126" s="58"/>
      <c r="Q126" s="59"/>
      <c r="R126" s="54"/>
      <c r="S126" s="55"/>
    </row>
    <row r="127" spans="1:19" x14ac:dyDescent="0.25">
      <c r="K127" s="58"/>
      <c r="L127" s="59"/>
      <c r="M127" s="54"/>
      <c r="N127" s="55"/>
      <c r="P127" s="58"/>
      <c r="Q127" s="59"/>
      <c r="R127" s="54"/>
      <c r="S127" s="55"/>
    </row>
    <row r="128" spans="1:19" x14ac:dyDescent="0.25">
      <c r="K128" s="58"/>
      <c r="L128" s="59"/>
      <c r="M128" s="54"/>
      <c r="N128" s="55"/>
      <c r="P128" s="58"/>
      <c r="Q128" s="59"/>
      <c r="R128" s="54"/>
      <c r="S128" s="55"/>
    </row>
    <row r="129" spans="11:19" x14ac:dyDescent="0.25">
      <c r="K129" s="58"/>
      <c r="L129" s="59"/>
      <c r="M129" s="54"/>
      <c r="N129" s="55"/>
      <c r="P129" s="58"/>
      <c r="Q129" s="59"/>
      <c r="R129" s="54"/>
      <c r="S129" s="55"/>
    </row>
    <row r="130" spans="11:19" x14ac:dyDescent="0.25">
      <c r="K130" s="58"/>
      <c r="L130" s="59"/>
      <c r="M130" s="54"/>
      <c r="N130" s="55"/>
      <c r="P130" s="58"/>
      <c r="Q130" s="59"/>
      <c r="R130" s="54"/>
      <c r="S130" s="55"/>
    </row>
    <row r="131" spans="11:19" x14ac:dyDescent="0.25">
      <c r="K131" s="58"/>
      <c r="L131" s="59"/>
      <c r="M131" s="54"/>
      <c r="N131" s="55"/>
      <c r="P131" s="58"/>
      <c r="Q131" s="59"/>
      <c r="R131" s="54"/>
      <c r="S131" s="55"/>
    </row>
    <row r="132" spans="11:19" x14ac:dyDescent="0.25">
      <c r="K132" s="58"/>
      <c r="L132" s="59"/>
      <c r="M132" s="54"/>
      <c r="N132" s="55"/>
      <c r="P132" s="58"/>
      <c r="Q132" s="59"/>
      <c r="R132" s="54"/>
      <c r="S132" s="55"/>
    </row>
    <row r="133" spans="11:19" x14ac:dyDescent="0.25">
      <c r="K133" s="58"/>
      <c r="L133" s="59"/>
      <c r="M133" s="54"/>
      <c r="N133" s="55"/>
      <c r="P133" s="58"/>
      <c r="Q133" s="59"/>
      <c r="R133" s="54"/>
      <c r="S133" s="55"/>
    </row>
    <row r="134" spans="11:19" x14ac:dyDescent="0.25">
      <c r="K134" s="58"/>
      <c r="L134" s="59"/>
      <c r="M134" s="54"/>
      <c r="N134" s="55"/>
      <c r="P134" s="58"/>
      <c r="Q134" s="59"/>
      <c r="R134" s="54"/>
      <c r="S134" s="55"/>
    </row>
    <row r="135" spans="11:19" x14ac:dyDescent="0.25">
      <c r="K135" s="58"/>
      <c r="L135" s="59"/>
      <c r="M135" s="54"/>
      <c r="N135" s="55"/>
      <c r="P135" s="58"/>
      <c r="Q135" s="59"/>
      <c r="R135" s="54"/>
      <c r="S135" s="55"/>
    </row>
    <row r="136" spans="11:19" x14ac:dyDescent="0.25">
      <c r="K136" s="58"/>
      <c r="L136" s="59"/>
      <c r="M136" s="54"/>
      <c r="N136" s="55"/>
      <c r="P136" s="58"/>
      <c r="Q136" s="59"/>
      <c r="R136" s="54"/>
      <c r="S136" s="55"/>
    </row>
    <row r="137" spans="11:19" x14ac:dyDescent="0.25">
      <c r="K137" s="58"/>
      <c r="L137" s="59"/>
      <c r="M137" s="54"/>
      <c r="N137" s="55"/>
      <c r="P137" s="58"/>
      <c r="Q137" s="59"/>
      <c r="R137" s="54"/>
      <c r="S137" s="55"/>
    </row>
    <row r="138" spans="11:19" x14ac:dyDescent="0.25">
      <c r="K138" s="58"/>
      <c r="L138" s="59"/>
      <c r="M138" s="54"/>
      <c r="N138" s="55"/>
      <c r="P138" s="58"/>
      <c r="Q138" s="59"/>
      <c r="R138" s="54"/>
      <c r="S138" s="55"/>
    </row>
    <row r="139" spans="11:19" x14ac:dyDescent="0.25">
      <c r="K139" s="58"/>
      <c r="L139" s="59"/>
      <c r="M139" s="54"/>
      <c r="N139" s="55"/>
      <c r="P139" s="58"/>
      <c r="Q139" s="59"/>
      <c r="R139" s="54"/>
      <c r="S139" s="55"/>
    </row>
    <row r="140" spans="11:19" x14ac:dyDescent="0.25">
      <c r="K140" s="58"/>
      <c r="L140" s="59"/>
      <c r="M140" s="54"/>
      <c r="N140" s="55"/>
      <c r="P140" s="58"/>
      <c r="Q140" s="59"/>
      <c r="R140" s="54"/>
      <c r="S140" s="55"/>
    </row>
    <row r="141" spans="11:19" x14ac:dyDescent="0.25">
      <c r="K141" s="58"/>
      <c r="L141" s="59"/>
      <c r="M141" s="54"/>
      <c r="N141" s="55"/>
      <c r="P141" s="58"/>
      <c r="Q141" s="59"/>
      <c r="R141" s="54"/>
      <c r="S141" s="55"/>
    </row>
    <row r="142" spans="11:19" x14ac:dyDescent="0.25">
      <c r="K142" s="58"/>
      <c r="L142" s="59"/>
      <c r="M142" s="54"/>
      <c r="N142" s="55"/>
      <c r="P142" s="58"/>
      <c r="Q142" s="59"/>
      <c r="R142" s="54"/>
      <c r="S142" s="55"/>
    </row>
    <row r="143" spans="11:19" x14ac:dyDescent="0.25">
      <c r="K143" s="58"/>
      <c r="L143" s="59"/>
      <c r="M143" s="54"/>
      <c r="N143" s="55"/>
      <c r="P143" s="58"/>
      <c r="Q143" s="59"/>
      <c r="R143" s="54"/>
      <c r="S143" s="55"/>
    </row>
    <row r="144" spans="11:19" x14ac:dyDescent="0.25">
      <c r="K144" s="58"/>
      <c r="L144" s="59"/>
      <c r="M144" s="54"/>
      <c r="N144" s="55"/>
      <c r="P144" s="58"/>
      <c r="Q144" s="59"/>
      <c r="R144" s="54"/>
      <c r="S144" s="55"/>
    </row>
    <row r="145" spans="11:19" x14ac:dyDescent="0.25">
      <c r="K145" s="58"/>
      <c r="L145" s="59"/>
      <c r="M145" s="54"/>
      <c r="N145" s="55"/>
      <c r="P145" s="58"/>
      <c r="Q145" s="59"/>
      <c r="R145" s="54"/>
      <c r="S145" s="55"/>
    </row>
    <row r="146" spans="11:19" x14ac:dyDescent="0.25">
      <c r="K146" s="58"/>
      <c r="L146" s="59"/>
      <c r="M146" s="54"/>
      <c r="N146" s="55"/>
      <c r="P146" s="58"/>
      <c r="Q146" s="59"/>
      <c r="R146" s="54"/>
      <c r="S146" s="55"/>
    </row>
    <row r="147" spans="11:19" x14ac:dyDescent="0.25">
      <c r="K147" s="58"/>
      <c r="L147" s="59"/>
      <c r="M147" s="54"/>
      <c r="N147" s="55"/>
      <c r="P147" s="58"/>
      <c r="Q147" s="59"/>
      <c r="R147" s="54"/>
      <c r="S147" s="55"/>
    </row>
    <row r="148" spans="11:19" x14ac:dyDescent="0.25">
      <c r="K148" s="58"/>
      <c r="L148" s="59"/>
      <c r="M148" s="54"/>
      <c r="N148" s="55"/>
      <c r="P148" s="58"/>
      <c r="Q148" s="59"/>
      <c r="R148" s="54"/>
      <c r="S148" s="55"/>
    </row>
    <row r="149" spans="11:19" x14ac:dyDescent="0.25">
      <c r="K149" s="58"/>
      <c r="L149" s="59"/>
      <c r="M149" s="54"/>
      <c r="N149" s="55"/>
      <c r="P149" s="58"/>
      <c r="Q149" s="59"/>
      <c r="R149" s="54"/>
      <c r="S149" s="55"/>
    </row>
    <row r="150" spans="11:19" x14ac:dyDescent="0.25">
      <c r="K150" s="58"/>
      <c r="L150" s="59"/>
      <c r="M150" s="54"/>
      <c r="N150" s="55"/>
      <c r="P150" s="58"/>
      <c r="Q150" s="59"/>
      <c r="R150" s="54"/>
      <c r="S150" s="55"/>
    </row>
    <row r="151" spans="11:19" x14ac:dyDescent="0.25">
      <c r="K151" s="58"/>
      <c r="L151" s="59"/>
      <c r="M151" s="54"/>
      <c r="N151" s="55"/>
      <c r="P151" s="58"/>
      <c r="Q151" s="59"/>
      <c r="R151" s="54"/>
      <c r="S151" s="55"/>
    </row>
    <row r="152" spans="11:19" x14ac:dyDescent="0.25">
      <c r="K152" s="58"/>
      <c r="L152" s="59"/>
      <c r="M152" s="54"/>
      <c r="N152" s="55"/>
      <c r="P152" s="58"/>
      <c r="Q152" s="59"/>
      <c r="R152" s="54"/>
      <c r="S152" s="55"/>
    </row>
    <row r="153" spans="11:19" x14ac:dyDescent="0.25">
      <c r="K153" s="58"/>
      <c r="L153" s="59"/>
      <c r="M153" s="54"/>
      <c r="N153" s="55"/>
      <c r="P153" s="58"/>
      <c r="Q153" s="59"/>
      <c r="R153" s="54"/>
      <c r="S153" s="55"/>
    </row>
    <row r="154" spans="11:19" x14ac:dyDescent="0.25">
      <c r="K154" s="58"/>
      <c r="L154" s="59"/>
      <c r="M154" s="54"/>
      <c r="N154" s="55"/>
      <c r="P154" s="58"/>
      <c r="Q154" s="59"/>
      <c r="R154" s="54"/>
      <c r="S154" s="55"/>
    </row>
    <row r="155" spans="11:19" x14ac:dyDescent="0.25">
      <c r="K155" s="58"/>
      <c r="L155" s="59"/>
      <c r="M155" s="54"/>
      <c r="N155" s="55"/>
      <c r="P155" s="58"/>
      <c r="Q155" s="59"/>
      <c r="R155" s="54"/>
      <c r="S155" s="55"/>
    </row>
    <row r="156" spans="11:19" x14ac:dyDescent="0.25">
      <c r="K156" s="58"/>
      <c r="L156" s="59"/>
      <c r="M156" s="54"/>
      <c r="N156" s="55"/>
      <c r="P156" s="58"/>
      <c r="Q156" s="59"/>
      <c r="R156" s="54"/>
      <c r="S156" s="55"/>
    </row>
    <row r="157" spans="11:19" x14ac:dyDescent="0.25">
      <c r="K157" s="58"/>
      <c r="L157" s="59"/>
      <c r="M157" s="54"/>
      <c r="N157" s="55"/>
      <c r="P157" s="58"/>
      <c r="Q157" s="59"/>
      <c r="R157" s="54"/>
      <c r="S157" s="55"/>
    </row>
    <row r="158" spans="11:19" x14ac:dyDescent="0.25">
      <c r="K158" s="58"/>
      <c r="L158" s="59"/>
      <c r="M158" s="54"/>
      <c r="N158" s="55"/>
      <c r="P158" s="58"/>
      <c r="Q158" s="59"/>
      <c r="R158" s="54"/>
      <c r="S158" s="55"/>
    </row>
    <row r="159" spans="11:19" x14ac:dyDescent="0.25">
      <c r="K159" s="58"/>
      <c r="L159" s="59"/>
      <c r="M159" s="54"/>
      <c r="N159" s="55"/>
      <c r="P159" s="58"/>
      <c r="Q159" s="59"/>
      <c r="R159" s="54"/>
      <c r="S159" s="55"/>
    </row>
    <row r="160" spans="11:19" x14ac:dyDescent="0.25">
      <c r="K160" s="58"/>
      <c r="L160" s="59"/>
      <c r="M160" s="54"/>
      <c r="N160" s="55"/>
      <c r="P160" s="58"/>
      <c r="Q160" s="59"/>
      <c r="R160" s="54"/>
      <c r="S160" s="55"/>
    </row>
    <row r="161" spans="11:19" x14ac:dyDescent="0.25">
      <c r="K161" s="58"/>
      <c r="L161" s="59"/>
      <c r="M161" s="54"/>
      <c r="N161" s="55"/>
      <c r="P161" s="58"/>
      <c r="Q161" s="59"/>
      <c r="R161" s="54"/>
      <c r="S161" s="55"/>
    </row>
    <row r="162" spans="11:19" x14ac:dyDescent="0.25">
      <c r="K162" s="58"/>
      <c r="L162" s="59"/>
      <c r="M162" s="54"/>
      <c r="N162" s="55"/>
      <c r="P162" s="58"/>
      <c r="Q162" s="59"/>
      <c r="R162" s="54"/>
      <c r="S162" s="55"/>
    </row>
    <row r="163" spans="11:19" x14ac:dyDescent="0.25">
      <c r="K163" s="58"/>
      <c r="L163" s="59"/>
      <c r="M163" s="54"/>
      <c r="N163" s="55"/>
      <c r="P163" s="58"/>
      <c r="Q163" s="59"/>
      <c r="R163" s="54"/>
      <c r="S163" s="55"/>
    </row>
    <row r="164" spans="11:19" x14ac:dyDescent="0.25">
      <c r="K164" s="58"/>
      <c r="L164" s="59"/>
      <c r="M164" s="54"/>
      <c r="N164" s="55"/>
      <c r="P164" s="58"/>
      <c r="Q164" s="59"/>
      <c r="R164" s="54"/>
      <c r="S164" s="55"/>
    </row>
    <row r="165" spans="11:19" x14ac:dyDescent="0.25">
      <c r="K165" s="58"/>
      <c r="L165" s="59"/>
      <c r="M165" s="54"/>
      <c r="N165" s="55"/>
      <c r="P165" s="58"/>
      <c r="Q165" s="59"/>
      <c r="R165" s="54"/>
      <c r="S165" s="55"/>
    </row>
    <row r="166" spans="11:19" x14ac:dyDescent="0.25">
      <c r="K166" s="58"/>
      <c r="L166" s="59"/>
      <c r="M166" s="54"/>
      <c r="N166" s="55"/>
      <c r="P166" s="58"/>
      <c r="Q166" s="59"/>
      <c r="R166" s="54"/>
      <c r="S166" s="55"/>
    </row>
    <row r="167" spans="11:19" x14ac:dyDescent="0.25">
      <c r="K167" s="58"/>
      <c r="L167" s="59"/>
      <c r="M167" s="54"/>
      <c r="N167" s="55"/>
      <c r="P167" s="58"/>
      <c r="Q167" s="59"/>
      <c r="R167" s="54"/>
      <c r="S167" s="55"/>
    </row>
    <row r="168" spans="11:19" x14ac:dyDescent="0.25">
      <c r="K168" s="58"/>
      <c r="L168" s="59"/>
      <c r="M168" s="54"/>
      <c r="N168" s="55"/>
      <c r="P168" s="58"/>
      <c r="Q168" s="59"/>
      <c r="R168" s="54"/>
      <c r="S168" s="55"/>
    </row>
    <row r="169" spans="11:19" x14ac:dyDescent="0.25">
      <c r="K169" s="58"/>
      <c r="L169" s="59"/>
      <c r="M169" s="54"/>
      <c r="N169" s="55"/>
      <c r="P169" s="58"/>
      <c r="Q169" s="59"/>
      <c r="R169" s="54"/>
      <c r="S169" s="55"/>
    </row>
    <row r="170" spans="11:19" x14ac:dyDescent="0.25">
      <c r="K170" s="58"/>
      <c r="L170" s="59"/>
      <c r="M170" s="54"/>
      <c r="N170" s="55"/>
      <c r="P170" s="58"/>
      <c r="Q170" s="59"/>
      <c r="R170" s="54"/>
      <c r="S170" s="55"/>
    </row>
    <row r="171" spans="11:19" x14ac:dyDescent="0.25">
      <c r="K171" s="58"/>
      <c r="L171" s="59"/>
      <c r="M171" s="54"/>
      <c r="N171" s="55"/>
      <c r="P171" s="58"/>
      <c r="Q171" s="59"/>
      <c r="R171" s="54"/>
      <c r="S171" s="55"/>
    </row>
    <row r="172" spans="11:19" x14ac:dyDescent="0.25">
      <c r="K172" s="58"/>
      <c r="L172" s="59"/>
      <c r="M172" s="54"/>
      <c r="N172" s="55"/>
      <c r="P172" s="58"/>
      <c r="Q172" s="59"/>
      <c r="R172" s="54"/>
      <c r="S172" s="55"/>
    </row>
    <row r="173" spans="11:19" x14ac:dyDescent="0.25">
      <c r="K173" s="58"/>
      <c r="L173" s="59"/>
      <c r="M173" s="54"/>
      <c r="N173" s="55"/>
      <c r="P173" s="58"/>
      <c r="Q173" s="59"/>
      <c r="R173" s="54"/>
      <c r="S173" s="55"/>
    </row>
    <row r="174" spans="11:19" x14ac:dyDescent="0.25">
      <c r="K174" s="58"/>
      <c r="L174" s="59"/>
      <c r="M174" s="54"/>
      <c r="N174" s="55"/>
      <c r="P174" s="58"/>
      <c r="Q174" s="59"/>
      <c r="R174" s="54"/>
      <c r="S174" s="55"/>
    </row>
    <row r="175" spans="11:19" x14ac:dyDescent="0.25">
      <c r="K175" s="58"/>
      <c r="L175" s="59"/>
      <c r="M175" s="54"/>
      <c r="N175" s="55"/>
      <c r="P175" s="58"/>
      <c r="Q175" s="59"/>
      <c r="R175" s="54"/>
      <c r="S175" s="55"/>
    </row>
    <row r="176" spans="11:19" x14ac:dyDescent="0.25">
      <c r="K176" s="58"/>
      <c r="L176" s="59"/>
      <c r="M176" s="54"/>
      <c r="N176" s="55"/>
      <c r="P176" s="58"/>
      <c r="Q176" s="59"/>
      <c r="R176" s="54"/>
      <c r="S176" s="55"/>
    </row>
    <row r="177" spans="11:19" x14ac:dyDescent="0.25">
      <c r="K177" s="58"/>
      <c r="L177" s="59"/>
      <c r="M177" s="54"/>
      <c r="N177" s="55"/>
      <c r="P177" s="58"/>
      <c r="Q177" s="59"/>
      <c r="R177" s="54"/>
      <c r="S177" s="55"/>
    </row>
    <row r="178" spans="11:19" x14ac:dyDescent="0.25">
      <c r="K178" s="58"/>
      <c r="L178" s="59"/>
      <c r="M178" s="54"/>
      <c r="N178" s="55"/>
      <c r="P178" s="58"/>
      <c r="Q178" s="59"/>
      <c r="R178" s="54"/>
      <c r="S178" s="55"/>
    </row>
    <row r="179" spans="11:19" x14ac:dyDescent="0.25">
      <c r="K179" s="58"/>
      <c r="L179" s="59"/>
      <c r="M179" s="54"/>
      <c r="N179" s="55"/>
      <c r="P179" s="58"/>
      <c r="Q179" s="59"/>
      <c r="R179" s="54"/>
      <c r="S179" s="55"/>
    </row>
    <row r="180" spans="11:19" x14ac:dyDescent="0.25">
      <c r="K180" s="58"/>
      <c r="L180" s="59"/>
      <c r="M180" s="54"/>
      <c r="N180" s="55"/>
      <c r="P180" s="58"/>
      <c r="Q180" s="59"/>
      <c r="R180" s="54"/>
      <c r="S180" s="55"/>
    </row>
    <row r="181" spans="11:19" x14ac:dyDescent="0.25">
      <c r="K181" s="58"/>
      <c r="L181" s="59"/>
      <c r="M181" s="54"/>
      <c r="N181" s="55"/>
      <c r="P181" s="58"/>
      <c r="Q181" s="59"/>
      <c r="R181" s="54"/>
      <c r="S181" s="55"/>
    </row>
    <row r="182" spans="11:19" x14ac:dyDescent="0.25">
      <c r="K182" s="58"/>
      <c r="L182" s="59"/>
      <c r="M182" s="54"/>
      <c r="N182" s="55"/>
      <c r="P182" s="58"/>
      <c r="Q182" s="59"/>
      <c r="R182" s="54"/>
      <c r="S182" s="55"/>
    </row>
    <row r="183" spans="11:19" x14ac:dyDescent="0.25">
      <c r="K183" s="58"/>
      <c r="L183" s="59"/>
      <c r="M183" s="54"/>
      <c r="N183" s="55"/>
      <c r="P183" s="58"/>
      <c r="Q183" s="59"/>
      <c r="R183" s="54"/>
      <c r="S183" s="55"/>
    </row>
    <row r="184" spans="11:19" x14ac:dyDescent="0.25">
      <c r="K184" s="58"/>
      <c r="L184" s="59"/>
      <c r="M184" s="54"/>
      <c r="N184" s="55"/>
      <c r="P184" s="58"/>
      <c r="Q184" s="59"/>
      <c r="R184" s="54"/>
      <c r="S184" s="55"/>
    </row>
    <row r="185" spans="11:19" x14ac:dyDescent="0.25">
      <c r="K185" s="58"/>
      <c r="L185" s="59"/>
      <c r="M185" s="54"/>
      <c r="N185" s="55"/>
      <c r="P185" s="58"/>
      <c r="Q185" s="59"/>
      <c r="R185" s="54"/>
      <c r="S185" s="55"/>
    </row>
    <row r="186" spans="11:19" x14ac:dyDescent="0.25">
      <c r="K186" s="58"/>
      <c r="L186" s="59"/>
      <c r="M186" s="54"/>
      <c r="N186" s="55"/>
      <c r="P186" s="58"/>
      <c r="Q186" s="59"/>
      <c r="R186" s="54"/>
      <c r="S186" s="55"/>
    </row>
    <row r="187" spans="11:19" x14ac:dyDescent="0.25">
      <c r="K187" s="58"/>
      <c r="L187" s="59"/>
      <c r="M187" s="54"/>
      <c r="N187" s="55"/>
      <c r="P187" s="58"/>
      <c r="Q187" s="59"/>
      <c r="R187" s="54"/>
      <c r="S187" s="55"/>
    </row>
    <row r="188" spans="11:19" x14ac:dyDescent="0.25">
      <c r="K188" s="58"/>
      <c r="L188" s="59"/>
      <c r="M188" s="54"/>
      <c r="N188" s="55"/>
      <c r="P188" s="58"/>
      <c r="Q188" s="59"/>
      <c r="R188" s="54"/>
      <c r="S188" s="55"/>
    </row>
    <row r="189" spans="11:19" x14ac:dyDescent="0.25">
      <c r="K189" s="58"/>
      <c r="L189" s="59"/>
      <c r="M189" s="54"/>
      <c r="N189" s="55"/>
      <c r="P189" s="58"/>
      <c r="Q189" s="59"/>
      <c r="R189" s="54"/>
      <c r="S189" s="55"/>
    </row>
    <row r="190" spans="11:19" x14ac:dyDescent="0.25">
      <c r="K190" s="58"/>
      <c r="L190" s="59"/>
      <c r="M190" s="54"/>
      <c r="N190" s="55"/>
      <c r="P190" s="58"/>
      <c r="Q190" s="59"/>
      <c r="R190" s="54"/>
      <c r="S190" s="55"/>
    </row>
    <row r="191" spans="11:19" x14ac:dyDescent="0.25">
      <c r="K191" s="58"/>
      <c r="L191" s="59"/>
      <c r="M191" s="54"/>
      <c r="N191" s="55"/>
      <c r="P191" s="58"/>
      <c r="Q191" s="59"/>
      <c r="R191" s="54"/>
      <c r="S191" s="55"/>
    </row>
    <row r="192" spans="11:19" x14ac:dyDescent="0.25">
      <c r="K192" s="58"/>
      <c r="L192" s="59"/>
      <c r="M192" s="54"/>
      <c r="N192" s="55"/>
      <c r="P192" s="58"/>
      <c r="Q192" s="59"/>
      <c r="R192" s="54"/>
      <c r="S192" s="55"/>
    </row>
    <row r="193" spans="11:19" x14ac:dyDescent="0.25">
      <c r="K193" s="58"/>
      <c r="L193" s="59"/>
      <c r="M193" s="54"/>
      <c r="N193" s="55"/>
      <c r="P193" s="58"/>
      <c r="Q193" s="59"/>
      <c r="R193" s="54"/>
      <c r="S193" s="55"/>
    </row>
    <row r="194" spans="11:19" x14ac:dyDescent="0.25">
      <c r="K194" s="58"/>
      <c r="L194" s="59"/>
      <c r="M194" s="54"/>
      <c r="N194" s="55"/>
      <c r="P194" s="58"/>
      <c r="Q194" s="59"/>
      <c r="R194" s="54"/>
      <c r="S194" s="55"/>
    </row>
    <row r="195" spans="11:19" x14ac:dyDescent="0.25">
      <c r="K195" s="58"/>
      <c r="L195" s="59"/>
      <c r="M195" s="54"/>
      <c r="N195" s="55"/>
      <c r="P195" s="58"/>
      <c r="Q195" s="59"/>
      <c r="R195" s="54"/>
      <c r="S195" s="55"/>
    </row>
    <row r="196" spans="11:19" x14ac:dyDescent="0.25">
      <c r="K196" s="58"/>
      <c r="L196" s="59"/>
      <c r="M196" s="54"/>
      <c r="N196" s="55"/>
      <c r="P196" s="58"/>
      <c r="Q196" s="59"/>
      <c r="R196" s="54"/>
      <c r="S196" s="55"/>
    </row>
    <row r="197" spans="11:19" x14ac:dyDescent="0.25">
      <c r="K197" s="58"/>
      <c r="L197" s="59"/>
      <c r="M197" s="54"/>
      <c r="N197" s="55"/>
      <c r="P197" s="58"/>
      <c r="Q197" s="59"/>
      <c r="R197" s="54"/>
      <c r="S197" s="55"/>
    </row>
    <row r="198" spans="11:19" x14ac:dyDescent="0.25">
      <c r="K198" s="58"/>
      <c r="L198" s="59"/>
      <c r="M198" s="54"/>
      <c r="N198" s="55"/>
      <c r="P198" s="58"/>
      <c r="Q198" s="59"/>
      <c r="R198" s="54"/>
      <c r="S198" s="55"/>
    </row>
    <row r="199" spans="11:19" x14ac:dyDescent="0.25">
      <c r="K199" s="58"/>
      <c r="L199" s="59"/>
      <c r="M199" s="54"/>
      <c r="N199" s="55"/>
      <c r="P199" s="58"/>
      <c r="Q199" s="59"/>
      <c r="R199" s="54"/>
      <c r="S199" s="55"/>
    </row>
    <row r="200" spans="11:19" x14ac:dyDescent="0.25">
      <c r="K200" s="58"/>
      <c r="L200" s="59"/>
      <c r="M200" s="54"/>
      <c r="N200" s="55"/>
      <c r="P200" s="58"/>
      <c r="Q200" s="59"/>
      <c r="R200" s="54"/>
      <c r="S200" s="55"/>
    </row>
    <row r="201" spans="11:19" x14ac:dyDescent="0.25">
      <c r="K201" s="58"/>
      <c r="L201" s="59"/>
      <c r="M201" s="54"/>
      <c r="N201" s="55"/>
      <c r="P201" s="58"/>
      <c r="Q201" s="59"/>
      <c r="R201" s="54"/>
      <c r="S201" s="55"/>
    </row>
    <row r="202" spans="11:19" x14ac:dyDescent="0.25">
      <c r="K202" s="58"/>
      <c r="L202" s="59"/>
      <c r="M202" s="54"/>
      <c r="N202" s="55"/>
      <c r="P202" s="58"/>
      <c r="Q202" s="59"/>
      <c r="R202" s="54"/>
      <c r="S202" s="55"/>
    </row>
    <row r="203" spans="11:19" x14ac:dyDescent="0.25">
      <c r="K203" s="58"/>
      <c r="L203" s="59"/>
      <c r="M203" s="54"/>
      <c r="N203" s="55"/>
      <c r="P203" s="58"/>
      <c r="Q203" s="59"/>
      <c r="R203" s="54"/>
      <c r="S203" s="55"/>
    </row>
    <row r="204" spans="11:19" x14ac:dyDescent="0.25">
      <c r="K204" s="58"/>
      <c r="L204" s="59"/>
      <c r="M204" s="54"/>
      <c r="N204" s="55"/>
      <c r="P204" s="58"/>
      <c r="Q204" s="59"/>
      <c r="R204" s="54"/>
      <c r="S204" s="55"/>
    </row>
    <row r="205" spans="11:19" x14ac:dyDescent="0.25">
      <c r="K205" s="58"/>
      <c r="L205" s="59"/>
      <c r="M205" s="54"/>
      <c r="N205" s="55"/>
      <c r="P205" s="58"/>
      <c r="Q205" s="59"/>
      <c r="R205" s="54"/>
      <c r="S205" s="55"/>
    </row>
    <row r="206" spans="11:19" x14ac:dyDescent="0.25">
      <c r="K206" s="58"/>
      <c r="L206" s="59"/>
      <c r="M206" s="54"/>
      <c r="N206" s="55"/>
      <c r="P206" s="58"/>
      <c r="Q206" s="59"/>
      <c r="R206" s="54"/>
      <c r="S206" s="55"/>
    </row>
    <row r="207" spans="11:19" x14ac:dyDescent="0.25">
      <c r="K207" s="58"/>
      <c r="L207" s="59"/>
      <c r="M207" s="54"/>
      <c r="N207" s="55"/>
      <c r="P207" s="58"/>
      <c r="Q207" s="59"/>
      <c r="R207" s="54"/>
      <c r="S207" s="55"/>
    </row>
    <row r="208" spans="11:19" x14ac:dyDescent="0.25">
      <c r="K208" s="58"/>
      <c r="L208" s="59"/>
      <c r="M208" s="54"/>
      <c r="N208" s="55"/>
      <c r="P208" s="58"/>
      <c r="Q208" s="59"/>
      <c r="R208" s="54"/>
      <c r="S208" s="55"/>
    </row>
    <row r="209" spans="11:19" x14ac:dyDescent="0.25">
      <c r="K209" s="58"/>
      <c r="L209" s="59"/>
      <c r="M209" s="54"/>
      <c r="N209" s="55"/>
      <c r="P209" s="58"/>
      <c r="Q209" s="59"/>
      <c r="R209" s="54"/>
      <c r="S209" s="55"/>
    </row>
    <row r="210" spans="11:19" x14ac:dyDescent="0.25">
      <c r="K210" s="58"/>
      <c r="L210" s="59"/>
      <c r="M210" s="54"/>
      <c r="N210" s="55"/>
      <c r="P210" s="58"/>
      <c r="Q210" s="59"/>
      <c r="R210" s="54"/>
      <c r="S210" s="55"/>
    </row>
    <row r="211" spans="11:19" x14ac:dyDescent="0.25">
      <c r="K211" s="58"/>
      <c r="L211" s="59"/>
      <c r="M211" s="54"/>
      <c r="N211" s="55"/>
      <c r="P211" s="58"/>
      <c r="Q211" s="59"/>
      <c r="R211" s="54"/>
      <c r="S211" s="55"/>
    </row>
    <row r="212" spans="11:19" x14ac:dyDescent="0.25">
      <c r="K212" s="58"/>
      <c r="L212" s="59"/>
      <c r="M212" s="54"/>
      <c r="N212" s="55"/>
      <c r="P212" s="58"/>
      <c r="Q212" s="59"/>
      <c r="R212" s="54"/>
      <c r="S212" s="55"/>
    </row>
    <row r="213" spans="11:19" x14ac:dyDescent="0.25">
      <c r="K213" s="58"/>
      <c r="L213" s="59"/>
      <c r="M213" s="54"/>
      <c r="N213" s="55"/>
      <c r="P213" s="58"/>
      <c r="Q213" s="59"/>
      <c r="R213" s="54"/>
      <c r="S213" s="55"/>
    </row>
    <row r="214" spans="11:19" x14ac:dyDescent="0.25">
      <c r="K214" s="58"/>
      <c r="L214" s="59"/>
      <c r="M214" s="54"/>
      <c r="N214" s="55"/>
      <c r="P214" s="58"/>
      <c r="Q214" s="59"/>
      <c r="R214" s="54"/>
      <c r="S214" s="55"/>
    </row>
    <row r="215" spans="11:19" x14ac:dyDescent="0.25">
      <c r="K215" s="58"/>
      <c r="L215" s="59"/>
      <c r="M215" s="54"/>
      <c r="N215" s="55"/>
      <c r="P215" s="58"/>
      <c r="Q215" s="59"/>
      <c r="R215" s="54"/>
      <c r="S215" s="55"/>
    </row>
    <row r="216" spans="11:19" x14ac:dyDescent="0.25">
      <c r="K216" s="58"/>
      <c r="L216" s="59"/>
      <c r="M216" s="54"/>
      <c r="N216" s="55"/>
      <c r="P216" s="58"/>
      <c r="Q216" s="59"/>
      <c r="R216" s="54"/>
      <c r="S216" s="55"/>
    </row>
    <row r="217" spans="11:19" x14ac:dyDescent="0.25">
      <c r="K217" s="58"/>
      <c r="L217" s="59"/>
      <c r="M217" s="54"/>
      <c r="N217" s="55"/>
      <c r="P217" s="58"/>
      <c r="Q217" s="59"/>
      <c r="R217" s="54"/>
      <c r="S217" s="55"/>
    </row>
    <row r="218" spans="11:19" x14ac:dyDescent="0.25">
      <c r="K218" s="58"/>
      <c r="L218" s="59"/>
      <c r="M218" s="54"/>
      <c r="N218" s="55"/>
      <c r="P218" s="58"/>
      <c r="Q218" s="59"/>
      <c r="R218" s="54"/>
      <c r="S218" s="55"/>
    </row>
    <row r="219" spans="11:19" x14ac:dyDescent="0.25">
      <c r="K219" s="58"/>
      <c r="L219" s="59"/>
      <c r="M219" s="54"/>
      <c r="N219" s="55"/>
      <c r="P219" s="58"/>
      <c r="Q219" s="59"/>
      <c r="R219" s="54"/>
      <c r="S219" s="55"/>
    </row>
    <row r="220" spans="11:19" x14ac:dyDescent="0.25">
      <c r="K220" s="58"/>
      <c r="L220" s="59"/>
      <c r="M220" s="54"/>
      <c r="N220" s="55"/>
      <c r="P220" s="58"/>
      <c r="Q220" s="59"/>
      <c r="R220" s="54"/>
      <c r="S220" s="55"/>
    </row>
    <row r="221" spans="11:19" x14ac:dyDescent="0.25">
      <c r="K221" s="58"/>
      <c r="L221" s="59"/>
      <c r="M221" s="54"/>
      <c r="N221" s="55"/>
      <c r="P221" s="58"/>
      <c r="Q221" s="59"/>
      <c r="R221" s="54"/>
      <c r="S221" s="55"/>
    </row>
    <row r="222" spans="11:19" x14ac:dyDescent="0.25">
      <c r="K222" s="58"/>
      <c r="L222" s="59"/>
      <c r="M222" s="54"/>
      <c r="N222" s="55"/>
      <c r="P222" s="58"/>
      <c r="Q222" s="59"/>
      <c r="R222" s="54"/>
      <c r="S222" s="55"/>
    </row>
    <row r="223" spans="11:19" x14ac:dyDescent="0.25">
      <c r="K223" s="58"/>
      <c r="L223" s="59"/>
      <c r="M223" s="54"/>
      <c r="N223" s="55"/>
      <c r="P223" s="58"/>
      <c r="Q223" s="59"/>
      <c r="R223" s="54"/>
      <c r="S223" s="55"/>
    </row>
    <row r="224" spans="11:19" x14ac:dyDescent="0.25">
      <c r="K224" s="58"/>
      <c r="L224" s="59"/>
      <c r="M224" s="54"/>
      <c r="N224" s="55"/>
      <c r="P224" s="58"/>
      <c r="Q224" s="59"/>
      <c r="R224" s="54"/>
      <c r="S224" s="55"/>
    </row>
    <row r="225" spans="11:19" x14ac:dyDescent="0.25">
      <c r="K225" s="58"/>
      <c r="L225" s="59"/>
      <c r="M225" s="54"/>
      <c r="N225" s="55"/>
      <c r="P225" s="58"/>
      <c r="Q225" s="59"/>
      <c r="R225" s="54"/>
      <c r="S225" s="55"/>
    </row>
    <row r="226" spans="11:19" x14ac:dyDescent="0.25">
      <c r="K226" s="58"/>
      <c r="L226" s="59"/>
      <c r="M226" s="54"/>
      <c r="N226" s="55"/>
      <c r="P226" s="58"/>
      <c r="Q226" s="59"/>
      <c r="R226" s="54"/>
      <c r="S226" s="55"/>
    </row>
    <row r="227" spans="11:19" x14ac:dyDescent="0.25">
      <c r="K227" s="58"/>
      <c r="L227" s="59"/>
      <c r="M227" s="54"/>
      <c r="N227" s="55"/>
      <c r="P227" s="58"/>
      <c r="Q227" s="59"/>
      <c r="R227" s="54"/>
      <c r="S227" s="55"/>
    </row>
    <row r="228" spans="11:19" x14ac:dyDescent="0.25">
      <c r="K228" s="58"/>
      <c r="L228" s="59"/>
      <c r="M228" s="54"/>
      <c r="N228" s="55"/>
      <c r="P228" s="58"/>
      <c r="Q228" s="59"/>
      <c r="R228" s="54"/>
      <c r="S228" s="55"/>
    </row>
    <row r="229" spans="11:19" x14ac:dyDescent="0.25">
      <c r="K229" s="58"/>
      <c r="L229" s="59"/>
      <c r="M229" s="54"/>
      <c r="N229" s="55"/>
      <c r="P229" s="58"/>
      <c r="Q229" s="59"/>
      <c r="R229" s="54"/>
      <c r="S229" s="55"/>
    </row>
    <row r="230" spans="11:19" x14ac:dyDescent="0.25">
      <c r="K230" s="58"/>
      <c r="L230" s="59"/>
      <c r="M230" s="54"/>
      <c r="N230" s="55"/>
      <c r="P230" s="58"/>
      <c r="Q230" s="59"/>
      <c r="R230" s="54"/>
      <c r="S230" s="55"/>
    </row>
    <row r="231" spans="11:19" x14ac:dyDescent="0.25">
      <c r="K231" s="58"/>
      <c r="L231" s="59"/>
      <c r="M231" s="54"/>
      <c r="N231" s="55"/>
      <c r="P231" s="58"/>
      <c r="Q231" s="59"/>
      <c r="R231" s="54"/>
      <c r="S231" s="55"/>
    </row>
    <row r="232" spans="11:19" x14ac:dyDescent="0.25">
      <c r="K232" s="58"/>
      <c r="L232" s="59"/>
      <c r="M232" s="54"/>
      <c r="N232" s="55"/>
      <c r="P232" s="58"/>
      <c r="Q232" s="59"/>
      <c r="R232" s="54"/>
      <c r="S232" s="55"/>
    </row>
    <row r="233" spans="11:19" x14ac:dyDescent="0.25">
      <c r="K233" s="58"/>
      <c r="L233" s="59"/>
      <c r="M233" s="54"/>
      <c r="N233" s="55"/>
      <c r="P233" s="58"/>
      <c r="Q233" s="59"/>
      <c r="R233" s="54"/>
      <c r="S233" s="55"/>
    </row>
    <row r="234" spans="11:19" x14ac:dyDescent="0.25">
      <c r="K234" s="58"/>
      <c r="L234" s="59"/>
      <c r="M234" s="54"/>
      <c r="N234" s="55"/>
      <c r="P234" s="58"/>
      <c r="Q234" s="59"/>
      <c r="R234" s="54"/>
      <c r="S234" s="55"/>
    </row>
    <row r="235" spans="11:19" x14ac:dyDescent="0.25">
      <c r="K235" s="58"/>
      <c r="L235" s="59"/>
      <c r="M235" s="54"/>
      <c r="N235" s="55"/>
      <c r="P235" s="58"/>
      <c r="Q235" s="59"/>
      <c r="R235" s="54"/>
      <c r="S235" s="55"/>
    </row>
    <row r="236" spans="11:19" x14ac:dyDescent="0.25">
      <c r="K236" s="58"/>
      <c r="L236" s="59"/>
      <c r="M236" s="54"/>
      <c r="N236" s="55"/>
      <c r="P236" s="58"/>
      <c r="Q236" s="59"/>
      <c r="R236" s="54"/>
      <c r="S236" s="55"/>
    </row>
    <row r="237" spans="11:19" x14ac:dyDescent="0.25">
      <c r="K237" s="58"/>
      <c r="L237" s="59"/>
      <c r="M237" s="54"/>
      <c r="N237" s="55"/>
      <c r="P237" s="58"/>
      <c r="Q237" s="59"/>
      <c r="R237" s="54"/>
      <c r="S237" s="55"/>
    </row>
    <row r="238" spans="11:19" x14ac:dyDescent="0.25">
      <c r="K238" s="58"/>
      <c r="L238" s="59"/>
      <c r="M238" s="54"/>
      <c r="N238" s="55"/>
      <c r="P238" s="58"/>
      <c r="Q238" s="59"/>
      <c r="R238" s="54"/>
      <c r="S238" s="55"/>
    </row>
    <row r="239" spans="11:19" x14ac:dyDescent="0.25">
      <c r="K239" s="58"/>
      <c r="L239" s="59"/>
      <c r="M239" s="54"/>
      <c r="N239" s="55"/>
      <c r="P239" s="58"/>
      <c r="Q239" s="59"/>
      <c r="R239" s="54"/>
      <c r="S239" s="55"/>
    </row>
    <row r="240" spans="11:19" x14ac:dyDescent="0.25">
      <c r="K240" s="58"/>
      <c r="L240" s="59"/>
      <c r="M240" s="54"/>
      <c r="N240" s="55"/>
      <c r="P240" s="58"/>
      <c r="Q240" s="59"/>
      <c r="R240" s="54"/>
      <c r="S240" s="55"/>
    </row>
    <row r="241" spans="11:19" x14ac:dyDescent="0.25">
      <c r="K241" s="58"/>
      <c r="L241" s="59"/>
      <c r="M241" s="54"/>
      <c r="N241" s="55"/>
      <c r="P241" s="58"/>
      <c r="Q241" s="59"/>
      <c r="R241" s="54"/>
      <c r="S241" s="55"/>
    </row>
    <row r="242" spans="11:19" x14ac:dyDescent="0.25">
      <c r="K242" s="58"/>
      <c r="L242" s="59"/>
      <c r="M242" s="54"/>
      <c r="N242" s="55"/>
      <c r="P242" s="58"/>
      <c r="Q242" s="59"/>
      <c r="R242" s="54"/>
      <c r="S242" s="55"/>
    </row>
    <row r="243" spans="11:19" x14ac:dyDescent="0.25">
      <c r="K243" s="58"/>
      <c r="L243" s="59"/>
      <c r="M243" s="54"/>
      <c r="N243" s="55"/>
      <c r="P243" s="58"/>
      <c r="Q243" s="59"/>
      <c r="R243" s="54"/>
      <c r="S243" s="55"/>
    </row>
    <row r="244" spans="11:19" x14ac:dyDescent="0.25">
      <c r="K244" s="58"/>
      <c r="L244" s="59"/>
      <c r="M244" s="54"/>
      <c r="N244" s="55"/>
      <c r="P244" s="58"/>
      <c r="Q244" s="59"/>
      <c r="R244" s="54"/>
      <c r="S244" s="55"/>
    </row>
    <row r="245" spans="11:19" x14ac:dyDescent="0.25">
      <c r="K245" s="58"/>
      <c r="L245" s="59"/>
      <c r="M245" s="54"/>
      <c r="N245" s="55"/>
      <c r="P245" s="58"/>
      <c r="Q245" s="59"/>
      <c r="R245" s="54"/>
      <c r="S245" s="55"/>
    </row>
    <row r="246" spans="11:19" x14ac:dyDescent="0.25">
      <c r="K246" s="58"/>
      <c r="L246" s="59"/>
      <c r="M246" s="54"/>
      <c r="N246" s="55"/>
      <c r="P246" s="58"/>
      <c r="Q246" s="59"/>
      <c r="R246" s="54"/>
      <c r="S246" s="55"/>
    </row>
    <row r="247" spans="11:19" x14ac:dyDescent="0.25">
      <c r="K247" s="58"/>
      <c r="L247" s="59"/>
      <c r="M247" s="54"/>
      <c r="N247" s="55"/>
      <c r="P247" s="58"/>
      <c r="Q247" s="59"/>
      <c r="R247" s="54"/>
      <c r="S247" s="55"/>
    </row>
    <row r="248" spans="11:19" x14ac:dyDescent="0.25">
      <c r="K248" s="58"/>
      <c r="L248" s="59"/>
      <c r="M248" s="54"/>
      <c r="N248" s="55"/>
      <c r="P248" s="58"/>
      <c r="Q248" s="59"/>
      <c r="R248" s="54"/>
      <c r="S248" s="55"/>
    </row>
    <row r="249" spans="11:19" x14ac:dyDescent="0.25">
      <c r="K249" s="58"/>
      <c r="L249" s="59"/>
      <c r="M249" s="54"/>
      <c r="N249" s="55"/>
      <c r="P249" s="58"/>
      <c r="Q249" s="59"/>
      <c r="R249" s="54"/>
      <c r="S249" s="55"/>
    </row>
    <row r="250" spans="11:19" x14ac:dyDescent="0.25">
      <c r="K250" s="58"/>
      <c r="L250" s="59"/>
      <c r="M250" s="54"/>
      <c r="N250" s="55"/>
      <c r="P250" s="58"/>
      <c r="Q250" s="59"/>
      <c r="R250" s="54"/>
      <c r="S250" s="55"/>
    </row>
    <row r="251" spans="11:19" x14ac:dyDescent="0.25">
      <c r="K251" s="58"/>
      <c r="L251" s="59"/>
      <c r="M251" s="54"/>
      <c r="N251" s="55"/>
      <c r="P251" s="58"/>
      <c r="Q251" s="59"/>
      <c r="R251" s="54"/>
      <c r="S251" s="55"/>
    </row>
    <row r="252" spans="11:19" x14ac:dyDescent="0.25">
      <c r="K252" s="58"/>
      <c r="L252" s="59"/>
      <c r="M252" s="54"/>
      <c r="N252" s="55"/>
      <c r="P252" s="58"/>
      <c r="Q252" s="59"/>
      <c r="R252" s="54"/>
      <c r="S252" s="55"/>
    </row>
    <row r="253" spans="11:19" x14ac:dyDescent="0.25">
      <c r="K253" s="58"/>
      <c r="L253" s="59"/>
      <c r="M253" s="54"/>
      <c r="N253" s="55"/>
      <c r="P253" s="58"/>
      <c r="Q253" s="59"/>
      <c r="R253" s="54"/>
      <c r="S253" s="55"/>
    </row>
    <row r="254" spans="11:19" x14ac:dyDescent="0.25">
      <c r="K254" s="58"/>
      <c r="L254" s="59"/>
      <c r="M254" s="54"/>
      <c r="N254" s="55"/>
      <c r="P254" s="58"/>
      <c r="Q254" s="59"/>
      <c r="R254" s="54"/>
      <c r="S254" s="55"/>
    </row>
    <row r="255" spans="11:19" x14ac:dyDescent="0.25">
      <c r="K255" s="58"/>
      <c r="L255" s="59"/>
      <c r="M255" s="54"/>
      <c r="N255" s="55"/>
      <c r="P255" s="58"/>
      <c r="Q255" s="59"/>
      <c r="R255" s="54"/>
      <c r="S255" s="55"/>
    </row>
    <row r="256" spans="11:19" x14ac:dyDescent="0.25">
      <c r="K256" s="58"/>
      <c r="L256" s="59"/>
      <c r="M256" s="54"/>
      <c r="N256" s="55"/>
      <c r="P256" s="58"/>
      <c r="Q256" s="59"/>
      <c r="R256" s="54"/>
      <c r="S256" s="55"/>
    </row>
    <row r="257" spans="11:19" x14ac:dyDescent="0.25">
      <c r="K257" s="58"/>
      <c r="L257" s="59"/>
      <c r="M257" s="54"/>
      <c r="N257" s="55"/>
      <c r="P257" s="58"/>
      <c r="Q257" s="59"/>
      <c r="R257" s="54"/>
      <c r="S257" s="55"/>
    </row>
    <row r="258" spans="11:19" x14ac:dyDescent="0.25">
      <c r="K258" s="58"/>
      <c r="L258" s="59"/>
      <c r="M258" s="54"/>
      <c r="N258" s="55"/>
      <c r="P258" s="58"/>
      <c r="Q258" s="59"/>
      <c r="R258" s="54"/>
      <c r="S258" s="55"/>
    </row>
    <row r="259" spans="11:19" x14ac:dyDescent="0.25">
      <c r="K259" s="58"/>
      <c r="L259" s="59"/>
      <c r="M259" s="54"/>
      <c r="N259" s="55"/>
      <c r="P259" s="58"/>
      <c r="Q259" s="59"/>
      <c r="R259" s="54"/>
      <c r="S259" s="55"/>
    </row>
    <row r="260" spans="11:19" x14ac:dyDescent="0.25">
      <c r="K260" s="58"/>
      <c r="L260" s="59"/>
      <c r="M260" s="54"/>
      <c r="N260" s="55"/>
      <c r="P260" s="58"/>
      <c r="Q260" s="59"/>
      <c r="R260" s="54"/>
      <c r="S260" s="55"/>
    </row>
    <row r="261" spans="11:19" x14ac:dyDescent="0.25">
      <c r="K261" s="58"/>
      <c r="L261" s="59"/>
      <c r="M261" s="54"/>
      <c r="N261" s="55"/>
      <c r="P261" s="58"/>
      <c r="Q261" s="59"/>
      <c r="R261" s="54"/>
      <c r="S261" s="55"/>
    </row>
    <row r="262" spans="11:19" x14ac:dyDescent="0.25">
      <c r="K262" s="58"/>
      <c r="L262" s="59"/>
      <c r="M262" s="54"/>
      <c r="N262" s="55"/>
      <c r="P262" s="58"/>
      <c r="Q262" s="59"/>
      <c r="R262" s="54"/>
      <c r="S262" s="55"/>
    </row>
    <row r="263" spans="11:19" x14ac:dyDescent="0.25">
      <c r="K263" s="58"/>
      <c r="L263" s="59"/>
      <c r="M263" s="54"/>
      <c r="N263" s="55"/>
      <c r="P263" s="58"/>
      <c r="Q263" s="59"/>
      <c r="R263" s="54"/>
      <c r="S263" s="55"/>
    </row>
    <row r="264" spans="11:19" x14ac:dyDescent="0.25">
      <c r="K264" s="58"/>
      <c r="L264" s="59"/>
      <c r="M264" s="54"/>
      <c r="N264" s="55"/>
      <c r="P264" s="58"/>
      <c r="Q264" s="59"/>
      <c r="R264" s="54"/>
      <c r="S264" s="55"/>
    </row>
    <row r="265" spans="11:19" x14ac:dyDescent="0.25">
      <c r="K265" s="58"/>
      <c r="L265" s="59"/>
      <c r="M265" s="54"/>
      <c r="N265" s="55"/>
      <c r="P265" s="58"/>
      <c r="Q265" s="59"/>
      <c r="R265" s="54"/>
      <c r="S265" s="55"/>
    </row>
    <row r="266" spans="11:19" x14ac:dyDescent="0.25">
      <c r="K266" s="58"/>
      <c r="L266" s="59"/>
      <c r="M266" s="54"/>
      <c r="N266" s="55"/>
      <c r="P266" s="58"/>
      <c r="Q266" s="59"/>
      <c r="R266" s="54"/>
      <c r="S266" s="55"/>
    </row>
    <row r="267" spans="11:19" x14ac:dyDescent="0.25">
      <c r="K267" s="58"/>
      <c r="L267" s="59"/>
      <c r="M267" s="54"/>
      <c r="N267" s="55"/>
      <c r="P267" s="58"/>
      <c r="Q267" s="59"/>
      <c r="R267" s="54"/>
      <c r="S267" s="55"/>
    </row>
    <row r="268" spans="11:19" x14ac:dyDescent="0.25">
      <c r="K268" s="58"/>
      <c r="L268" s="59"/>
      <c r="M268" s="54"/>
      <c r="N268" s="55"/>
      <c r="P268" s="58"/>
      <c r="Q268" s="59"/>
      <c r="R268" s="54"/>
      <c r="S268" s="55"/>
    </row>
    <row r="269" spans="11:19" x14ac:dyDescent="0.25">
      <c r="K269" s="58"/>
      <c r="L269" s="59"/>
      <c r="M269" s="54"/>
      <c r="N269" s="55"/>
      <c r="P269" s="58"/>
      <c r="Q269" s="59"/>
      <c r="R269" s="54"/>
      <c r="S269" s="55"/>
    </row>
    <row r="270" spans="11:19" x14ac:dyDescent="0.25">
      <c r="K270" s="58"/>
      <c r="L270" s="59"/>
      <c r="M270" s="54"/>
      <c r="N270" s="55"/>
      <c r="P270" s="58"/>
      <c r="Q270" s="59"/>
      <c r="R270" s="54"/>
      <c r="S270" s="55"/>
    </row>
    <row r="271" spans="11:19" x14ac:dyDescent="0.25">
      <c r="K271" s="58"/>
      <c r="L271" s="59"/>
      <c r="M271" s="54"/>
      <c r="N271" s="55"/>
      <c r="P271" s="58"/>
      <c r="Q271" s="59"/>
      <c r="R271" s="54"/>
      <c r="S271" s="55"/>
    </row>
    <row r="272" spans="11:19" x14ac:dyDescent="0.25">
      <c r="K272" s="58"/>
      <c r="L272" s="59"/>
      <c r="M272" s="54"/>
      <c r="N272" s="55"/>
      <c r="P272" s="58"/>
      <c r="Q272" s="59"/>
      <c r="R272" s="54"/>
      <c r="S272" s="55"/>
    </row>
    <row r="273" spans="11:19" x14ac:dyDescent="0.25">
      <c r="K273" s="58"/>
      <c r="L273" s="59"/>
      <c r="M273" s="54"/>
      <c r="N273" s="55"/>
      <c r="P273" s="58"/>
      <c r="Q273" s="59"/>
      <c r="R273" s="54"/>
      <c r="S273" s="55"/>
    </row>
    <row r="274" spans="11:19" x14ac:dyDescent="0.25">
      <c r="K274" s="58"/>
      <c r="L274" s="59"/>
      <c r="M274" s="54"/>
      <c r="N274" s="55"/>
      <c r="P274" s="58"/>
      <c r="Q274" s="59"/>
      <c r="R274" s="54"/>
      <c r="S274" s="55"/>
    </row>
    <row r="275" spans="11:19" x14ac:dyDescent="0.25">
      <c r="K275" s="58"/>
      <c r="L275" s="59"/>
      <c r="M275" s="54"/>
      <c r="N275" s="55"/>
      <c r="P275" s="58"/>
      <c r="Q275" s="59"/>
      <c r="R275" s="54"/>
      <c r="S275" s="55"/>
    </row>
    <row r="276" spans="11:19" x14ac:dyDescent="0.25">
      <c r="K276" s="58"/>
      <c r="L276" s="59"/>
      <c r="M276" s="54"/>
      <c r="N276" s="55"/>
      <c r="P276" s="58"/>
      <c r="Q276" s="59"/>
      <c r="R276" s="54"/>
      <c r="S276" s="55"/>
    </row>
    <row r="277" spans="11:19" x14ac:dyDescent="0.25">
      <c r="K277" s="58"/>
      <c r="L277" s="59"/>
      <c r="M277" s="54"/>
      <c r="N277" s="55"/>
      <c r="P277" s="58"/>
      <c r="Q277" s="59"/>
      <c r="R277" s="54"/>
      <c r="S277" s="55"/>
    </row>
    <row r="278" spans="11:19" x14ac:dyDescent="0.25">
      <c r="K278" s="58"/>
      <c r="L278" s="59"/>
      <c r="M278" s="54"/>
      <c r="N278" s="55"/>
      <c r="P278" s="58"/>
      <c r="Q278" s="59"/>
      <c r="R278" s="54"/>
      <c r="S278" s="55"/>
    </row>
    <row r="279" spans="11:19" x14ac:dyDescent="0.25">
      <c r="K279" s="58"/>
      <c r="L279" s="59"/>
      <c r="M279" s="54"/>
      <c r="N279" s="55"/>
      <c r="P279" s="58"/>
      <c r="Q279" s="59"/>
      <c r="R279" s="54"/>
      <c r="S279" s="55"/>
    </row>
    <row r="280" spans="11:19" x14ac:dyDescent="0.25">
      <c r="K280" s="58"/>
      <c r="L280" s="59"/>
      <c r="M280" s="54"/>
      <c r="N280" s="55"/>
      <c r="P280" s="58"/>
      <c r="Q280" s="59"/>
      <c r="R280" s="54"/>
      <c r="S280" s="55"/>
    </row>
    <row r="281" spans="11:19" x14ac:dyDescent="0.25">
      <c r="K281" s="58"/>
      <c r="L281" s="59"/>
      <c r="M281" s="54"/>
      <c r="N281" s="55"/>
      <c r="P281" s="58"/>
      <c r="Q281" s="59"/>
      <c r="R281" s="54"/>
      <c r="S281" s="55"/>
    </row>
    <row r="282" spans="11:19" x14ac:dyDescent="0.25">
      <c r="K282" s="58"/>
      <c r="L282" s="59"/>
      <c r="M282" s="54"/>
      <c r="N282" s="55"/>
      <c r="P282" s="58"/>
      <c r="Q282" s="59"/>
      <c r="R282" s="54"/>
      <c r="S282" s="55"/>
    </row>
    <row r="283" spans="11:19" x14ac:dyDescent="0.25">
      <c r="K283" s="58"/>
      <c r="L283" s="59"/>
      <c r="M283" s="54"/>
      <c r="N283" s="55"/>
      <c r="P283" s="58"/>
      <c r="Q283" s="59"/>
      <c r="R283" s="54"/>
      <c r="S283" s="55"/>
    </row>
    <row r="284" spans="11:19" x14ac:dyDescent="0.25">
      <c r="K284" s="58"/>
      <c r="L284" s="59"/>
      <c r="M284" s="54"/>
      <c r="N284" s="55"/>
      <c r="P284" s="58"/>
      <c r="Q284" s="59"/>
      <c r="R284" s="54"/>
      <c r="S284" s="55"/>
    </row>
    <row r="285" spans="11:19" x14ac:dyDescent="0.25">
      <c r="K285" s="58"/>
      <c r="L285" s="59"/>
      <c r="M285" s="54"/>
      <c r="N285" s="55"/>
      <c r="P285" s="58"/>
      <c r="Q285" s="59"/>
      <c r="R285" s="54"/>
      <c r="S285" s="55"/>
    </row>
    <row r="286" spans="11:19" x14ac:dyDescent="0.25">
      <c r="K286" s="58"/>
      <c r="L286" s="59"/>
      <c r="M286" s="54"/>
      <c r="N286" s="55"/>
      <c r="P286" s="58"/>
      <c r="Q286" s="59"/>
      <c r="R286" s="54"/>
      <c r="S286" s="55"/>
    </row>
    <row r="287" spans="11:19" x14ac:dyDescent="0.25">
      <c r="K287" s="58"/>
      <c r="L287" s="59"/>
      <c r="M287" s="54"/>
      <c r="N287" s="55"/>
      <c r="P287" s="58"/>
      <c r="Q287" s="59"/>
      <c r="R287" s="54"/>
      <c r="S287" s="55"/>
    </row>
    <row r="288" spans="11:19" x14ac:dyDescent="0.25">
      <c r="K288" s="58"/>
      <c r="L288" s="59"/>
      <c r="M288" s="54"/>
      <c r="N288" s="55"/>
      <c r="P288" s="58"/>
      <c r="Q288" s="59"/>
      <c r="R288" s="54"/>
      <c r="S288" s="55"/>
    </row>
    <row r="289" spans="11:19" x14ac:dyDescent="0.25">
      <c r="K289" s="58"/>
      <c r="L289" s="59"/>
      <c r="M289" s="54"/>
      <c r="N289" s="55"/>
      <c r="P289" s="58"/>
      <c r="Q289" s="59"/>
      <c r="R289" s="54"/>
      <c r="S289" s="55"/>
    </row>
    <row r="290" spans="11:19" x14ac:dyDescent="0.25">
      <c r="K290" s="58"/>
      <c r="L290" s="59"/>
      <c r="M290" s="54"/>
      <c r="N290" s="55"/>
      <c r="P290" s="58"/>
      <c r="Q290" s="59"/>
      <c r="R290" s="54"/>
      <c r="S290" s="55"/>
    </row>
    <row r="291" spans="11:19" x14ac:dyDescent="0.25">
      <c r="K291" s="58"/>
      <c r="L291" s="59"/>
      <c r="M291" s="54"/>
      <c r="N291" s="55"/>
      <c r="P291" s="58"/>
      <c r="Q291" s="59"/>
      <c r="R291" s="54"/>
      <c r="S291" s="55"/>
    </row>
    <row r="292" spans="11:19" x14ac:dyDescent="0.25">
      <c r="K292" s="58"/>
      <c r="L292" s="59"/>
      <c r="M292" s="54"/>
      <c r="N292" s="55"/>
      <c r="P292" s="58"/>
      <c r="Q292" s="59"/>
      <c r="R292" s="54"/>
      <c r="S292" s="55"/>
    </row>
    <row r="293" spans="11:19" x14ac:dyDescent="0.25">
      <c r="K293" s="58"/>
      <c r="L293" s="59"/>
      <c r="M293" s="54"/>
      <c r="N293" s="55"/>
      <c r="P293" s="58"/>
      <c r="Q293" s="59"/>
      <c r="R293" s="54"/>
      <c r="S293" s="55"/>
    </row>
    <row r="294" spans="11:19" x14ac:dyDescent="0.25">
      <c r="K294" s="58"/>
      <c r="L294" s="59"/>
      <c r="M294" s="54"/>
      <c r="N294" s="55"/>
      <c r="P294" s="58"/>
      <c r="Q294" s="59"/>
      <c r="R294" s="54"/>
      <c r="S294" s="55"/>
    </row>
    <row r="295" spans="11:19" x14ac:dyDescent="0.25">
      <c r="K295" s="58"/>
      <c r="L295" s="59"/>
      <c r="M295" s="54"/>
      <c r="N295" s="55"/>
      <c r="P295" s="58"/>
      <c r="Q295" s="59"/>
      <c r="R295" s="54"/>
      <c r="S295" s="55"/>
    </row>
    <row r="296" spans="11:19" x14ac:dyDescent="0.25">
      <c r="K296" s="58"/>
      <c r="L296" s="59"/>
      <c r="M296" s="54"/>
      <c r="N296" s="55"/>
      <c r="P296" s="58"/>
      <c r="Q296" s="59"/>
      <c r="R296" s="54"/>
      <c r="S296" s="55"/>
    </row>
    <row r="297" spans="11:19" x14ac:dyDescent="0.25">
      <c r="K297" s="58"/>
      <c r="L297" s="59"/>
      <c r="M297" s="54"/>
      <c r="N297" s="55"/>
      <c r="P297" s="58"/>
      <c r="Q297" s="59"/>
      <c r="R297" s="54"/>
      <c r="S297" s="55"/>
    </row>
    <row r="298" spans="11:19" x14ac:dyDescent="0.25">
      <c r="K298" s="58"/>
      <c r="L298" s="59"/>
      <c r="M298" s="54"/>
      <c r="N298" s="55"/>
      <c r="P298" s="58"/>
      <c r="Q298" s="59"/>
      <c r="R298" s="54"/>
      <c r="S298" s="55"/>
    </row>
    <row r="299" spans="11:19" x14ac:dyDescent="0.25">
      <c r="K299" s="58"/>
      <c r="L299" s="59"/>
      <c r="M299" s="54"/>
      <c r="N299" s="55"/>
      <c r="P299" s="58"/>
      <c r="Q299" s="59"/>
      <c r="R299" s="54"/>
      <c r="S299" s="55"/>
    </row>
    <row r="300" spans="11:19" x14ac:dyDescent="0.25">
      <c r="K300" s="58"/>
      <c r="L300" s="59"/>
      <c r="M300" s="54"/>
      <c r="N300" s="55"/>
      <c r="P300" s="58"/>
      <c r="Q300" s="59"/>
      <c r="R300" s="54"/>
      <c r="S300" s="55"/>
    </row>
    <row r="301" spans="11:19" x14ac:dyDescent="0.25">
      <c r="K301" s="58"/>
      <c r="L301" s="59"/>
      <c r="M301" s="54"/>
      <c r="N301" s="55"/>
      <c r="P301" s="58"/>
      <c r="Q301" s="59"/>
      <c r="R301" s="54"/>
      <c r="S301" s="55"/>
    </row>
    <row r="302" spans="11:19" x14ac:dyDescent="0.25">
      <c r="K302" s="58"/>
      <c r="L302" s="59"/>
      <c r="M302" s="54"/>
      <c r="N302" s="55"/>
      <c r="P302" s="58"/>
      <c r="Q302" s="59"/>
      <c r="R302" s="54"/>
      <c r="S302" s="55"/>
    </row>
    <row r="303" spans="11:19" x14ac:dyDescent="0.25">
      <c r="K303" s="58"/>
      <c r="L303" s="59"/>
      <c r="M303" s="54"/>
      <c r="N303" s="55"/>
      <c r="P303" s="58"/>
      <c r="Q303" s="59"/>
      <c r="R303" s="54"/>
      <c r="S303" s="55"/>
    </row>
    <row r="304" spans="11:19" x14ac:dyDescent="0.25">
      <c r="K304" s="58"/>
      <c r="L304" s="59"/>
      <c r="M304" s="54"/>
      <c r="N304" s="55"/>
      <c r="P304" s="58"/>
      <c r="Q304" s="59"/>
      <c r="R304" s="54"/>
      <c r="S304" s="55"/>
    </row>
    <row r="305" spans="11:19" x14ac:dyDescent="0.25">
      <c r="K305" s="58"/>
      <c r="L305" s="59"/>
      <c r="M305" s="54"/>
      <c r="N305" s="55"/>
      <c r="P305" s="58"/>
      <c r="Q305" s="59"/>
      <c r="R305" s="54"/>
      <c r="S305" s="55"/>
    </row>
    <row r="306" spans="11:19" x14ac:dyDescent="0.25">
      <c r="K306" s="58"/>
      <c r="L306" s="59"/>
      <c r="M306" s="54"/>
      <c r="N306" s="55"/>
      <c r="P306" s="58"/>
      <c r="Q306" s="59"/>
      <c r="R306" s="54"/>
      <c r="S306" s="55"/>
    </row>
    <row r="307" spans="11:19" x14ac:dyDescent="0.25">
      <c r="K307" s="58"/>
      <c r="L307" s="59"/>
      <c r="M307" s="54"/>
      <c r="N307" s="55"/>
      <c r="P307" s="58"/>
      <c r="Q307" s="59"/>
      <c r="R307" s="54"/>
      <c r="S307" s="55"/>
    </row>
    <row r="308" spans="11:19" x14ac:dyDescent="0.25">
      <c r="K308" s="58"/>
      <c r="L308" s="59"/>
      <c r="M308" s="54"/>
      <c r="N308" s="55"/>
      <c r="P308" s="58"/>
      <c r="Q308" s="59"/>
      <c r="R308" s="54"/>
      <c r="S308" s="55"/>
    </row>
    <row r="309" spans="11:19" x14ac:dyDescent="0.25">
      <c r="K309" s="58"/>
      <c r="L309" s="59"/>
      <c r="M309" s="54"/>
      <c r="N309" s="55"/>
      <c r="P309" s="58"/>
      <c r="Q309" s="59"/>
      <c r="R309" s="54"/>
      <c r="S309" s="55"/>
    </row>
    <row r="310" spans="11:19" x14ac:dyDescent="0.25">
      <c r="K310" s="58"/>
      <c r="L310" s="59"/>
      <c r="M310" s="54"/>
      <c r="N310" s="55"/>
      <c r="P310" s="58"/>
      <c r="Q310" s="59"/>
      <c r="R310" s="54"/>
      <c r="S310" s="55"/>
    </row>
    <row r="311" spans="11:19" x14ac:dyDescent="0.25">
      <c r="K311" s="58"/>
      <c r="L311" s="59"/>
      <c r="M311" s="54"/>
      <c r="N311" s="55"/>
      <c r="P311" s="58"/>
      <c r="Q311" s="59"/>
      <c r="R311" s="54"/>
      <c r="S311" s="55"/>
    </row>
    <row r="312" spans="11:19" x14ac:dyDescent="0.25">
      <c r="K312" s="58"/>
      <c r="L312" s="59"/>
      <c r="M312" s="54"/>
      <c r="N312" s="55"/>
      <c r="P312" s="58"/>
      <c r="Q312" s="59"/>
      <c r="R312" s="54"/>
      <c r="S312" s="55"/>
    </row>
    <row r="313" spans="11:19" x14ac:dyDescent="0.25">
      <c r="K313" s="58"/>
      <c r="L313" s="59"/>
      <c r="M313" s="54"/>
      <c r="N313" s="55"/>
      <c r="P313" s="58"/>
      <c r="Q313" s="59"/>
      <c r="R313" s="54"/>
      <c r="S313" s="55"/>
    </row>
    <row r="314" spans="11:19" x14ac:dyDescent="0.25">
      <c r="K314" s="58"/>
      <c r="L314" s="59"/>
      <c r="M314" s="54"/>
      <c r="N314" s="55"/>
      <c r="P314" s="58"/>
      <c r="Q314" s="59"/>
      <c r="R314" s="54"/>
      <c r="S314" s="55"/>
    </row>
    <row r="315" spans="11:19" x14ac:dyDescent="0.25">
      <c r="K315" s="58"/>
      <c r="L315" s="59"/>
      <c r="M315" s="54"/>
      <c r="N315" s="55"/>
      <c r="P315" s="58"/>
      <c r="Q315" s="59"/>
      <c r="R315" s="54"/>
      <c r="S315" s="55"/>
    </row>
    <row r="316" spans="11:19" x14ac:dyDescent="0.25">
      <c r="K316" s="58"/>
      <c r="L316" s="59"/>
      <c r="M316" s="54"/>
      <c r="N316" s="55"/>
      <c r="P316" s="58"/>
      <c r="Q316" s="59"/>
      <c r="R316" s="54"/>
      <c r="S316" s="55"/>
    </row>
    <row r="317" spans="11:19" x14ac:dyDescent="0.25">
      <c r="K317" s="58"/>
      <c r="L317" s="59"/>
      <c r="M317" s="54"/>
      <c r="N317" s="55"/>
      <c r="P317" s="58"/>
      <c r="Q317" s="59"/>
      <c r="R317" s="54"/>
      <c r="S317" s="55"/>
    </row>
    <row r="318" spans="11:19" x14ac:dyDescent="0.25">
      <c r="K318" s="58"/>
      <c r="L318" s="59"/>
      <c r="M318" s="54"/>
      <c r="N318" s="55"/>
      <c r="P318" s="58"/>
      <c r="Q318" s="59"/>
      <c r="R318" s="54"/>
      <c r="S318" s="55"/>
    </row>
    <row r="319" spans="11:19" x14ac:dyDescent="0.25">
      <c r="K319" s="58"/>
      <c r="L319" s="59"/>
      <c r="M319" s="54"/>
      <c r="N319" s="55"/>
      <c r="P319" s="58"/>
      <c r="Q319" s="59"/>
      <c r="R319" s="54"/>
      <c r="S319" s="55"/>
    </row>
    <row r="320" spans="11:19" x14ac:dyDescent="0.25">
      <c r="K320" s="58"/>
      <c r="L320" s="59"/>
      <c r="M320" s="54"/>
      <c r="N320" s="55"/>
      <c r="P320" s="58"/>
      <c r="Q320" s="59"/>
      <c r="R320" s="54"/>
      <c r="S320" s="55"/>
    </row>
    <row r="321" spans="11:19" x14ac:dyDescent="0.25">
      <c r="K321" s="58"/>
      <c r="L321" s="59"/>
      <c r="M321" s="54"/>
      <c r="N321" s="55"/>
      <c r="P321" s="58"/>
      <c r="Q321" s="59"/>
      <c r="R321" s="54"/>
      <c r="S321" s="55"/>
    </row>
    <row r="322" spans="11:19" x14ac:dyDescent="0.25">
      <c r="K322" s="58"/>
      <c r="L322" s="59"/>
      <c r="M322" s="54"/>
      <c r="N322" s="55"/>
      <c r="P322" s="58"/>
      <c r="Q322" s="59"/>
      <c r="R322" s="54"/>
      <c r="S322" s="55"/>
    </row>
    <row r="323" spans="11:19" x14ac:dyDescent="0.25">
      <c r="K323" s="58"/>
      <c r="L323" s="59"/>
      <c r="M323" s="54"/>
      <c r="N323" s="55"/>
      <c r="P323" s="58"/>
      <c r="Q323" s="59"/>
      <c r="R323" s="54"/>
      <c r="S323" s="55"/>
    </row>
    <row r="324" spans="11:19" x14ac:dyDescent="0.25">
      <c r="K324" s="58"/>
      <c r="L324" s="59"/>
      <c r="M324" s="54"/>
      <c r="N324" s="55"/>
      <c r="P324" s="58"/>
      <c r="Q324" s="59"/>
      <c r="R324" s="54"/>
      <c r="S324" s="55"/>
    </row>
    <row r="325" spans="11:19" x14ac:dyDescent="0.25">
      <c r="K325" s="58"/>
      <c r="L325" s="59"/>
      <c r="M325" s="54"/>
      <c r="N325" s="55"/>
      <c r="P325" s="58"/>
      <c r="Q325" s="59"/>
      <c r="R325" s="54"/>
      <c r="S325" s="55"/>
    </row>
    <row r="326" spans="11:19" x14ac:dyDescent="0.25">
      <c r="K326" s="58"/>
      <c r="L326" s="59"/>
      <c r="M326" s="54"/>
      <c r="N326" s="55"/>
      <c r="P326" s="58"/>
      <c r="Q326" s="59"/>
      <c r="R326" s="54"/>
      <c r="S326" s="55"/>
    </row>
    <row r="327" spans="11:19" x14ac:dyDescent="0.25">
      <c r="K327" s="58"/>
      <c r="L327" s="59"/>
      <c r="M327" s="54"/>
      <c r="N327" s="55"/>
      <c r="P327" s="58"/>
      <c r="Q327" s="59"/>
      <c r="R327" s="54"/>
      <c r="S327" s="55"/>
    </row>
    <row r="328" spans="11:19" x14ac:dyDescent="0.25">
      <c r="K328" s="58"/>
      <c r="L328" s="59"/>
      <c r="M328" s="54"/>
      <c r="N328" s="55"/>
      <c r="P328" s="58"/>
      <c r="Q328" s="59"/>
      <c r="R328" s="54"/>
      <c r="S328" s="55"/>
    </row>
    <row r="329" spans="11:19" x14ac:dyDescent="0.25">
      <c r="K329" s="58"/>
      <c r="L329" s="59"/>
      <c r="M329" s="54"/>
      <c r="N329" s="55"/>
      <c r="P329" s="58"/>
      <c r="Q329" s="59"/>
      <c r="R329" s="54"/>
      <c r="S329" s="55"/>
    </row>
    <row r="330" spans="11:19" x14ac:dyDescent="0.25">
      <c r="K330" s="58"/>
      <c r="L330" s="59"/>
      <c r="M330" s="54"/>
      <c r="N330" s="55"/>
      <c r="P330" s="58"/>
      <c r="Q330" s="59"/>
      <c r="R330" s="54"/>
      <c r="S330" s="55"/>
    </row>
    <row r="331" spans="11:19" x14ac:dyDescent="0.25">
      <c r="K331" s="58"/>
      <c r="L331" s="59"/>
      <c r="M331" s="54"/>
      <c r="N331" s="55"/>
      <c r="P331" s="58"/>
      <c r="Q331" s="59"/>
      <c r="R331" s="54"/>
      <c r="S331" s="55"/>
    </row>
    <row r="332" spans="11:19" x14ac:dyDescent="0.25">
      <c r="K332" s="58"/>
      <c r="L332" s="59"/>
      <c r="M332" s="54"/>
      <c r="N332" s="55"/>
      <c r="P332" s="58"/>
      <c r="Q332" s="59"/>
      <c r="R332" s="54"/>
      <c r="S332" s="55"/>
    </row>
    <row r="333" spans="11:19" x14ac:dyDescent="0.25">
      <c r="K333" s="58"/>
      <c r="L333" s="59"/>
      <c r="M333" s="54"/>
      <c r="N333" s="55"/>
      <c r="P333" s="58"/>
      <c r="Q333" s="59"/>
      <c r="R333" s="54"/>
      <c r="S333" s="55"/>
    </row>
    <row r="334" spans="11:19" x14ac:dyDescent="0.25">
      <c r="K334" s="58"/>
      <c r="L334" s="59"/>
      <c r="M334" s="54"/>
      <c r="N334" s="55"/>
      <c r="P334" s="58"/>
      <c r="Q334" s="59"/>
      <c r="R334" s="54"/>
      <c r="S334" s="55"/>
    </row>
    <row r="335" spans="11:19" x14ac:dyDescent="0.25">
      <c r="K335" s="58"/>
      <c r="L335" s="59"/>
      <c r="M335" s="54"/>
      <c r="N335" s="55"/>
      <c r="P335" s="58"/>
      <c r="Q335" s="59"/>
      <c r="R335" s="54"/>
      <c r="S335" s="55"/>
    </row>
    <row r="336" spans="11:19" x14ac:dyDescent="0.25">
      <c r="K336" s="58"/>
      <c r="L336" s="59"/>
      <c r="M336" s="54"/>
      <c r="N336" s="55"/>
      <c r="P336" s="58"/>
      <c r="Q336" s="59"/>
      <c r="R336" s="54"/>
      <c r="S336" s="55"/>
    </row>
    <row r="337" spans="11:19" x14ac:dyDescent="0.25">
      <c r="K337" s="58"/>
      <c r="L337" s="59"/>
      <c r="M337" s="54"/>
      <c r="N337" s="55"/>
      <c r="P337" s="58"/>
      <c r="Q337" s="59"/>
      <c r="R337" s="54"/>
      <c r="S337" s="55"/>
    </row>
    <row r="338" spans="11:19" x14ac:dyDescent="0.25">
      <c r="K338" s="58"/>
      <c r="L338" s="59"/>
      <c r="M338" s="54"/>
      <c r="N338" s="55"/>
      <c r="P338" s="58"/>
      <c r="Q338" s="59"/>
      <c r="R338" s="54"/>
      <c r="S338" s="55"/>
    </row>
    <row r="339" spans="11:19" x14ac:dyDescent="0.25">
      <c r="K339" s="58"/>
      <c r="L339" s="59"/>
      <c r="M339" s="54"/>
      <c r="N339" s="55"/>
      <c r="P339" s="58"/>
      <c r="Q339" s="59"/>
      <c r="R339" s="54"/>
      <c r="S339" s="55"/>
    </row>
    <row r="340" spans="11:19" x14ac:dyDescent="0.25">
      <c r="K340" s="58"/>
      <c r="L340" s="59"/>
      <c r="M340" s="54"/>
      <c r="N340" s="55"/>
      <c r="P340" s="58"/>
      <c r="Q340" s="59"/>
      <c r="R340" s="54"/>
      <c r="S340" s="55"/>
    </row>
    <row r="341" spans="11:19" x14ac:dyDescent="0.25">
      <c r="K341" s="58"/>
      <c r="L341" s="59"/>
      <c r="M341" s="54"/>
      <c r="N341" s="55"/>
      <c r="P341" s="58"/>
      <c r="Q341" s="59"/>
      <c r="R341" s="54"/>
      <c r="S341" s="55"/>
    </row>
    <row r="342" spans="11:19" x14ac:dyDescent="0.25">
      <c r="K342" s="58"/>
      <c r="L342" s="59"/>
      <c r="M342" s="54"/>
      <c r="N342" s="55"/>
      <c r="P342" s="58"/>
      <c r="Q342" s="59"/>
      <c r="R342" s="54"/>
      <c r="S342" s="55"/>
    </row>
    <row r="343" spans="11:19" x14ac:dyDescent="0.25">
      <c r="K343" s="58"/>
      <c r="L343" s="59"/>
      <c r="M343" s="54"/>
      <c r="N343" s="55"/>
      <c r="P343" s="58"/>
      <c r="Q343" s="59"/>
      <c r="R343" s="54"/>
      <c r="S343" s="55"/>
    </row>
    <row r="344" spans="11:19" x14ac:dyDescent="0.25">
      <c r="K344" s="58"/>
      <c r="L344" s="59"/>
      <c r="M344" s="54"/>
      <c r="N344" s="55"/>
      <c r="P344" s="58"/>
      <c r="Q344" s="59"/>
      <c r="R344" s="54"/>
      <c r="S344" s="55"/>
    </row>
    <row r="345" spans="11:19" x14ac:dyDescent="0.25">
      <c r="K345" s="58"/>
      <c r="L345" s="59"/>
      <c r="M345" s="54"/>
      <c r="N345" s="55"/>
      <c r="P345" s="58"/>
      <c r="Q345" s="59"/>
      <c r="R345" s="54"/>
      <c r="S345" s="55"/>
    </row>
    <row r="346" spans="11:19" x14ac:dyDescent="0.25">
      <c r="K346" s="58"/>
      <c r="L346" s="59"/>
      <c r="M346" s="54"/>
      <c r="N346" s="55"/>
      <c r="P346" s="58"/>
      <c r="Q346" s="59"/>
      <c r="R346" s="54"/>
      <c r="S346" s="55"/>
    </row>
    <row r="347" spans="11:19" x14ac:dyDescent="0.25">
      <c r="K347" s="58"/>
      <c r="L347" s="59"/>
      <c r="M347" s="54"/>
      <c r="N347" s="55"/>
      <c r="P347" s="58"/>
      <c r="Q347" s="59"/>
      <c r="R347" s="54"/>
      <c r="S347" s="55"/>
    </row>
    <row r="348" spans="11:19" ht="15.75" thickBot="1" x14ac:dyDescent="0.3">
      <c r="K348" s="60"/>
      <c r="L348" s="61"/>
      <c r="M348" s="56"/>
      <c r="N348" s="57"/>
      <c r="P348" s="60"/>
      <c r="Q348" s="61"/>
      <c r="R348" s="56"/>
      <c r="S348" s="57"/>
    </row>
  </sheetData>
  <mergeCells count="4">
    <mergeCell ref="A8:D8"/>
    <mergeCell ref="F8:I8"/>
    <mergeCell ref="K8:N8"/>
    <mergeCell ref="P8:S8"/>
  </mergeCells>
  <conditionalFormatting sqref="G3">
    <cfRule type="cellIs" dxfId="79" priority="5" operator="greaterThan">
      <formula>$J$4</formula>
    </cfRule>
  </conditionalFormatting>
  <conditionalFormatting sqref="T5">
    <cfRule type="cellIs" dxfId="78" priority="1" operator="greaterThan">
      <formula>$T$6</formula>
    </cfRule>
    <cfRule type="cellIs" dxfId="77" priority="4" operator="lessThan">
      <formula>$T$6</formula>
    </cfRule>
  </conditionalFormatting>
  <conditionalFormatting sqref="T6">
    <cfRule type="cellIs" dxfId="76" priority="2" operator="greaterThan">
      <formula>$T$5</formula>
    </cfRule>
    <cfRule type="cellIs" dxfId="75" priority="3" operator="lessThan">
      <formula>$T$5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D882E-FBA0-439B-8C64-FF9DA8E40D69}">
  <sheetPr codeName="Sheet37"/>
  <dimension ref="A1:T348"/>
  <sheetViews>
    <sheetView topLeftCell="C1" zoomScale="90" zoomScaleNormal="90" workbookViewId="0">
      <pane ySplit="9" topLeftCell="A10" activePane="bottomLeft" state="frozen"/>
      <selection pane="bottomLeft" activeCell="L20" sqref="L20"/>
    </sheetView>
  </sheetViews>
  <sheetFormatPr baseColWidth="10" defaultColWidth="9.140625" defaultRowHeight="15" x14ac:dyDescent="0.25"/>
  <cols>
    <col min="2" max="2" width="11.85546875" bestFit="1" customWidth="1"/>
    <col min="3" max="3" width="17.140625" bestFit="1" customWidth="1"/>
    <col min="4" max="4" width="14.5703125" customWidth="1"/>
    <col min="5" max="7" width="14.5703125" bestFit="1" customWidth="1"/>
    <col min="8" max="8" width="18.7109375" bestFit="1" customWidth="1"/>
    <col min="9" max="9" width="16.28515625" bestFit="1" customWidth="1"/>
    <col min="10" max="10" width="14" bestFit="1" customWidth="1"/>
    <col min="12" max="12" width="11.85546875" bestFit="1" customWidth="1"/>
    <col min="13" max="13" width="17.140625" bestFit="1" customWidth="1"/>
    <col min="14" max="14" width="14.42578125" bestFit="1" customWidth="1"/>
    <col min="15" max="15" width="8.7109375" customWidth="1"/>
    <col min="17" max="17" width="14.85546875" bestFit="1" customWidth="1"/>
    <col min="18" max="18" width="17.140625" bestFit="1" customWidth="1"/>
    <col min="19" max="19" width="14.85546875" bestFit="1" customWidth="1"/>
    <col min="20" max="20" width="12.42578125" bestFit="1" customWidth="1"/>
    <col min="22" max="23" width="14.5703125" bestFit="1" customWidth="1"/>
    <col min="24" max="24" width="15.85546875" bestFit="1" customWidth="1"/>
    <col min="26" max="26" width="15.85546875" bestFit="1" customWidth="1"/>
  </cols>
  <sheetData>
    <row r="1" spans="1:20" ht="15.75" thickBot="1" x14ac:dyDescent="0.3">
      <c r="C1" s="1" t="s">
        <v>0</v>
      </c>
      <c r="D1" s="2" t="s">
        <v>1</v>
      </c>
      <c r="E1" s="1" t="s">
        <v>2</v>
      </c>
      <c r="F1" s="2" t="s">
        <v>3</v>
      </c>
      <c r="G1" s="63" t="s">
        <v>4</v>
      </c>
      <c r="H1" s="81" t="s">
        <v>24</v>
      </c>
      <c r="I1" s="66" t="s">
        <v>5</v>
      </c>
      <c r="J1" s="3">
        <v>368</v>
      </c>
      <c r="M1" s="1" t="s">
        <v>5</v>
      </c>
      <c r="N1" s="4" t="s">
        <v>6</v>
      </c>
      <c r="P1" t="s">
        <v>0</v>
      </c>
      <c r="Q1">
        <f>SUM(E10:E54)</f>
        <v>6</v>
      </c>
      <c r="R1" t="s">
        <v>2</v>
      </c>
      <c r="S1">
        <f>(M3/M2)*Q1</f>
        <v>4</v>
      </c>
      <c r="T1">
        <f>S1-4</f>
        <v>0</v>
      </c>
    </row>
    <row r="2" spans="1:20" ht="15.75" thickBot="1" x14ac:dyDescent="0.3">
      <c r="B2" s="5" t="s">
        <v>7</v>
      </c>
      <c r="C2" s="6">
        <f>SUMPRODUCT(C10:C118,E10:E118)</f>
        <v>3985081</v>
      </c>
      <c r="D2" s="7">
        <f>SUMPRODUCT(H10:H118,J10:J118)</f>
        <v>559439.33333333326</v>
      </c>
      <c r="E2" s="6">
        <f>SUMPRODUCT(M10:M348,O10:O348)</f>
        <v>3221235</v>
      </c>
      <c r="F2" s="7">
        <f>SUMPRODUCT(R10:R348,T10:T348)</f>
        <v>1606829</v>
      </c>
      <c r="G2" s="64">
        <f>C2+D2+E2+F2</f>
        <v>9372584.3333333321</v>
      </c>
      <c r="H2" s="82">
        <v>24786935</v>
      </c>
      <c r="I2" s="67" t="s">
        <v>6</v>
      </c>
      <c r="J2" s="8">
        <v>334</v>
      </c>
      <c r="L2" s="5" t="s">
        <v>8</v>
      </c>
      <c r="M2" s="9">
        <v>0.6</v>
      </c>
      <c r="N2" s="10">
        <v>0.25</v>
      </c>
      <c r="P2" t="s">
        <v>3</v>
      </c>
      <c r="Q2">
        <f>SUM(T10:T64)</f>
        <v>2</v>
      </c>
      <c r="R2" t="s">
        <v>1</v>
      </c>
      <c r="S2">
        <f>(N2/N3)*Q2</f>
        <v>0.66666666666666663</v>
      </c>
    </row>
    <row r="3" spans="1:20" ht="15.75" thickBot="1" x14ac:dyDescent="0.3">
      <c r="B3" s="11" t="s">
        <v>9</v>
      </c>
      <c r="C3" s="12">
        <f>SUMPRODUCT(B10:B118,E10:E118)</f>
        <v>181.95652173913044</v>
      </c>
      <c r="D3" s="13">
        <f>SUMPRODUCT(G10:G118,J10:J118)</f>
        <v>22.275449101796404</v>
      </c>
      <c r="E3" s="12">
        <f>SUMPRODUCT(L10:L348,O10:O348)</f>
        <v>121.30434782608695</v>
      </c>
      <c r="F3" s="13">
        <f>SUMPRODUCT(Q10:Q348,T10:T348)</f>
        <v>66.82634730538922</v>
      </c>
      <c r="G3" s="65">
        <f>SUM(C3:F3)</f>
        <v>392.36266597240302</v>
      </c>
      <c r="H3" s="80">
        <f>(H2-G2)/G2</f>
        <v>1.6446211758101728</v>
      </c>
      <c r="I3" s="67" t="s">
        <v>10</v>
      </c>
      <c r="J3" s="8">
        <f>11160</f>
        <v>11160</v>
      </c>
      <c r="L3" s="14" t="s">
        <v>11</v>
      </c>
      <c r="M3" s="15">
        <v>0.4</v>
      </c>
      <c r="N3" s="16">
        <v>0.75</v>
      </c>
      <c r="P3" t="s">
        <v>0</v>
      </c>
      <c r="Q3">
        <v>1</v>
      </c>
      <c r="R3" t="s">
        <v>2</v>
      </c>
      <c r="S3">
        <f>(M3/M2)*Q3</f>
        <v>0.66666666666666674</v>
      </c>
    </row>
    <row r="4" spans="1:20" ht="15.75" thickBot="1" x14ac:dyDescent="0.3">
      <c r="B4" s="14" t="s">
        <v>12</v>
      </c>
      <c r="C4" s="17">
        <f>SUM(E10:E118)*J3</f>
        <v>66960</v>
      </c>
      <c r="D4" s="18">
        <f>SUM(J10:J118)*J3</f>
        <v>7440</v>
      </c>
      <c r="E4" s="17">
        <f>SUM(O10:O348)*J3</f>
        <v>44640</v>
      </c>
      <c r="F4" s="18">
        <f>SUM(T10:T348)*J3</f>
        <v>22320</v>
      </c>
      <c r="G4" s="19">
        <f>SUM(C4:F4)</f>
        <v>141360</v>
      </c>
      <c r="H4" s="20"/>
      <c r="I4" s="21" t="s">
        <v>13</v>
      </c>
      <c r="J4" s="22">
        <v>100000</v>
      </c>
      <c r="L4" s="5" t="s">
        <v>14</v>
      </c>
      <c r="M4" s="76">
        <f>C4/(C4+E4)</f>
        <v>0.6</v>
      </c>
      <c r="N4" s="77">
        <f>D4/(D4+F4)</f>
        <v>0.25</v>
      </c>
      <c r="O4" s="23"/>
      <c r="P4" t="s">
        <v>3</v>
      </c>
      <c r="Q4">
        <v>1</v>
      </c>
      <c r="R4" t="s">
        <v>1</v>
      </c>
      <c r="S4">
        <f>(N2/N3)*Q4</f>
        <v>0.33333333333333331</v>
      </c>
    </row>
    <row r="5" spans="1:20" ht="15.75" thickBot="1" x14ac:dyDescent="0.3">
      <c r="B5" s="24" t="s">
        <v>15</v>
      </c>
      <c r="C5" s="25">
        <v>217620</v>
      </c>
      <c r="D5" s="26">
        <v>74400</v>
      </c>
      <c r="E5" s="27">
        <v>145080</v>
      </c>
      <c r="F5" s="26">
        <v>223200</v>
      </c>
      <c r="G5" s="28">
        <f>SUM(C5:F5)</f>
        <v>660300</v>
      </c>
      <c r="H5" s="20"/>
      <c r="I5" s="20"/>
      <c r="L5" s="29" t="s">
        <v>16</v>
      </c>
      <c r="M5" s="78">
        <f>E4/(C4+E4)</f>
        <v>0.4</v>
      </c>
      <c r="N5" s="79">
        <f>F4/(D4+F4)</f>
        <v>0.75</v>
      </c>
      <c r="O5" s="23"/>
      <c r="P5" t="s">
        <v>0</v>
      </c>
      <c r="Q5" s="88">
        <v>15115.929749103943</v>
      </c>
      <c r="R5" t="s">
        <v>2</v>
      </c>
      <c r="S5" s="88">
        <v>24384.682437275987</v>
      </c>
      <c r="T5">
        <f>Q5*Q3+S5*S3</f>
        <v>31372.384707287936</v>
      </c>
    </row>
    <row r="6" spans="1:20" ht="15.75" thickBot="1" x14ac:dyDescent="0.3">
      <c r="B6" s="24" t="s">
        <v>17</v>
      </c>
      <c r="C6" s="27">
        <f>C5-C4</f>
        <v>150660</v>
      </c>
      <c r="D6" s="30">
        <f>D5-D4</f>
        <v>66960</v>
      </c>
      <c r="E6" s="27">
        <f>E5-E4</f>
        <v>100440</v>
      </c>
      <c r="F6" s="30">
        <f>F5-F4</f>
        <v>200880</v>
      </c>
      <c r="H6" s="20"/>
      <c r="I6" s="20"/>
      <c r="J6" s="62"/>
      <c r="N6" s="23"/>
      <c r="O6" s="23"/>
      <c r="P6" t="s">
        <v>3</v>
      </c>
      <c r="Q6" s="88">
        <v>23304.670430107526</v>
      </c>
      <c r="R6" t="s">
        <v>1</v>
      </c>
      <c r="S6" s="88">
        <v>25114.615232974909</v>
      </c>
      <c r="T6">
        <f>Q6*Q4+S6*S4</f>
        <v>31676.208841099164</v>
      </c>
    </row>
    <row r="7" spans="1:20" ht="15.75" thickBot="1" x14ac:dyDescent="0.3"/>
    <row r="8" spans="1:20" ht="15.75" thickBot="1" x14ac:dyDescent="0.3">
      <c r="A8" s="113" t="s">
        <v>18</v>
      </c>
      <c r="B8" s="114"/>
      <c r="C8" s="114"/>
      <c r="D8" s="115"/>
      <c r="E8" s="31"/>
      <c r="F8" s="113" t="s">
        <v>19</v>
      </c>
      <c r="G8" s="114"/>
      <c r="H8" s="114"/>
      <c r="I8" s="115"/>
      <c r="J8" s="31"/>
      <c r="K8" s="113" t="s">
        <v>20</v>
      </c>
      <c r="L8" s="114"/>
      <c r="M8" s="114"/>
      <c r="N8" s="115"/>
      <c r="O8" s="31"/>
      <c r="P8" s="113" t="s">
        <v>21</v>
      </c>
      <c r="Q8" s="114"/>
      <c r="R8" s="114"/>
      <c r="S8" s="115"/>
    </row>
    <row r="9" spans="1:20" ht="15.75" thickBot="1" x14ac:dyDescent="0.3">
      <c r="A9" s="32" t="s">
        <v>22</v>
      </c>
      <c r="B9" s="33" t="s">
        <v>9</v>
      </c>
      <c r="C9" s="33" t="s">
        <v>7</v>
      </c>
      <c r="D9" s="34" t="s">
        <v>23</v>
      </c>
      <c r="E9" s="31"/>
      <c r="F9" s="32" t="s">
        <v>22</v>
      </c>
      <c r="G9" s="33" t="s">
        <v>9</v>
      </c>
      <c r="H9" s="33" t="s">
        <v>7</v>
      </c>
      <c r="I9" s="34" t="s">
        <v>23</v>
      </c>
      <c r="J9" s="31"/>
      <c r="K9" s="32" t="s">
        <v>22</v>
      </c>
      <c r="L9" s="33" t="s">
        <v>9</v>
      </c>
      <c r="M9" s="33" t="s">
        <v>7</v>
      </c>
      <c r="N9" s="34" t="s">
        <v>23</v>
      </c>
      <c r="O9" s="31"/>
      <c r="P9" s="35" t="s">
        <v>22</v>
      </c>
      <c r="Q9" s="36" t="s">
        <v>9</v>
      </c>
      <c r="R9" s="36" t="s">
        <v>7</v>
      </c>
      <c r="S9" s="37" t="s">
        <v>23</v>
      </c>
    </row>
    <row r="10" spans="1:20" x14ac:dyDescent="0.25">
      <c r="A10" s="38">
        <v>15</v>
      </c>
      <c r="B10" s="39">
        <f>$J$3/$J$1</f>
        <v>30.326086956521738</v>
      </c>
      <c r="C10" s="40">
        <v>823261</v>
      </c>
      <c r="D10" s="41">
        <f>C10/B10</f>
        <v>27146.957706093192</v>
      </c>
      <c r="E10">
        <v>1</v>
      </c>
      <c r="F10" s="103">
        <v>9</v>
      </c>
      <c r="G10" s="104">
        <f>$J$3/$J$2</f>
        <v>33.41317365269461</v>
      </c>
      <c r="H10" s="105">
        <v>839159</v>
      </c>
      <c r="I10" s="106">
        <f>H10/G10</f>
        <v>25114.615232974909</v>
      </c>
      <c r="J10">
        <v>0.66666666666666663</v>
      </c>
      <c r="K10" s="38">
        <v>99</v>
      </c>
      <c r="L10" s="39">
        <f>$J$3/$J$1</f>
        <v>30.326086956521738</v>
      </c>
      <c r="M10" s="40">
        <v>891762</v>
      </c>
      <c r="N10" s="41">
        <f>M10/L10</f>
        <v>29405.772043010755</v>
      </c>
      <c r="O10">
        <v>1</v>
      </c>
      <c r="P10" s="42">
        <v>31</v>
      </c>
      <c r="Q10" s="43">
        <f>$J$3/$J$2</f>
        <v>33.41317365269461</v>
      </c>
      <c r="R10" s="44">
        <v>828146</v>
      </c>
      <c r="S10" s="45">
        <f>R10/Q10</f>
        <v>24785.014695340502</v>
      </c>
      <c r="T10">
        <v>1</v>
      </c>
    </row>
    <row r="11" spans="1:20" x14ac:dyDescent="0.25">
      <c r="A11" s="46">
        <v>4</v>
      </c>
      <c r="B11" s="39">
        <f t="shared" ref="B11:B54" si="0">$J$3/$J$1</f>
        <v>30.326086956521738</v>
      </c>
      <c r="C11" s="47">
        <v>748702</v>
      </c>
      <c r="D11" s="41">
        <f t="shared" ref="D11:D54" si="1">C11/B11</f>
        <v>24688.381362007171</v>
      </c>
      <c r="E11">
        <v>1</v>
      </c>
      <c r="F11" s="58">
        <v>1</v>
      </c>
      <c r="G11" s="68">
        <f t="shared" ref="G11:G54" si="2">$J$3/$J$2</f>
        <v>33.41317365269461</v>
      </c>
      <c r="H11" s="54">
        <v>816679</v>
      </c>
      <c r="I11" s="69">
        <f t="shared" ref="I11:I54" si="3">H11/G11</f>
        <v>24441.826702508963</v>
      </c>
      <c r="K11" s="46">
        <v>22</v>
      </c>
      <c r="L11" s="39">
        <f t="shared" ref="L11:L64" si="4">$J$3/$J$1</f>
        <v>30.326086956521738</v>
      </c>
      <c r="M11" s="47">
        <v>787867</v>
      </c>
      <c r="N11" s="41">
        <f t="shared" ref="N11:N64" si="5">M11/L11</f>
        <v>25979.843727598567</v>
      </c>
      <c r="O11">
        <v>1</v>
      </c>
      <c r="P11" s="48">
        <v>95</v>
      </c>
      <c r="Q11" s="43">
        <f t="shared" ref="Q11:Q64" si="6">$J$3/$J$2</f>
        <v>33.41317365269461</v>
      </c>
      <c r="R11" s="49">
        <v>778683</v>
      </c>
      <c r="S11" s="45">
        <f t="shared" ref="S11:S64" si="7">R11/Q11</f>
        <v>23304.670430107526</v>
      </c>
      <c r="T11">
        <v>1</v>
      </c>
    </row>
    <row r="12" spans="1:20" x14ac:dyDescent="0.25">
      <c r="A12" s="46">
        <v>75</v>
      </c>
      <c r="B12" s="39">
        <f t="shared" si="0"/>
        <v>30.326086956521738</v>
      </c>
      <c r="C12" s="47">
        <v>700923</v>
      </c>
      <c r="D12" s="41">
        <f t="shared" si="1"/>
        <v>23112.873118279571</v>
      </c>
      <c r="E12">
        <v>1</v>
      </c>
      <c r="F12" s="58">
        <v>3</v>
      </c>
      <c r="G12" s="68">
        <f t="shared" si="2"/>
        <v>33.41317365269461</v>
      </c>
      <c r="H12" s="54">
        <v>637399</v>
      </c>
      <c r="I12" s="69">
        <f t="shared" si="3"/>
        <v>19076.278315412186</v>
      </c>
      <c r="K12" s="46">
        <v>83</v>
      </c>
      <c r="L12" s="39">
        <f t="shared" si="4"/>
        <v>30.326086956521738</v>
      </c>
      <c r="M12" s="47">
        <v>776669</v>
      </c>
      <c r="N12" s="41">
        <f t="shared" si="5"/>
        <v>25610.590681003585</v>
      </c>
      <c r="O12">
        <v>1</v>
      </c>
      <c r="P12" s="58">
        <v>32</v>
      </c>
      <c r="Q12" s="68">
        <f t="shared" si="6"/>
        <v>33.41317365269461</v>
      </c>
      <c r="R12" s="54">
        <v>742165</v>
      </c>
      <c r="S12" s="69">
        <f t="shared" si="7"/>
        <v>22211.748207885306</v>
      </c>
    </row>
    <row r="13" spans="1:20" x14ac:dyDescent="0.25">
      <c r="A13" s="46">
        <v>61</v>
      </c>
      <c r="B13" s="39">
        <f t="shared" si="0"/>
        <v>30.326086956521738</v>
      </c>
      <c r="C13" s="47">
        <v>594344</v>
      </c>
      <c r="D13" s="41">
        <f t="shared" si="1"/>
        <v>19598.440143369175</v>
      </c>
      <c r="E13">
        <v>1</v>
      </c>
      <c r="F13" s="58">
        <v>89</v>
      </c>
      <c r="G13" s="68">
        <f t="shared" si="2"/>
        <v>33.41317365269461</v>
      </c>
      <c r="H13" s="54">
        <v>626952</v>
      </c>
      <c r="I13" s="69">
        <f t="shared" si="3"/>
        <v>18763.617204301077</v>
      </c>
      <c r="K13" s="46">
        <v>57</v>
      </c>
      <c r="L13" s="39">
        <f t="shared" si="4"/>
        <v>30.326086956521738</v>
      </c>
      <c r="M13" s="47">
        <v>764937</v>
      </c>
      <c r="N13" s="41">
        <f t="shared" si="5"/>
        <v>25223.729032258067</v>
      </c>
      <c r="O13">
        <v>1</v>
      </c>
      <c r="P13" s="58">
        <v>86</v>
      </c>
      <c r="Q13" s="68">
        <f t="shared" si="6"/>
        <v>33.41317365269461</v>
      </c>
      <c r="R13" s="54">
        <v>708838</v>
      </c>
      <c r="S13" s="69">
        <f t="shared" si="7"/>
        <v>21214.327240143371</v>
      </c>
    </row>
    <row r="14" spans="1:20" x14ac:dyDescent="0.25">
      <c r="A14" s="46">
        <v>2</v>
      </c>
      <c r="B14" s="39">
        <f t="shared" si="0"/>
        <v>30.326086956521738</v>
      </c>
      <c r="C14" s="47">
        <v>573963</v>
      </c>
      <c r="D14" s="41">
        <f t="shared" si="1"/>
        <v>18926.378494623656</v>
      </c>
      <c r="E14">
        <v>1</v>
      </c>
      <c r="F14" s="58">
        <v>74</v>
      </c>
      <c r="G14" s="68">
        <f t="shared" si="2"/>
        <v>33.41317365269461</v>
      </c>
      <c r="H14" s="54">
        <v>528188</v>
      </c>
      <c r="I14" s="69">
        <f t="shared" si="3"/>
        <v>15807.7770609319</v>
      </c>
      <c r="K14" s="58">
        <v>33</v>
      </c>
      <c r="L14" s="68">
        <f t="shared" si="4"/>
        <v>30.326086956521738</v>
      </c>
      <c r="M14" s="54">
        <v>739492</v>
      </c>
      <c r="N14" s="69">
        <f t="shared" si="5"/>
        <v>24384.682437275987</v>
      </c>
      <c r="P14" s="58">
        <v>44</v>
      </c>
      <c r="Q14" s="68">
        <f t="shared" si="6"/>
        <v>33.41317365269461</v>
      </c>
      <c r="R14" s="54">
        <v>644475</v>
      </c>
      <c r="S14" s="69">
        <f t="shared" si="7"/>
        <v>19288.051075268817</v>
      </c>
    </row>
    <row r="15" spans="1:20" x14ac:dyDescent="0.25">
      <c r="A15" s="46">
        <v>66</v>
      </c>
      <c r="B15" s="39">
        <f t="shared" si="0"/>
        <v>30.326086956521738</v>
      </c>
      <c r="C15" s="47">
        <v>543888</v>
      </c>
      <c r="D15" s="41">
        <f t="shared" si="1"/>
        <v>17934.65806451613</v>
      </c>
      <c r="E15">
        <v>1</v>
      </c>
      <c r="F15" s="58">
        <v>7</v>
      </c>
      <c r="G15" s="68">
        <f t="shared" si="2"/>
        <v>33.41317365269461</v>
      </c>
      <c r="H15" s="54">
        <v>517706</v>
      </c>
      <c r="I15" s="69">
        <f t="shared" si="3"/>
        <v>15494.068458781363</v>
      </c>
      <c r="K15" s="58">
        <v>34</v>
      </c>
      <c r="L15" s="68">
        <f t="shared" si="4"/>
        <v>30.326086956521738</v>
      </c>
      <c r="M15" s="54">
        <v>706466</v>
      </c>
      <c r="N15" s="69">
        <f t="shared" si="5"/>
        <v>23295.653046594984</v>
      </c>
      <c r="P15" s="58">
        <v>43</v>
      </c>
      <c r="Q15" s="68">
        <f t="shared" si="6"/>
        <v>33.41317365269461</v>
      </c>
      <c r="R15" s="54">
        <v>600711</v>
      </c>
      <c r="S15" s="69">
        <f t="shared" si="7"/>
        <v>17978.268279569893</v>
      </c>
    </row>
    <row r="16" spans="1:20" x14ac:dyDescent="0.25">
      <c r="A16" s="107">
        <v>9</v>
      </c>
      <c r="B16" s="104">
        <f t="shared" si="0"/>
        <v>30.326086956521738</v>
      </c>
      <c r="C16" s="108">
        <v>458407</v>
      </c>
      <c r="D16" s="106">
        <f t="shared" si="1"/>
        <v>15115.929749103943</v>
      </c>
      <c r="F16" s="58">
        <v>16</v>
      </c>
      <c r="G16" s="68">
        <f t="shared" si="2"/>
        <v>33.41317365269461</v>
      </c>
      <c r="H16" s="54">
        <v>471825</v>
      </c>
      <c r="I16" s="69">
        <f t="shared" si="3"/>
        <v>14120.927419354839</v>
      </c>
      <c r="K16" s="58">
        <v>54</v>
      </c>
      <c r="L16" s="68">
        <f t="shared" si="4"/>
        <v>30.326086956521738</v>
      </c>
      <c r="M16" s="54">
        <v>704680</v>
      </c>
      <c r="N16" s="69">
        <f t="shared" si="5"/>
        <v>23236.759856630826</v>
      </c>
      <c r="P16" s="58">
        <v>54</v>
      </c>
      <c r="Q16" s="68">
        <f t="shared" si="6"/>
        <v>33.41317365269461</v>
      </c>
      <c r="R16" s="54">
        <v>600526</v>
      </c>
      <c r="S16" s="69">
        <f t="shared" si="7"/>
        <v>17972.73154121864</v>
      </c>
    </row>
    <row r="17" spans="1:20" x14ac:dyDescent="0.25">
      <c r="A17" s="58">
        <v>6</v>
      </c>
      <c r="B17" s="68">
        <f t="shared" si="0"/>
        <v>30.326086956521738</v>
      </c>
      <c r="C17" s="54">
        <v>413342</v>
      </c>
      <c r="D17" s="69">
        <f t="shared" si="1"/>
        <v>13629.915412186379</v>
      </c>
      <c r="F17" s="58">
        <v>20</v>
      </c>
      <c r="G17" s="68">
        <f t="shared" si="2"/>
        <v>33.41317365269461</v>
      </c>
      <c r="H17" s="54">
        <v>465526</v>
      </c>
      <c r="I17" s="69">
        <f t="shared" si="3"/>
        <v>13932.408960573477</v>
      </c>
      <c r="K17" s="58">
        <v>46</v>
      </c>
      <c r="L17" s="68">
        <f t="shared" si="4"/>
        <v>30.326086956521738</v>
      </c>
      <c r="M17" s="54">
        <v>647685</v>
      </c>
      <c r="N17" s="69">
        <f t="shared" si="5"/>
        <v>21357.354838709678</v>
      </c>
      <c r="P17" s="58">
        <v>33</v>
      </c>
      <c r="Q17" s="68">
        <f t="shared" si="6"/>
        <v>33.41317365269461</v>
      </c>
      <c r="R17" s="54">
        <v>533105</v>
      </c>
      <c r="S17" s="69">
        <f t="shared" si="7"/>
        <v>15954.934587813621</v>
      </c>
    </row>
    <row r="18" spans="1:20" x14ac:dyDescent="0.25">
      <c r="A18" s="58">
        <v>90</v>
      </c>
      <c r="B18" s="68">
        <f t="shared" si="0"/>
        <v>30.326086956521738</v>
      </c>
      <c r="C18" s="54">
        <v>390167</v>
      </c>
      <c r="D18" s="69">
        <f t="shared" si="1"/>
        <v>12865.721863799283</v>
      </c>
      <c r="F18" s="58">
        <v>71</v>
      </c>
      <c r="G18" s="68">
        <f t="shared" si="2"/>
        <v>33.41317365269461</v>
      </c>
      <c r="H18" s="54">
        <v>459240</v>
      </c>
      <c r="I18" s="69">
        <f t="shared" si="3"/>
        <v>13744.279569892473</v>
      </c>
      <c r="K18" s="58">
        <v>35</v>
      </c>
      <c r="L18" s="68">
        <f t="shared" si="4"/>
        <v>30.326086956521738</v>
      </c>
      <c r="M18" s="54">
        <v>520964</v>
      </c>
      <c r="N18" s="69">
        <f t="shared" si="5"/>
        <v>17178.741218637992</v>
      </c>
      <c r="P18" s="58">
        <v>29</v>
      </c>
      <c r="Q18" s="68">
        <f t="shared" si="6"/>
        <v>33.41317365269461</v>
      </c>
      <c r="R18" s="54">
        <v>466819</v>
      </c>
      <c r="S18" s="69">
        <f t="shared" si="7"/>
        <v>13971.106272401434</v>
      </c>
    </row>
    <row r="19" spans="1:20" x14ac:dyDescent="0.25">
      <c r="A19" s="58">
        <v>10</v>
      </c>
      <c r="B19" s="68">
        <f t="shared" si="0"/>
        <v>30.326086956521738</v>
      </c>
      <c r="C19" s="54">
        <v>374487</v>
      </c>
      <c r="D19" s="69">
        <f t="shared" si="1"/>
        <v>12348.675268817206</v>
      </c>
      <c r="F19" s="58">
        <v>73</v>
      </c>
      <c r="G19" s="68">
        <f t="shared" si="2"/>
        <v>33.41317365269461</v>
      </c>
      <c r="H19" s="54">
        <v>435675</v>
      </c>
      <c r="I19" s="69">
        <f t="shared" si="3"/>
        <v>13039.018817204302</v>
      </c>
      <c r="K19" s="58">
        <v>28</v>
      </c>
      <c r="L19" s="68">
        <f t="shared" si="4"/>
        <v>30.326086956521738</v>
      </c>
      <c r="M19" s="54">
        <v>485282</v>
      </c>
      <c r="N19" s="69">
        <f t="shared" si="5"/>
        <v>16002.130465949822</v>
      </c>
      <c r="P19" s="58">
        <v>39</v>
      </c>
      <c r="Q19" s="68">
        <f t="shared" si="6"/>
        <v>33.41317365269461</v>
      </c>
      <c r="R19" s="54">
        <v>443533</v>
      </c>
      <c r="S19" s="69">
        <f t="shared" si="7"/>
        <v>13274.195519713261</v>
      </c>
    </row>
    <row r="20" spans="1:20" x14ac:dyDescent="0.25">
      <c r="A20" s="58">
        <v>72</v>
      </c>
      <c r="B20" s="68">
        <f t="shared" si="0"/>
        <v>30.326086956521738</v>
      </c>
      <c r="C20" s="54">
        <v>339217</v>
      </c>
      <c r="D20" s="69">
        <f t="shared" si="1"/>
        <v>11185.65017921147</v>
      </c>
      <c r="F20" s="95">
        <v>4</v>
      </c>
      <c r="G20" s="96">
        <f t="shared" si="2"/>
        <v>33.41317365269461</v>
      </c>
      <c r="H20" s="97">
        <v>435251</v>
      </c>
      <c r="I20" s="98">
        <f t="shared" si="3"/>
        <v>13026.329211469534</v>
      </c>
      <c r="J20">
        <v>0</v>
      </c>
      <c r="K20" s="58">
        <v>25</v>
      </c>
      <c r="L20" s="68">
        <f t="shared" si="4"/>
        <v>30.326086956521738</v>
      </c>
      <c r="M20" s="54">
        <v>428682</v>
      </c>
      <c r="N20" s="69">
        <f t="shared" si="5"/>
        <v>14135.750537634409</v>
      </c>
      <c r="P20" s="58">
        <v>85</v>
      </c>
      <c r="Q20" s="68">
        <f t="shared" si="6"/>
        <v>33.41317365269461</v>
      </c>
      <c r="R20" s="54">
        <v>400656</v>
      </c>
      <c r="S20" s="69">
        <f t="shared" si="7"/>
        <v>11990.959139784947</v>
      </c>
    </row>
    <row r="21" spans="1:20" x14ac:dyDescent="0.25">
      <c r="A21" s="58">
        <v>63</v>
      </c>
      <c r="B21" s="68">
        <f t="shared" si="0"/>
        <v>30.326086956521738</v>
      </c>
      <c r="C21" s="54">
        <v>148379</v>
      </c>
      <c r="D21" s="69">
        <f t="shared" si="1"/>
        <v>4892.7842293906815</v>
      </c>
      <c r="F21" s="58">
        <v>58</v>
      </c>
      <c r="G21" s="68">
        <f t="shared" si="2"/>
        <v>33.41317365269461</v>
      </c>
      <c r="H21" s="54">
        <v>425212</v>
      </c>
      <c r="I21" s="69">
        <f t="shared" si="3"/>
        <v>12725.878853046595</v>
      </c>
      <c r="K21" s="58">
        <v>53</v>
      </c>
      <c r="L21" s="68">
        <f t="shared" si="4"/>
        <v>30.326086956521738</v>
      </c>
      <c r="M21" s="54">
        <v>427876</v>
      </c>
      <c r="N21" s="69">
        <f t="shared" si="5"/>
        <v>14109.17275985663</v>
      </c>
      <c r="P21" s="58">
        <v>51</v>
      </c>
      <c r="Q21" s="68">
        <f t="shared" si="6"/>
        <v>33.41317365269461</v>
      </c>
      <c r="R21" s="54">
        <v>295735</v>
      </c>
      <c r="S21" s="69">
        <f t="shared" si="7"/>
        <v>8850.8503584229402</v>
      </c>
    </row>
    <row r="22" spans="1:20" x14ac:dyDescent="0.25">
      <c r="A22" s="58">
        <v>5</v>
      </c>
      <c r="B22" s="68">
        <f t="shared" si="0"/>
        <v>30.326086956521738</v>
      </c>
      <c r="C22" s="54">
        <v>135603</v>
      </c>
      <c r="D22" s="69">
        <f t="shared" si="1"/>
        <v>4471.4967741935488</v>
      </c>
      <c r="F22" s="58">
        <v>69</v>
      </c>
      <c r="G22" s="68">
        <f t="shared" si="2"/>
        <v>33.41317365269461</v>
      </c>
      <c r="H22" s="54">
        <v>301059</v>
      </c>
      <c r="I22" s="69">
        <f t="shared" si="3"/>
        <v>9010.188709677419</v>
      </c>
      <c r="K22" s="58">
        <v>30</v>
      </c>
      <c r="L22" s="68">
        <f t="shared" si="4"/>
        <v>30.326086956521738</v>
      </c>
      <c r="M22" s="54">
        <v>412457</v>
      </c>
      <c r="N22" s="69">
        <f t="shared" si="5"/>
        <v>13600.732616487456</v>
      </c>
      <c r="P22" s="58">
        <v>84</v>
      </c>
      <c r="Q22" s="68">
        <f t="shared" si="6"/>
        <v>33.41317365269461</v>
      </c>
      <c r="R22" s="54">
        <v>277116</v>
      </c>
      <c r="S22" s="69">
        <f t="shared" si="7"/>
        <v>8293.6150537634403</v>
      </c>
    </row>
    <row r="23" spans="1:20" x14ac:dyDescent="0.25">
      <c r="A23" s="58">
        <v>89</v>
      </c>
      <c r="B23" s="68">
        <f t="shared" si="0"/>
        <v>30.326086956521738</v>
      </c>
      <c r="C23" s="54">
        <v>43767</v>
      </c>
      <c r="D23" s="69">
        <f t="shared" si="1"/>
        <v>1443.2129032258065</v>
      </c>
      <c r="F23" s="58">
        <v>91</v>
      </c>
      <c r="G23" s="68">
        <f t="shared" si="2"/>
        <v>33.41317365269461</v>
      </c>
      <c r="H23" s="54">
        <v>248437</v>
      </c>
      <c r="I23" s="69">
        <f t="shared" si="3"/>
        <v>7435.3008960573479</v>
      </c>
      <c r="K23" s="58">
        <v>45</v>
      </c>
      <c r="L23" s="68">
        <f t="shared" si="4"/>
        <v>30.326086956521738</v>
      </c>
      <c r="M23" s="54">
        <v>411553</v>
      </c>
      <c r="N23" s="69">
        <f t="shared" si="5"/>
        <v>13570.923297491039</v>
      </c>
      <c r="P23" s="58">
        <v>100</v>
      </c>
      <c r="Q23" s="68">
        <f t="shared" si="6"/>
        <v>33.41317365269461</v>
      </c>
      <c r="R23" s="54">
        <v>196154</v>
      </c>
      <c r="S23" s="69">
        <f t="shared" si="7"/>
        <v>5870.5587813620077</v>
      </c>
    </row>
    <row r="24" spans="1:20" x14ac:dyDescent="0.25">
      <c r="A24" s="58">
        <v>8</v>
      </c>
      <c r="B24" s="68">
        <f t="shared" si="0"/>
        <v>30.326086956521738</v>
      </c>
      <c r="C24" s="54">
        <v>-31569</v>
      </c>
      <c r="D24" s="69">
        <f t="shared" si="1"/>
        <v>-1040.9849462365592</v>
      </c>
      <c r="F24" s="95">
        <v>75</v>
      </c>
      <c r="G24" s="96">
        <f t="shared" si="2"/>
        <v>33.41317365269461</v>
      </c>
      <c r="H24" s="97">
        <v>241104</v>
      </c>
      <c r="I24" s="98">
        <f t="shared" si="3"/>
        <v>7215.8365591397851</v>
      </c>
      <c r="J24">
        <v>0</v>
      </c>
      <c r="K24" s="58">
        <v>43</v>
      </c>
      <c r="L24" s="68">
        <f t="shared" si="4"/>
        <v>30.326086956521738</v>
      </c>
      <c r="M24" s="54">
        <v>287718</v>
      </c>
      <c r="N24" s="69">
        <f t="shared" si="5"/>
        <v>9487.4752688172048</v>
      </c>
      <c r="P24" s="58">
        <v>56</v>
      </c>
      <c r="Q24" s="68">
        <f t="shared" si="6"/>
        <v>33.41317365269461</v>
      </c>
      <c r="R24" s="54">
        <v>175558</v>
      </c>
      <c r="S24" s="69">
        <f t="shared" si="7"/>
        <v>5254.1551971326162</v>
      </c>
    </row>
    <row r="25" spans="1:20" x14ac:dyDescent="0.25">
      <c r="A25" s="58">
        <v>62</v>
      </c>
      <c r="B25" s="68">
        <f t="shared" si="0"/>
        <v>30.326086956521738</v>
      </c>
      <c r="C25" s="54">
        <v>-50310</v>
      </c>
      <c r="D25" s="69">
        <f t="shared" si="1"/>
        <v>-1658.9677419354839</v>
      </c>
      <c r="F25" s="58">
        <v>21</v>
      </c>
      <c r="G25" s="68">
        <f t="shared" si="2"/>
        <v>33.41317365269461</v>
      </c>
      <c r="H25" s="54">
        <v>182068</v>
      </c>
      <c r="I25" s="69">
        <f t="shared" si="3"/>
        <v>5448.9885304659501</v>
      </c>
      <c r="K25" s="58">
        <v>47</v>
      </c>
      <c r="L25" s="68">
        <f t="shared" si="4"/>
        <v>30.326086956521738</v>
      </c>
      <c r="M25" s="54">
        <v>244892</v>
      </c>
      <c r="N25" s="69">
        <f t="shared" si="5"/>
        <v>8075.2917562724015</v>
      </c>
      <c r="P25" s="58">
        <v>24</v>
      </c>
      <c r="Q25" s="68">
        <f t="shared" si="6"/>
        <v>33.41317365269461</v>
      </c>
      <c r="R25" s="54">
        <v>71007</v>
      </c>
      <c r="S25" s="69">
        <f t="shared" si="7"/>
        <v>2125.1198924731184</v>
      </c>
    </row>
    <row r="26" spans="1:20" x14ac:dyDescent="0.25">
      <c r="A26" s="58">
        <v>20</v>
      </c>
      <c r="B26" s="68">
        <f t="shared" si="0"/>
        <v>30.326086956521738</v>
      </c>
      <c r="C26" s="54">
        <v>-55320</v>
      </c>
      <c r="D26" s="69">
        <f t="shared" si="1"/>
        <v>-1824.1720430107528</v>
      </c>
      <c r="F26" s="58">
        <v>59</v>
      </c>
      <c r="G26" s="68">
        <f t="shared" si="2"/>
        <v>33.41317365269461</v>
      </c>
      <c r="H26" s="54">
        <v>167225</v>
      </c>
      <c r="I26" s="69">
        <f t="shared" si="3"/>
        <v>5004.7625448028675</v>
      </c>
      <c r="K26" s="58">
        <v>27</v>
      </c>
      <c r="L26" s="68">
        <f t="shared" si="4"/>
        <v>30.326086956521738</v>
      </c>
      <c r="M26" s="54">
        <v>217246</v>
      </c>
      <c r="N26" s="69">
        <f t="shared" si="5"/>
        <v>7163.6673835125448</v>
      </c>
      <c r="P26" s="58">
        <v>94</v>
      </c>
      <c r="Q26" s="68">
        <f t="shared" si="6"/>
        <v>33.41317365269461</v>
      </c>
      <c r="R26" s="54">
        <v>48569</v>
      </c>
      <c r="S26" s="69">
        <f t="shared" si="7"/>
        <v>1453.5883512544804</v>
      </c>
    </row>
    <row r="27" spans="1:20" x14ac:dyDescent="0.25">
      <c r="A27" s="58">
        <v>14</v>
      </c>
      <c r="B27" s="68">
        <f t="shared" si="0"/>
        <v>30.326086956521738</v>
      </c>
      <c r="C27" s="54">
        <v>-99929</v>
      </c>
      <c r="D27" s="69">
        <f t="shared" si="1"/>
        <v>-3295.1498207885306</v>
      </c>
      <c r="F27" s="58">
        <v>63</v>
      </c>
      <c r="G27" s="68">
        <f t="shared" si="2"/>
        <v>33.41317365269461</v>
      </c>
      <c r="H27" s="54">
        <v>-59023</v>
      </c>
      <c r="I27" s="69">
        <f t="shared" si="3"/>
        <v>-1766.4589605734768</v>
      </c>
      <c r="K27" s="58">
        <v>98</v>
      </c>
      <c r="L27" s="68">
        <f t="shared" si="4"/>
        <v>30.326086956521738</v>
      </c>
      <c r="M27" s="54">
        <v>186371</v>
      </c>
      <c r="N27" s="69">
        <f t="shared" si="5"/>
        <v>6145.5670250896055</v>
      </c>
      <c r="P27" s="58">
        <v>98</v>
      </c>
      <c r="Q27" s="68">
        <f t="shared" si="6"/>
        <v>33.41317365269461</v>
      </c>
      <c r="R27" s="54">
        <v>42432</v>
      </c>
      <c r="S27" s="69">
        <f t="shared" si="7"/>
        <v>1269.9182795698925</v>
      </c>
    </row>
    <row r="28" spans="1:20" x14ac:dyDescent="0.25">
      <c r="A28" s="58">
        <v>59</v>
      </c>
      <c r="B28" s="68">
        <f t="shared" si="0"/>
        <v>30.326086956521738</v>
      </c>
      <c r="C28" s="54">
        <v>-120499</v>
      </c>
      <c r="D28" s="69">
        <f t="shared" si="1"/>
        <v>-3973.4437275985665</v>
      </c>
      <c r="F28" s="58">
        <v>70</v>
      </c>
      <c r="G28" s="68">
        <f t="shared" si="2"/>
        <v>33.41317365269461</v>
      </c>
      <c r="H28" s="54">
        <v>-82956</v>
      </c>
      <c r="I28" s="69">
        <f t="shared" si="3"/>
        <v>-2482.7333333333336</v>
      </c>
      <c r="K28" s="58">
        <v>82</v>
      </c>
      <c r="L28" s="68">
        <f t="shared" si="4"/>
        <v>30.326086956521738</v>
      </c>
      <c r="M28" s="54">
        <v>157735</v>
      </c>
      <c r="N28" s="69">
        <f t="shared" si="5"/>
        <v>5201.2974910394269</v>
      </c>
      <c r="P28" s="58">
        <v>79</v>
      </c>
      <c r="Q28" s="68">
        <f t="shared" si="6"/>
        <v>33.41317365269461</v>
      </c>
      <c r="R28" s="54">
        <v>-17472</v>
      </c>
      <c r="S28" s="69">
        <f t="shared" si="7"/>
        <v>-522.9075268817204</v>
      </c>
    </row>
    <row r="29" spans="1:20" x14ac:dyDescent="0.25">
      <c r="A29" s="58">
        <v>11</v>
      </c>
      <c r="B29" s="68">
        <f t="shared" si="0"/>
        <v>30.326086956521738</v>
      </c>
      <c r="C29" s="54">
        <v>-150180</v>
      </c>
      <c r="D29" s="69">
        <f t="shared" si="1"/>
        <v>-4952.1720430107525</v>
      </c>
      <c r="F29" s="58">
        <v>64</v>
      </c>
      <c r="G29" s="68">
        <f t="shared" si="2"/>
        <v>33.41317365269461</v>
      </c>
      <c r="H29" s="54">
        <v>-163863</v>
      </c>
      <c r="I29" s="69">
        <f t="shared" si="3"/>
        <v>-4904.1435483870973</v>
      </c>
      <c r="K29" s="58">
        <v>39</v>
      </c>
      <c r="L29" s="68">
        <f t="shared" si="4"/>
        <v>30.326086956521738</v>
      </c>
      <c r="M29" s="54">
        <v>75371</v>
      </c>
      <c r="N29" s="69">
        <f t="shared" si="5"/>
        <v>2485.3519713261649</v>
      </c>
      <c r="P29" s="58">
        <v>30</v>
      </c>
      <c r="Q29" s="68">
        <f t="shared" si="6"/>
        <v>33.41317365269461</v>
      </c>
      <c r="R29" s="54">
        <v>-18899</v>
      </c>
      <c r="S29" s="69">
        <f t="shared" si="7"/>
        <v>-565.61523297491044</v>
      </c>
    </row>
    <row r="30" spans="1:20" x14ac:dyDescent="0.25">
      <c r="A30" s="58">
        <v>19</v>
      </c>
      <c r="B30" s="68">
        <f t="shared" si="0"/>
        <v>30.326086956521738</v>
      </c>
      <c r="C30" s="54">
        <v>-212225</v>
      </c>
      <c r="D30" s="69">
        <f t="shared" si="1"/>
        <v>-6998.1003584229393</v>
      </c>
      <c r="F30" s="58">
        <v>8</v>
      </c>
      <c r="G30" s="68">
        <f t="shared" si="2"/>
        <v>33.41317365269461</v>
      </c>
      <c r="H30" s="54">
        <v>-187009</v>
      </c>
      <c r="I30" s="69">
        <f t="shared" si="3"/>
        <v>-5596.8643369175625</v>
      </c>
      <c r="K30" s="58">
        <v>79</v>
      </c>
      <c r="L30" s="68">
        <f t="shared" si="4"/>
        <v>30.326086956521738</v>
      </c>
      <c r="M30" s="54">
        <v>42924</v>
      </c>
      <c r="N30" s="69">
        <f t="shared" si="5"/>
        <v>1415.4150537634409</v>
      </c>
      <c r="P30" s="95">
        <v>99</v>
      </c>
      <c r="Q30" s="96">
        <f t="shared" si="6"/>
        <v>33.41317365269461</v>
      </c>
      <c r="R30" s="97">
        <v>-53380</v>
      </c>
      <c r="S30" s="98">
        <f t="shared" si="7"/>
        <v>-1597.573476702509</v>
      </c>
      <c r="T30">
        <v>0</v>
      </c>
    </row>
    <row r="31" spans="1:20" x14ac:dyDescent="0.25">
      <c r="A31" s="58">
        <v>7</v>
      </c>
      <c r="B31" s="68">
        <f t="shared" si="0"/>
        <v>30.326086956521738</v>
      </c>
      <c r="C31" s="54">
        <v>-425925</v>
      </c>
      <c r="D31" s="69">
        <f t="shared" si="1"/>
        <v>-14044.83870967742</v>
      </c>
      <c r="F31" s="95">
        <v>61</v>
      </c>
      <c r="G31" s="96">
        <f t="shared" si="2"/>
        <v>33.41317365269461</v>
      </c>
      <c r="H31" s="97">
        <v>-223907</v>
      </c>
      <c r="I31" s="98">
        <f t="shared" si="3"/>
        <v>-6701.159318996416</v>
      </c>
      <c r="J31">
        <v>0</v>
      </c>
      <c r="K31" s="58">
        <v>49</v>
      </c>
      <c r="L31" s="68">
        <f t="shared" si="4"/>
        <v>30.326086956521738</v>
      </c>
      <c r="M31" s="54">
        <v>-35135</v>
      </c>
      <c r="N31" s="69">
        <f t="shared" si="5"/>
        <v>-1158.573476702509</v>
      </c>
      <c r="P31" s="58">
        <v>76</v>
      </c>
      <c r="Q31" s="68">
        <f t="shared" si="6"/>
        <v>33.41317365269461</v>
      </c>
      <c r="R31" s="54">
        <v>-134133</v>
      </c>
      <c r="S31" s="69">
        <f t="shared" si="7"/>
        <v>-4014.3747311827956</v>
      </c>
    </row>
    <row r="32" spans="1:20" x14ac:dyDescent="0.25">
      <c r="A32" s="58">
        <v>88</v>
      </c>
      <c r="B32" s="68">
        <f t="shared" si="0"/>
        <v>30.326086956521738</v>
      </c>
      <c r="C32" s="54">
        <v>-426293</v>
      </c>
      <c r="D32" s="69">
        <f t="shared" si="1"/>
        <v>-14056.973476702509</v>
      </c>
      <c r="F32" s="58">
        <v>92</v>
      </c>
      <c r="G32" s="68">
        <f t="shared" si="2"/>
        <v>33.41317365269461</v>
      </c>
      <c r="H32" s="54">
        <v>-299484</v>
      </c>
      <c r="I32" s="69">
        <f t="shared" si="3"/>
        <v>-8963.0516129032258</v>
      </c>
      <c r="K32" s="58">
        <v>86</v>
      </c>
      <c r="L32" s="68">
        <f t="shared" si="4"/>
        <v>30.326086956521738</v>
      </c>
      <c r="M32" s="54">
        <v>-36114</v>
      </c>
      <c r="N32" s="69">
        <f t="shared" si="5"/>
        <v>-1190.8559139784948</v>
      </c>
      <c r="P32" s="58">
        <v>27</v>
      </c>
      <c r="Q32" s="68">
        <f t="shared" si="6"/>
        <v>33.41317365269461</v>
      </c>
      <c r="R32" s="54">
        <v>-237585</v>
      </c>
      <c r="S32" s="69">
        <f t="shared" si="7"/>
        <v>-7110.5188172043008</v>
      </c>
    </row>
    <row r="33" spans="1:20" x14ac:dyDescent="0.25">
      <c r="A33" s="58">
        <v>1</v>
      </c>
      <c r="B33" s="68">
        <f t="shared" si="0"/>
        <v>30.326086956521738</v>
      </c>
      <c r="C33" s="54">
        <v>-436549</v>
      </c>
      <c r="D33" s="69">
        <f t="shared" si="1"/>
        <v>-14395.164157706093</v>
      </c>
      <c r="F33" s="58">
        <v>93</v>
      </c>
      <c r="G33" s="68">
        <f t="shared" si="2"/>
        <v>33.41317365269461</v>
      </c>
      <c r="H33" s="54">
        <v>-392062</v>
      </c>
      <c r="I33" s="69">
        <f t="shared" si="3"/>
        <v>-11733.755197132617</v>
      </c>
      <c r="K33" s="109">
        <v>95</v>
      </c>
      <c r="L33" s="110">
        <f t="shared" si="4"/>
        <v>30.326086956521738</v>
      </c>
      <c r="M33" s="111">
        <v>-117870</v>
      </c>
      <c r="N33" s="112">
        <f t="shared" si="5"/>
        <v>-3886.7526881720432</v>
      </c>
      <c r="O33">
        <v>0</v>
      </c>
      <c r="P33" s="58">
        <v>49</v>
      </c>
      <c r="Q33" s="68">
        <f t="shared" si="6"/>
        <v>33.41317365269461</v>
      </c>
      <c r="R33" s="54">
        <v>-320509</v>
      </c>
      <c r="S33" s="69">
        <f t="shared" si="7"/>
        <v>-9592.2944444444438</v>
      </c>
    </row>
    <row r="34" spans="1:20" x14ac:dyDescent="0.25">
      <c r="A34" s="58">
        <v>16</v>
      </c>
      <c r="B34" s="68">
        <f t="shared" si="0"/>
        <v>30.326086956521738</v>
      </c>
      <c r="C34" s="54">
        <v>-516654</v>
      </c>
      <c r="D34" s="69">
        <f t="shared" si="1"/>
        <v>-17036.619354838709</v>
      </c>
      <c r="F34" s="58">
        <v>17</v>
      </c>
      <c r="G34" s="68">
        <f t="shared" si="2"/>
        <v>33.41317365269461</v>
      </c>
      <c r="H34" s="54">
        <v>-421127</v>
      </c>
      <c r="I34" s="69">
        <f t="shared" si="3"/>
        <v>-12603.621684587813</v>
      </c>
      <c r="K34" s="58">
        <v>42</v>
      </c>
      <c r="L34" s="68">
        <f t="shared" si="4"/>
        <v>30.326086956521738</v>
      </c>
      <c r="M34" s="54">
        <v>-137859</v>
      </c>
      <c r="N34" s="69">
        <f t="shared" si="5"/>
        <v>-4545.8881720430109</v>
      </c>
      <c r="P34" s="58">
        <v>47</v>
      </c>
      <c r="Q34" s="68">
        <f t="shared" si="6"/>
        <v>33.41317365269461</v>
      </c>
      <c r="R34" s="54">
        <v>-338573</v>
      </c>
      <c r="S34" s="69">
        <f t="shared" si="7"/>
        <v>-10132.919534050179</v>
      </c>
    </row>
    <row r="35" spans="1:20" x14ac:dyDescent="0.25">
      <c r="A35" s="58">
        <v>73</v>
      </c>
      <c r="B35" s="68">
        <f t="shared" si="0"/>
        <v>30.326086956521738</v>
      </c>
      <c r="C35" s="54">
        <v>-526062</v>
      </c>
      <c r="D35" s="69">
        <f t="shared" si="1"/>
        <v>-17346.847311827958</v>
      </c>
      <c r="F35" s="58">
        <v>5</v>
      </c>
      <c r="G35" s="68">
        <f t="shared" si="2"/>
        <v>33.41317365269461</v>
      </c>
      <c r="H35" s="54">
        <v>-473972</v>
      </c>
      <c r="I35" s="69">
        <f t="shared" si="3"/>
        <v>-14185.183512544803</v>
      </c>
      <c r="K35" s="58">
        <v>50</v>
      </c>
      <c r="L35" s="68">
        <f t="shared" si="4"/>
        <v>30.326086956521738</v>
      </c>
      <c r="M35" s="54">
        <v>-141217</v>
      </c>
      <c r="N35" s="69">
        <f t="shared" si="5"/>
        <v>-4656.6179211469534</v>
      </c>
      <c r="P35" s="58">
        <v>34</v>
      </c>
      <c r="Q35" s="68">
        <f t="shared" si="6"/>
        <v>33.41317365269461</v>
      </c>
      <c r="R35" s="54">
        <v>-343537</v>
      </c>
      <c r="S35" s="69">
        <f t="shared" si="7"/>
        <v>-10281.483691756273</v>
      </c>
    </row>
    <row r="36" spans="1:20" x14ac:dyDescent="0.25">
      <c r="A36" s="58">
        <v>69</v>
      </c>
      <c r="B36" s="68">
        <f t="shared" si="0"/>
        <v>30.326086956521738</v>
      </c>
      <c r="C36" s="54">
        <v>-582190</v>
      </c>
      <c r="D36" s="69">
        <f t="shared" si="1"/>
        <v>-19197.663082437277</v>
      </c>
      <c r="F36" s="58">
        <v>67</v>
      </c>
      <c r="G36" s="68">
        <f t="shared" si="2"/>
        <v>33.41317365269461</v>
      </c>
      <c r="H36" s="54">
        <v>-479440</v>
      </c>
      <c r="I36" s="69">
        <f t="shared" si="3"/>
        <v>-14348.831541218638</v>
      </c>
      <c r="K36" s="58">
        <v>24</v>
      </c>
      <c r="L36" s="68">
        <f t="shared" si="4"/>
        <v>30.326086956521738</v>
      </c>
      <c r="M36" s="54">
        <v>-265494</v>
      </c>
      <c r="N36" s="69">
        <f t="shared" si="5"/>
        <v>-8754.6408602150532</v>
      </c>
      <c r="P36" s="58">
        <v>26</v>
      </c>
      <c r="Q36" s="68">
        <f t="shared" si="6"/>
        <v>33.41317365269461</v>
      </c>
      <c r="R36" s="54">
        <v>-410208</v>
      </c>
      <c r="S36" s="69">
        <f t="shared" si="7"/>
        <v>-12276.834408602152</v>
      </c>
    </row>
    <row r="37" spans="1:20" x14ac:dyDescent="0.25">
      <c r="A37" s="58">
        <v>17</v>
      </c>
      <c r="B37" s="68">
        <f t="shared" si="0"/>
        <v>30.326086956521738</v>
      </c>
      <c r="C37" s="54">
        <v>-710390</v>
      </c>
      <c r="D37" s="69">
        <f t="shared" si="1"/>
        <v>-23425.046594982079</v>
      </c>
      <c r="F37" s="58">
        <v>65</v>
      </c>
      <c r="G37" s="68">
        <f t="shared" si="2"/>
        <v>33.41317365269461</v>
      </c>
      <c r="H37" s="54">
        <v>-681880</v>
      </c>
      <c r="I37" s="69">
        <f t="shared" si="3"/>
        <v>-20407.519713261649</v>
      </c>
      <c r="K37" s="58">
        <v>44</v>
      </c>
      <c r="L37" s="68">
        <f t="shared" si="4"/>
        <v>30.326086956521738</v>
      </c>
      <c r="M37" s="54">
        <v>-279807</v>
      </c>
      <c r="N37" s="69">
        <f t="shared" si="5"/>
        <v>-9226.6107526881715</v>
      </c>
      <c r="P37" s="58">
        <v>55</v>
      </c>
      <c r="Q37" s="68">
        <f t="shared" si="6"/>
        <v>33.41317365269461</v>
      </c>
      <c r="R37" s="54">
        <v>-412943</v>
      </c>
      <c r="S37" s="69">
        <f t="shared" si="7"/>
        <v>-12358.688351254481</v>
      </c>
    </row>
    <row r="38" spans="1:20" x14ac:dyDescent="0.25">
      <c r="A38" s="58">
        <v>12</v>
      </c>
      <c r="B38" s="68">
        <f t="shared" si="0"/>
        <v>30.326086956521738</v>
      </c>
      <c r="C38" s="54">
        <v>-753136</v>
      </c>
      <c r="D38" s="69">
        <f t="shared" si="1"/>
        <v>-24834.592114695341</v>
      </c>
      <c r="F38" s="95">
        <v>15</v>
      </c>
      <c r="G38" s="96">
        <f t="shared" si="2"/>
        <v>33.41317365269461</v>
      </c>
      <c r="H38" s="97">
        <v>-737370</v>
      </c>
      <c r="I38" s="98">
        <f t="shared" si="3"/>
        <v>-22068.241935483871</v>
      </c>
      <c r="J38">
        <v>0</v>
      </c>
      <c r="K38" s="58">
        <v>78</v>
      </c>
      <c r="L38" s="68">
        <f t="shared" si="4"/>
        <v>30.326086956521738</v>
      </c>
      <c r="M38" s="54">
        <v>-450754</v>
      </c>
      <c r="N38" s="69">
        <f t="shared" si="5"/>
        <v>-14863.572759856632</v>
      </c>
      <c r="P38" s="95">
        <v>22</v>
      </c>
      <c r="Q38" s="96">
        <f t="shared" si="6"/>
        <v>33.41317365269461</v>
      </c>
      <c r="R38" s="97">
        <v>-443480</v>
      </c>
      <c r="S38" s="98">
        <f t="shared" si="7"/>
        <v>-13272.609318996416</v>
      </c>
      <c r="T38">
        <v>0</v>
      </c>
    </row>
    <row r="39" spans="1:20" x14ac:dyDescent="0.25">
      <c r="A39" s="58">
        <v>58</v>
      </c>
      <c r="B39" s="68">
        <f t="shared" si="0"/>
        <v>30.326086956521738</v>
      </c>
      <c r="C39" s="54">
        <v>-793953</v>
      </c>
      <c r="D39" s="69">
        <f t="shared" si="1"/>
        <v>-26180.529032258066</v>
      </c>
      <c r="F39" s="58">
        <v>6</v>
      </c>
      <c r="G39" s="68">
        <f t="shared" si="2"/>
        <v>33.41317365269461</v>
      </c>
      <c r="H39" s="54">
        <v>-760719</v>
      </c>
      <c r="I39" s="69">
        <f t="shared" si="3"/>
        <v>-22767.038172043012</v>
      </c>
      <c r="K39" s="58">
        <v>81</v>
      </c>
      <c r="L39" s="68">
        <f t="shared" si="4"/>
        <v>30.326086956521738</v>
      </c>
      <c r="M39" s="54">
        <v>-460974</v>
      </c>
      <c r="N39" s="69">
        <f t="shared" si="5"/>
        <v>-15200.576344086023</v>
      </c>
      <c r="P39" s="58">
        <v>97</v>
      </c>
      <c r="Q39" s="68">
        <f t="shared" si="6"/>
        <v>33.41317365269461</v>
      </c>
      <c r="R39" s="54">
        <v>-474669</v>
      </c>
      <c r="S39" s="69">
        <f t="shared" si="7"/>
        <v>-14206.043548387097</v>
      </c>
    </row>
    <row r="40" spans="1:20" x14ac:dyDescent="0.25">
      <c r="A40" s="58">
        <v>68</v>
      </c>
      <c r="B40" s="68">
        <f t="shared" si="0"/>
        <v>30.326086956521738</v>
      </c>
      <c r="C40" s="54">
        <v>-803861</v>
      </c>
      <c r="D40" s="69">
        <f t="shared" si="1"/>
        <v>-26507.244444444445</v>
      </c>
      <c r="F40" s="58">
        <v>18</v>
      </c>
      <c r="G40" s="68">
        <f t="shared" si="2"/>
        <v>33.41317365269461</v>
      </c>
      <c r="H40" s="54">
        <v>-824942</v>
      </c>
      <c r="I40" s="69">
        <f t="shared" si="3"/>
        <v>-24689.124372759856</v>
      </c>
      <c r="K40" s="58">
        <v>48</v>
      </c>
      <c r="L40" s="68">
        <f t="shared" si="4"/>
        <v>30.326086956521738</v>
      </c>
      <c r="M40" s="54">
        <v>-522318</v>
      </c>
      <c r="N40" s="69">
        <f t="shared" si="5"/>
        <v>-17223.389247311829</v>
      </c>
      <c r="P40" s="58">
        <v>57</v>
      </c>
      <c r="Q40" s="68">
        <f t="shared" si="6"/>
        <v>33.41317365269461</v>
      </c>
      <c r="R40" s="54">
        <v>-519769</v>
      </c>
      <c r="S40" s="69">
        <f t="shared" si="7"/>
        <v>-15555.810573476703</v>
      </c>
    </row>
    <row r="41" spans="1:20" x14ac:dyDescent="0.25">
      <c r="A41" s="58">
        <v>60</v>
      </c>
      <c r="B41" s="68">
        <f t="shared" si="0"/>
        <v>30.326086956521738</v>
      </c>
      <c r="C41" s="54">
        <v>-850901</v>
      </c>
      <c r="D41" s="69">
        <f t="shared" si="1"/>
        <v>-28058.384229390682</v>
      </c>
      <c r="F41" s="58">
        <v>11</v>
      </c>
      <c r="G41" s="68">
        <f t="shared" si="2"/>
        <v>33.41317365269461</v>
      </c>
      <c r="H41" s="54">
        <v>-906527</v>
      </c>
      <c r="I41" s="69">
        <f t="shared" si="3"/>
        <v>-27130.825985663083</v>
      </c>
      <c r="K41" s="58">
        <v>87</v>
      </c>
      <c r="L41" s="68">
        <f t="shared" si="4"/>
        <v>30.326086956521738</v>
      </c>
      <c r="M41" s="54">
        <v>-542332</v>
      </c>
      <c r="N41" s="69">
        <f t="shared" si="5"/>
        <v>-17883.349103942652</v>
      </c>
      <c r="P41" s="58">
        <v>35</v>
      </c>
      <c r="Q41" s="68">
        <f t="shared" si="6"/>
        <v>33.41317365269461</v>
      </c>
      <c r="R41" s="54">
        <v>-552149</v>
      </c>
      <c r="S41" s="69">
        <f t="shared" si="7"/>
        <v>-16524.889426523299</v>
      </c>
    </row>
    <row r="42" spans="1:20" x14ac:dyDescent="0.25">
      <c r="A42" s="58">
        <v>74</v>
      </c>
      <c r="B42" s="68">
        <f t="shared" si="0"/>
        <v>30.326086956521738</v>
      </c>
      <c r="C42" s="54">
        <v>-871942</v>
      </c>
      <c r="D42" s="69">
        <f t="shared" si="1"/>
        <v>-28752.209318996418</v>
      </c>
      <c r="F42" s="58">
        <v>14</v>
      </c>
      <c r="G42" s="68">
        <f t="shared" si="2"/>
        <v>33.41317365269461</v>
      </c>
      <c r="H42" s="54">
        <v>-923878</v>
      </c>
      <c r="I42" s="69">
        <f t="shared" si="3"/>
        <v>-27650.112186379931</v>
      </c>
      <c r="K42" s="58">
        <v>41</v>
      </c>
      <c r="L42" s="68">
        <f t="shared" si="4"/>
        <v>30.326086956521738</v>
      </c>
      <c r="M42" s="54">
        <v>-545075</v>
      </c>
      <c r="N42" s="69">
        <f t="shared" si="5"/>
        <v>-17973.799283154123</v>
      </c>
      <c r="P42" s="58">
        <v>81</v>
      </c>
      <c r="Q42" s="68">
        <f t="shared" si="6"/>
        <v>33.41317365269461</v>
      </c>
      <c r="R42" s="54">
        <v>-553719</v>
      </c>
      <c r="S42" s="69">
        <f t="shared" si="7"/>
        <v>-16571.876881720429</v>
      </c>
    </row>
    <row r="43" spans="1:20" x14ac:dyDescent="0.25">
      <c r="A43" s="58">
        <v>71</v>
      </c>
      <c r="B43" s="68">
        <f t="shared" si="0"/>
        <v>30.326086956521738</v>
      </c>
      <c r="C43" s="54">
        <v>-879757</v>
      </c>
      <c r="D43" s="69">
        <f t="shared" si="1"/>
        <v>-29009.908243727601</v>
      </c>
      <c r="F43" s="58">
        <v>90</v>
      </c>
      <c r="G43" s="68">
        <f t="shared" si="2"/>
        <v>33.41317365269461</v>
      </c>
      <c r="H43" s="54">
        <v>-944796</v>
      </c>
      <c r="I43" s="69">
        <f t="shared" si="3"/>
        <v>-28276.152688172042</v>
      </c>
      <c r="K43" s="58">
        <v>23</v>
      </c>
      <c r="L43" s="68">
        <f t="shared" si="4"/>
        <v>30.326086956521738</v>
      </c>
      <c r="M43" s="54">
        <v>-550483</v>
      </c>
      <c r="N43" s="69">
        <f t="shared" si="5"/>
        <v>-18152.127598566309</v>
      </c>
      <c r="P43" s="58">
        <v>25</v>
      </c>
      <c r="Q43" s="68">
        <f t="shared" si="6"/>
        <v>33.41317365269461</v>
      </c>
      <c r="R43" s="54">
        <v>-602771</v>
      </c>
      <c r="S43" s="69">
        <f t="shared" si="7"/>
        <v>-18039.920609318997</v>
      </c>
    </row>
    <row r="44" spans="1:20" x14ac:dyDescent="0.25">
      <c r="A44" s="58">
        <v>13</v>
      </c>
      <c r="B44" s="68">
        <f t="shared" si="0"/>
        <v>30.326086956521738</v>
      </c>
      <c r="C44" s="54">
        <v>-1072053</v>
      </c>
      <c r="D44" s="69">
        <f t="shared" si="1"/>
        <v>-35350.851612903229</v>
      </c>
      <c r="F44" s="58">
        <v>88</v>
      </c>
      <c r="G44" s="68">
        <f t="shared" si="2"/>
        <v>33.41317365269461</v>
      </c>
      <c r="H44" s="54">
        <v>-964689</v>
      </c>
      <c r="I44" s="69">
        <f t="shared" si="3"/>
        <v>-28871.516666666666</v>
      </c>
      <c r="K44" s="58">
        <v>55</v>
      </c>
      <c r="L44" s="68">
        <f t="shared" si="4"/>
        <v>30.326086956521738</v>
      </c>
      <c r="M44" s="54">
        <v>-592287</v>
      </c>
      <c r="N44" s="69">
        <f t="shared" si="5"/>
        <v>-19530.610752688171</v>
      </c>
      <c r="P44" s="58">
        <v>23</v>
      </c>
      <c r="Q44" s="68">
        <f t="shared" si="6"/>
        <v>33.41317365269461</v>
      </c>
      <c r="R44" s="54">
        <v>-625997</v>
      </c>
      <c r="S44" s="69">
        <f t="shared" si="7"/>
        <v>-18735.035663082439</v>
      </c>
    </row>
    <row r="45" spans="1:20" x14ac:dyDescent="0.25">
      <c r="A45" s="58">
        <v>92</v>
      </c>
      <c r="B45" s="68">
        <f t="shared" si="0"/>
        <v>30.326086956521738</v>
      </c>
      <c r="C45" s="54">
        <v>-1105120</v>
      </c>
      <c r="D45" s="69">
        <f t="shared" si="1"/>
        <v>-36441.232974910396</v>
      </c>
      <c r="F45" s="58">
        <v>10</v>
      </c>
      <c r="G45" s="68">
        <f t="shared" si="2"/>
        <v>33.41317365269461</v>
      </c>
      <c r="H45" s="54">
        <v>-1019506</v>
      </c>
      <c r="I45" s="69">
        <f t="shared" si="3"/>
        <v>-30512.097132616487</v>
      </c>
      <c r="K45" s="95">
        <v>31</v>
      </c>
      <c r="L45" s="96">
        <f t="shared" si="4"/>
        <v>30.326086956521738</v>
      </c>
      <c r="M45" s="97">
        <v>-620072</v>
      </c>
      <c r="N45" s="98">
        <f t="shared" si="5"/>
        <v>-20446.818637992834</v>
      </c>
      <c r="O45">
        <v>0</v>
      </c>
      <c r="P45" s="58">
        <v>78</v>
      </c>
      <c r="Q45" s="68">
        <f t="shared" si="6"/>
        <v>33.41317365269461</v>
      </c>
      <c r="R45" s="54">
        <v>-732192</v>
      </c>
      <c r="S45" s="69">
        <f t="shared" si="7"/>
        <v>-21913.273118279569</v>
      </c>
    </row>
    <row r="46" spans="1:20" x14ac:dyDescent="0.25">
      <c r="A46" s="58">
        <v>21</v>
      </c>
      <c r="B46" s="68">
        <f t="shared" si="0"/>
        <v>30.326086956521738</v>
      </c>
      <c r="C46" s="54">
        <v>-1124143</v>
      </c>
      <c r="D46" s="69">
        <f t="shared" si="1"/>
        <v>-37068.514695340506</v>
      </c>
      <c r="F46" s="95">
        <v>2</v>
      </c>
      <c r="G46" s="96">
        <f t="shared" si="2"/>
        <v>33.41317365269461</v>
      </c>
      <c r="H46" s="97">
        <v>-1048073</v>
      </c>
      <c r="I46" s="98">
        <f t="shared" si="3"/>
        <v>-31367.059318996417</v>
      </c>
      <c r="J46">
        <v>0</v>
      </c>
      <c r="K46" s="58">
        <v>40</v>
      </c>
      <c r="L46" s="68">
        <f t="shared" si="4"/>
        <v>30.326086956521738</v>
      </c>
      <c r="M46" s="54">
        <v>-658386</v>
      </c>
      <c r="N46" s="69">
        <f t="shared" si="5"/>
        <v>-21710.219354838711</v>
      </c>
      <c r="P46" s="58">
        <v>41</v>
      </c>
      <c r="Q46" s="68">
        <f t="shared" si="6"/>
        <v>33.41317365269461</v>
      </c>
      <c r="R46" s="54">
        <v>-890843</v>
      </c>
      <c r="S46" s="69">
        <f t="shared" si="7"/>
        <v>-26661.430286738352</v>
      </c>
    </row>
    <row r="47" spans="1:20" x14ac:dyDescent="0.25">
      <c r="A47" s="58">
        <v>64</v>
      </c>
      <c r="B47" s="68">
        <f t="shared" si="0"/>
        <v>30.326086956521738</v>
      </c>
      <c r="C47" s="54">
        <v>-1198677</v>
      </c>
      <c r="D47" s="69">
        <f t="shared" si="1"/>
        <v>-39526.26666666667</v>
      </c>
      <c r="F47" s="58">
        <v>12</v>
      </c>
      <c r="G47" s="68">
        <f t="shared" si="2"/>
        <v>33.41317365269461</v>
      </c>
      <c r="H47" s="54">
        <v>-1098022</v>
      </c>
      <c r="I47" s="69">
        <f t="shared" si="3"/>
        <v>-32861.948745519716</v>
      </c>
      <c r="K47" s="58">
        <v>97</v>
      </c>
      <c r="L47" s="68">
        <f t="shared" si="4"/>
        <v>30.326086956521738</v>
      </c>
      <c r="M47" s="54">
        <v>-661431</v>
      </c>
      <c r="N47" s="69">
        <f t="shared" si="5"/>
        <v>-21810.627956989247</v>
      </c>
      <c r="P47" s="58">
        <v>48</v>
      </c>
      <c r="Q47" s="68">
        <f t="shared" si="6"/>
        <v>33.41317365269461</v>
      </c>
      <c r="R47" s="54">
        <v>-914243</v>
      </c>
      <c r="S47" s="69">
        <f t="shared" si="7"/>
        <v>-27361.752867383515</v>
      </c>
    </row>
    <row r="48" spans="1:20" x14ac:dyDescent="0.25">
      <c r="A48" s="58">
        <v>3</v>
      </c>
      <c r="B48" s="68">
        <f t="shared" si="0"/>
        <v>30.326086956521738</v>
      </c>
      <c r="C48" s="54">
        <v>-1231829</v>
      </c>
      <c r="D48" s="69">
        <f t="shared" si="1"/>
        <v>-40619.450896057351</v>
      </c>
      <c r="F48" s="58">
        <v>72</v>
      </c>
      <c r="G48" s="68">
        <f t="shared" si="2"/>
        <v>33.41317365269461</v>
      </c>
      <c r="H48" s="54">
        <v>-1168137</v>
      </c>
      <c r="I48" s="69">
        <f t="shared" si="3"/>
        <v>-34960.372580645162</v>
      </c>
      <c r="K48" s="58">
        <v>56</v>
      </c>
      <c r="L48" s="68">
        <f t="shared" si="4"/>
        <v>30.326086956521738</v>
      </c>
      <c r="M48" s="54">
        <v>-736742</v>
      </c>
      <c r="N48" s="69">
        <f t="shared" si="5"/>
        <v>-24294.001433691756</v>
      </c>
      <c r="P48" s="58">
        <v>96</v>
      </c>
      <c r="Q48" s="68">
        <f t="shared" si="6"/>
        <v>33.41317365269461</v>
      </c>
      <c r="R48" s="54">
        <v>-944950</v>
      </c>
      <c r="S48" s="69">
        <f t="shared" si="7"/>
        <v>-28280.76164874552</v>
      </c>
    </row>
    <row r="49" spans="1:20" x14ac:dyDescent="0.25">
      <c r="A49" s="58">
        <v>70</v>
      </c>
      <c r="B49" s="68">
        <f t="shared" si="0"/>
        <v>30.326086956521738</v>
      </c>
      <c r="C49" s="54">
        <v>-1290356</v>
      </c>
      <c r="D49" s="69">
        <f t="shared" si="1"/>
        <v>-42549.373476702509</v>
      </c>
      <c r="F49" s="58">
        <v>62</v>
      </c>
      <c r="G49" s="68">
        <f t="shared" si="2"/>
        <v>33.41317365269461</v>
      </c>
      <c r="H49" s="54">
        <v>-1177761</v>
      </c>
      <c r="I49" s="69">
        <f t="shared" si="3"/>
        <v>-35248.402688172042</v>
      </c>
      <c r="K49" s="58">
        <v>85</v>
      </c>
      <c r="L49" s="68">
        <f t="shared" si="4"/>
        <v>30.326086956521738</v>
      </c>
      <c r="M49" s="54">
        <v>-789944</v>
      </c>
      <c r="N49" s="69">
        <f t="shared" si="5"/>
        <v>-26048.332616487456</v>
      </c>
      <c r="P49" s="58">
        <v>82</v>
      </c>
      <c r="Q49" s="68">
        <f t="shared" si="6"/>
        <v>33.41317365269461</v>
      </c>
      <c r="R49" s="54">
        <v>-954865</v>
      </c>
      <c r="S49" s="69">
        <f t="shared" si="7"/>
        <v>-28577.500896057347</v>
      </c>
    </row>
    <row r="50" spans="1:20" x14ac:dyDescent="0.25">
      <c r="A50" s="58">
        <v>65</v>
      </c>
      <c r="B50" s="68">
        <f t="shared" si="0"/>
        <v>30.326086956521738</v>
      </c>
      <c r="C50" s="54">
        <v>-1335361</v>
      </c>
      <c r="D50" s="69">
        <f t="shared" si="1"/>
        <v>-44033.409318996419</v>
      </c>
      <c r="F50" s="58">
        <v>19</v>
      </c>
      <c r="G50" s="68">
        <f t="shared" si="2"/>
        <v>33.41317365269461</v>
      </c>
      <c r="H50" s="54">
        <v>-1251057</v>
      </c>
      <c r="I50" s="69">
        <f t="shared" si="3"/>
        <v>-37442.028494623657</v>
      </c>
      <c r="K50" s="58">
        <v>26</v>
      </c>
      <c r="L50" s="68">
        <f t="shared" si="4"/>
        <v>30.326086956521738</v>
      </c>
      <c r="M50" s="54">
        <v>-946136</v>
      </c>
      <c r="N50" s="69">
        <f t="shared" si="5"/>
        <v>-31198.749820788533</v>
      </c>
      <c r="P50" s="58">
        <v>50</v>
      </c>
      <c r="Q50" s="68">
        <f t="shared" si="6"/>
        <v>33.41317365269461</v>
      </c>
      <c r="R50" s="54">
        <v>-1011749</v>
      </c>
      <c r="S50" s="69">
        <f t="shared" si="7"/>
        <v>-30279.943189964157</v>
      </c>
    </row>
    <row r="51" spans="1:20" x14ac:dyDescent="0.25">
      <c r="A51" s="58">
        <v>18</v>
      </c>
      <c r="B51" s="68">
        <f t="shared" si="0"/>
        <v>30.326086956521738</v>
      </c>
      <c r="C51" s="54">
        <v>-1388548</v>
      </c>
      <c r="D51" s="69">
        <f t="shared" si="1"/>
        <v>-45787.2458781362</v>
      </c>
      <c r="F51" s="58">
        <v>68</v>
      </c>
      <c r="G51" s="68">
        <f t="shared" si="2"/>
        <v>33.41317365269461</v>
      </c>
      <c r="H51" s="54">
        <v>-1292553</v>
      </c>
      <c r="I51" s="69">
        <f t="shared" si="3"/>
        <v>-38683.933870967739</v>
      </c>
      <c r="K51" s="58">
        <v>84</v>
      </c>
      <c r="L51" s="68">
        <f t="shared" si="4"/>
        <v>30.326086956521738</v>
      </c>
      <c r="M51" s="54">
        <v>-948146</v>
      </c>
      <c r="N51" s="69">
        <f t="shared" si="5"/>
        <v>-31265.029390681004</v>
      </c>
      <c r="P51" s="58">
        <v>40</v>
      </c>
      <c r="Q51" s="68">
        <f t="shared" si="6"/>
        <v>33.41317365269461</v>
      </c>
      <c r="R51" s="54">
        <v>-1028317</v>
      </c>
      <c r="S51" s="69">
        <f t="shared" si="7"/>
        <v>-30775.795519713261</v>
      </c>
    </row>
    <row r="52" spans="1:20" x14ac:dyDescent="0.25">
      <c r="A52" s="58">
        <v>91</v>
      </c>
      <c r="B52" s="68">
        <f t="shared" si="0"/>
        <v>30.326086956521738</v>
      </c>
      <c r="C52" s="54">
        <v>-1477388</v>
      </c>
      <c r="D52" s="69">
        <f t="shared" si="1"/>
        <v>-48716.736917562725</v>
      </c>
      <c r="F52" s="58">
        <v>60</v>
      </c>
      <c r="G52" s="68">
        <f t="shared" si="2"/>
        <v>33.41317365269461</v>
      </c>
      <c r="H52" s="54">
        <v>-1363928</v>
      </c>
      <c r="I52" s="69">
        <f t="shared" si="3"/>
        <v>-40820.067383512549</v>
      </c>
      <c r="K52" s="58">
        <v>37</v>
      </c>
      <c r="L52" s="68">
        <f t="shared" si="4"/>
        <v>30.326086956521738</v>
      </c>
      <c r="M52" s="54">
        <v>-1123636</v>
      </c>
      <c r="N52" s="69">
        <f t="shared" si="5"/>
        <v>-37051.796415770608</v>
      </c>
      <c r="P52" s="58">
        <v>45</v>
      </c>
      <c r="Q52" s="68">
        <f t="shared" si="6"/>
        <v>33.41317365269461</v>
      </c>
      <c r="R52" s="54">
        <v>-1108132</v>
      </c>
      <c r="S52" s="69">
        <f t="shared" si="7"/>
        <v>-33164.524014336916</v>
      </c>
    </row>
    <row r="53" spans="1:20" x14ac:dyDescent="0.25">
      <c r="A53" s="58">
        <v>67</v>
      </c>
      <c r="B53" s="68">
        <f t="shared" si="0"/>
        <v>30.326086956521738</v>
      </c>
      <c r="C53" s="54">
        <v>-1558535</v>
      </c>
      <c r="D53" s="69">
        <f t="shared" si="1"/>
        <v>-51392.551971326167</v>
      </c>
      <c r="F53" s="58">
        <v>66</v>
      </c>
      <c r="G53" s="68">
        <f t="shared" si="2"/>
        <v>33.41317365269461</v>
      </c>
      <c r="H53" s="54">
        <v>-1541082</v>
      </c>
      <c r="I53" s="69">
        <f t="shared" si="3"/>
        <v>-46121.988172043013</v>
      </c>
      <c r="K53" s="58">
        <v>77</v>
      </c>
      <c r="L53" s="68">
        <f t="shared" si="4"/>
        <v>30.326086956521738</v>
      </c>
      <c r="M53" s="54">
        <v>-1136517</v>
      </c>
      <c r="N53" s="69">
        <f t="shared" si="5"/>
        <v>-37476.546236559137</v>
      </c>
      <c r="P53" s="58">
        <v>37</v>
      </c>
      <c r="Q53" s="68">
        <f t="shared" si="6"/>
        <v>33.41317365269461</v>
      </c>
      <c r="R53" s="54">
        <v>-1231599</v>
      </c>
      <c r="S53" s="69">
        <f t="shared" si="7"/>
        <v>-36859.683333333334</v>
      </c>
    </row>
    <row r="54" spans="1:20" x14ac:dyDescent="0.25">
      <c r="A54" s="58">
        <v>93</v>
      </c>
      <c r="B54" s="68">
        <f t="shared" si="0"/>
        <v>30.326086956521738</v>
      </c>
      <c r="C54" s="54">
        <v>-1560391</v>
      </c>
      <c r="D54" s="69">
        <f t="shared" si="1"/>
        <v>-51453.753405017924</v>
      </c>
      <c r="F54" s="58">
        <v>13</v>
      </c>
      <c r="G54" s="68">
        <f t="shared" si="2"/>
        <v>33.41317365269461</v>
      </c>
      <c r="H54" s="54">
        <v>-1570807</v>
      </c>
      <c r="I54" s="69">
        <f t="shared" si="3"/>
        <v>-47011.607347670251</v>
      </c>
      <c r="K54" s="58">
        <v>94</v>
      </c>
      <c r="L54" s="68">
        <f t="shared" si="4"/>
        <v>30.326086956521738</v>
      </c>
      <c r="M54" s="54">
        <v>-1189690</v>
      </c>
      <c r="N54" s="69">
        <f t="shared" si="5"/>
        <v>-39229.921146953406</v>
      </c>
      <c r="P54" s="58">
        <v>80</v>
      </c>
      <c r="Q54" s="68">
        <f t="shared" si="6"/>
        <v>33.41317365269461</v>
      </c>
      <c r="R54" s="54">
        <v>-1261366</v>
      </c>
      <c r="S54" s="69">
        <f t="shared" si="7"/>
        <v>-37750.559498207884</v>
      </c>
    </row>
    <row r="55" spans="1:20" x14ac:dyDescent="0.25">
      <c r="A55" s="58"/>
      <c r="B55" s="59"/>
      <c r="C55" s="54"/>
      <c r="D55" s="55"/>
      <c r="F55" s="58"/>
      <c r="G55" s="59"/>
      <c r="H55" s="54"/>
      <c r="I55" s="55"/>
      <c r="K55" s="58">
        <v>32</v>
      </c>
      <c r="L55" s="68">
        <f t="shared" si="4"/>
        <v>30.326086956521738</v>
      </c>
      <c r="M55" s="54">
        <v>-1238968</v>
      </c>
      <c r="N55" s="69">
        <f t="shared" si="5"/>
        <v>-40854.858781362011</v>
      </c>
      <c r="P55" s="58">
        <v>52</v>
      </c>
      <c r="Q55" s="68">
        <f t="shared" si="6"/>
        <v>33.41317365269461</v>
      </c>
      <c r="R55" s="54">
        <v>-1306284</v>
      </c>
      <c r="S55" s="69">
        <f t="shared" si="7"/>
        <v>-39094.879569892473</v>
      </c>
    </row>
    <row r="56" spans="1:20" x14ac:dyDescent="0.25">
      <c r="A56" s="58"/>
      <c r="B56" s="59"/>
      <c r="C56" s="54"/>
      <c r="D56" s="55"/>
      <c r="F56" s="58"/>
      <c r="G56" s="59"/>
      <c r="H56" s="54"/>
      <c r="I56" s="55"/>
      <c r="K56" s="58">
        <v>36</v>
      </c>
      <c r="L56" s="68">
        <f t="shared" si="4"/>
        <v>30.326086956521738</v>
      </c>
      <c r="M56" s="54">
        <v>-1281241</v>
      </c>
      <c r="N56" s="69">
        <f t="shared" si="5"/>
        <v>-42248.807168458785</v>
      </c>
      <c r="P56" s="58">
        <v>38</v>
      </c>
      <c r="Q56" s="68">
        <f t="shared" si="6"/>
        <v>33.41317365269461</v>
      </c>
      <c r="R56" s="54">
        <v>-1308829</v>
      </c>
      <c r="S56" s="69">
        <f t="shared" si="7"/>
        <v>-39171.047132616492</v>
      </c>
    </row>
    <row r="57" spans="1:20" x14ac:dyDescent="0.25">
      <c r="A57" s="58"/>
      <c r="B57" s="59"/>
      <c r="C57" s="54"/>
      <c r="D57" s="55"/>
      <c r="F57" s="58"/>
      <c r="G57" s="59"/>
      <c r="H57" s="54"/>
      <c r="I57" s="55"/>
      <c r="K57" s="58">
        <v>29</v>
      </c>
      <c r="L57" s="68">
        <f t="shared" si="4"/>
        <v>30.326086956521738</v>
      </c>
      <c r="M57" s="54">
        <v>-1329121</v>
      </c>
      <c r="N57" s="69">
        <f t="shared" si="5"/>
        <v>-43827.645878136202</v>
      </c>
      <c r="P57" s="58">
        <v>46</v>
      </c>
      <c r="Q57" s="68">
        <f t="shared" si="6"/>
        <v>33.41317365269461</v>
      </c>
      <c r="R57" s="54">
        <v>-1311822</v>
      </c>
      <c r="S57" s="69">
        <f t="shared" si="7"/>
        <v>-39260.622580645162</v>
      </c>
    </row>
    <row r="58" spans="1:20" x14ac:dyDescent="0.25">
      <c r="A58" s="58"/>
      <c r="B58" s="59"/>
      <c r="C58" s="54"/>
      <c r="D58" s="55"/>
      <c r="F58" s="58"/>
      <c r="G58" s="59"/>
      <c r="H58" s="54"/>
      <c r="I58" s="55"/>
      <c r="K58" s="58">
        <v>80</v>
      </c>
      <c r="L58" s="68">
        <f t="shared" si="4"/>
        <v>30.326086956521738</v>
      </c>
      <c r="M58" s="54">
        <v>-1382584</v>
      </c>
      <c r="N58" s="69">
        <f t="shared" si="5"/>
        <v>-45590.583512544807</v>
      </c>
      <c r="P58" s="58">
        <v>53</v>
      </c>
      <c r="Q58" s="68">
        <f t="shared" si="6"/>
        <v>33.41317365269461</v>
      </c>
      <c r="R58" s="54">
        <v>-1316172</v>
      </c>
      <c r="S58" s="69">
        <f t="shared" si="7"/>
        <v>-39390.810752688172</v>
      </c>
    </row>
    <row r="59" spans="1:20" x14ac:dyDescent="0.25">
      <c r="A59" s="58"/>
      <c r="B59" s="59"/>
      <c r="C59" s="54"/>
      <c r="D59" s="55"/>
      <c r="F59" s="58"/>
      <c r="G59" s="59"/>
      <c r="H59" s="54"/>
      <c r="I59" s="55"/>
      <c r="K59" s="58">
        <v>38</v>
      </c>
      <c r="L59" s="68">
        <f t="shared" si="4"/>
        <v>30.326086956521738</v>
      </c>
      <c r="M59" s="54">
        <v>-1454904</v>
      </c>
      <c r="N59" s="69">
        <f t="shared" si="5"/>
        <v>-47975.329032258065</v>
      </c>
      <c r="P59" s="58">
        <v>87</v>
      </c>
      <c r="Q59" s="68">
        <f t="shared" si="6"/>
        <v>33.41317365269461</v>
      </c>
      <c r="R59" s="54">
        <v>-1394051</v>
      </c>
      <c r="S59" s="69">
        <f t="shared" si="7"/>
        <v>-41721.598028673834</v>
      </c>
    </row>
    <row r="60" spans="1:20" x14ac:dyDescent="0.25">
      <c r="A60" s="58"/>
      <c r="B60" s="59"/>
      <c r="C60" s="54"/>
      <c r="D60" s="55"/>
      <c r="F60" s="58"/>
      <c r="G60" s="59"/>
      <c r="H60" s="54"/>
      <c r="I60" s="55"/>
      <c r="K60" s="58">
        <v>96</v>
      </c>
      <c r="L60" s="68">
        <f t="shared" si="4"/>
        <v>30.326086956521738</v>
      </c>
      <c r="M60" s="54">
        <v>-1495940</v>
      </c>
      <c r="N60" s="69">
        <f t="shared" si="5"/>
        <v>-49328.487455197137</v>
      </c>
      <c r="P60" s="58">
        <v>36</v>
      </c>
      <c r="Q60" s="68">
        <f t="shared" si="6"/>
        <v>33.41317365269461</v>
      </c>
      <c r="R60" s="54">
        <v>-1395762</v>
      </c>
      <c r="S60" s="69">
        <f t="shared" si="7"/>
        <v>-41772.805376344084</v>
      </c>
    </row>
    <row r="61" spans="1:20" x14ac:dyDescent="0.25">
      <c r="A61" s="58"/>
      <c r="B61" s="59"/>
      <c r="C61" s="54"/>
      <c r="D61" s="55"/>
      <c r="F61" s="58"/>
      <c r="G61" s="59"/>
      <c r="H61" s="54"/>
      <c r="I61" s="55"/>
      <c r="K61" s="58">
        <v>76</v>
      </c>
      <c r="L61" s="68">
        <f t="shared" si="4"/>
        <v>30.326086956521738</v>
      </c>
      <c r="M61" s="54">
        <v>-1505954</v>
      </c>
      <c r="N61" s="69">
        <f t="shared" si="5"/>
        <v>-49658.698207885303</v>
      </c>
      <c r="P61" s="58">
        <v>42</v>
      </c>
      <c r="Q61" s="68">
        <f t="shared" si="6"/>
        <v>33.41317365269461</v>
      </c>
      <c r="R61" s="54">
        <v>-1449513</v>
      </c>
      <c r="S61" s="69">
        <f t="shared" si="7"/>
        <v>-43381.48225806452</v>
      </c>
    </row>
    <row r="62" spans="1:20" x14ac:dyDescent="0.25">
      <c r="A62" s="58"/>
      <c r="B62" s="59"/>
      <c r="C62" s="54"/>
      <c r="D62" s="55"/>
      <c r="F62" s="58"/>
      <c r="G62" s="59"/>
      <c r="H62" s="54"/>
      <c r="I62" s="55"/>
      <c r="K62" s="58">
        <v>52</v>
      </c>
      <c r="L62" s="68">
        <f t="shared" si="4"/>
        <v>30.326086956521738</v>
      </c>
      <c r="M62" s="54">
        <v>-1572435</v>
      </c>
      <c r="N62" s="69">
        <f t="shared" si="5"/>
        <v>-51850.903225806454</v>
      </c>
      <c r="P62" s="58">
        <v>28</v>
      </c>
      <c r="Q62" s="68">
        <f t="shared" si="6"/>
        <v>33.41317365269461</v>
      </c>
      <c r="R62" s="54">
        <v>-1475625</v>
      </c>
      <c r="S62" s="69">
        <f t="shared" si="7"/>
        <v>-44162.970430107525</v>
      </c>
    </row>
    <row r="63" spans="1:20" x14ac:dyDescent="0.25">
      <c r="A63" s="58"/>
      <c r="B63" s="59"/>
      <c r="C63" s="54"/>
      <c r="D63" s="55"/>
      <c r="F63" s="58"/>
      <c r="G63" s="59"/>
      <c r="H63" s="54"/>
      <c r="I63" s="55"/>
      <c r="K63" s="58">
        <v>100</v>
      </c>
      <c r="L63" s="68">
        <f t="shared" si="4"/>
        <v>30.326086956521738</v>
      </c>
      <c r="M63" s="54">
        <v>-1597710</v>
      </c>
      <c r="N63" s="69">
        <f t="shared" si="5"/>
        <v>-52684.344086021505</v>
      </c>
      <c r="P63" s="95">
        <v>83</v>
      </c>
      <c r="Q63" s="96">
        <f t="shared" si="6"/>
        <v>33.41317365269461</v>
      </c>
      <c r="R63" s="97">
        <v>-1533913</v>
      </c>
      <c r="S63" s="98">
        <f t="shared" si="7"/>
        <v>-45907.432078853046</v>
      </c>
      <c r="T63">
        <v>0</v>
      </c>
    </row>
    <row r="64" spans="1:20" x14ac:dyDescent="0.25">
      <c r="A64" s="58"/>
      <c r="B64" s="59"/>
      <c r="C64" s="54"/>
      <c r="D64" s="55"/>
      <c r="F64" s="58"/>
      <c r="G64" s="59"/>
      <c r="H64" s="54"/>
      <c r="I64" s="55"/>
      <c r="K64" s="58">
        <v>51</v>
      </c>
      <c r="L64" s="68">
        <f t="shared" si="4"/>
        <v>30.326086956521738</v>
      </c>
      <c r="M64" s="54">
        <v>-1602000</v>
      </c>
      <c r="N64" s="69">
        <f t="shared" si="5"/>
        <v>-52825.806451612902</v>
      </c>
      <c r="P64" s="58">
        <v>77</v>
      </c>
      <c r="Q64" s="68">
        <f t="shared" si="6"/>
        <v>33.41317365269461</v>
      </c>
      <c r="R64" s="54">
        <v>-1545855</v>
      </c>
      <c r="S64" s="69">
        <f t="shared" si="7"/>
        <v>-46264.836021505376</v>
      </c>
    </row>
    <row r="65" spans="1:19" x14ac:dyDescent="0.25">
      <c r="A65" s="58"/>
      <c r="B65" s="59"/>
      <c r="C65" s="54"/>
      <c r="D65" s="55"/>
      <c r="F65" s="58"/>
      <c r="G65" s="59"/>
      <c r="H65" s="54"/>
      <c r="I65" s="55"/>
      <c r="K65" s="58"/>
      <c r="L65" s="59"/>
      <c r="M65" s="54"/>
      <c r="N65" s="55"/>
      <c r="P65" s="58"/>
      <c r="Q65" s="59"/>
      <c r="R65" s="54"/>
      <c r="S65" s="55"/>
    </row>
    <row r="66" spans="1:19" x14ac:dyDescent="0.25">
      <c r="A66" s="58"/>
      <c r="B66" s="59"/>
      <c r="C66" s="54"/>
      <c r="D66" s="55"/>
      <c r="F66" s="58"/>
      <c r="G66" s="59"/>
      <c r="H66" s="54"/>
      <c r="I66" s="55"/>
      <c r="K66" s="58"/>
      <c r="L66" s="59"/>
      <c r="M66" s="54"/>
      <c r="N66" s="55"/>
      <c r="P66" s="58"/>
      <c r="Q66" s="59"/>
      <c r="R66" s="54"/>
      <c r="S66" s="55"/>
    </row>
    <row r="67" spans="1:19" x14ac:dyDescent="0.25">
      <c r="A67" s="58"/>
      <c r="B67" s="59"/>
      <c r="C67" s="54"/>
      <c r="D67" s="55"/>
      <c r="F67" s="58"/>
      <c r="G67" s="59"/>
      <c r="H67" s="54"/>
      <c r="I67" s="55"/>
      <c r="K67" s="58"/>
      <c r="L67" s="59"/>
      <c r="M67" s="54"/>
      <c r="N67" s="55"/>
      <c r="P67" s="58"/>
      <c r="Q67" s="59"/>
      <c r="R67" s="54"/>
      <c r="S67" s="55"/>
    </row>
    <row r="68" spans="1:19" x14ac:dyDescent="0.25">
      <c r="A68" s="58"/>
      <c r="B68" s="59"/>
      <c r="C68" s="54"/>
      <c r="D68" s="55"/>
      <c r="F68" s="58"/>
      <c r="G68" s="59"/>
      <c r="H68" s="54"/>
      <c r="I68" s="55"/>
      <c r="K68" s="58"/>
      <c r="L68" s="59"/>
      <c r="M68" s="54"/>
      <c r="N68" s="55"/>
      <c r="P68" s="58"/>
      <c r="Q68" s="59"/>
      <c r="R68" s="54"/>
      <c r="S68" s="55"/>
    </row>
    <row r="69" spans="1:19" x14ac:dyDescent="0.25">
      <c r="A69" s="58"/>
      <c r="B69" s="59"/>
      <c r="C69" s="54"/>
      <c r="D69" s="55"/>
      <c r="F69" s="58"/>
      <c r="G69" s="59"/>
      <c r="H69" s="54"/>
      <c r="I69" s="55"/>
      <c r="K69" s="58"/>
      <c r="L69" s="59"/>
      <c r="M69" s="54"/>
      <c r="N69" s="55"/>
      <c r="P69" s="58"/>
      <c r="Q69" s="59"/>
      <c r="R69" s="54"/>
      <c r="S69" s="55"/>
    </row>
    <row r="70" spans="1:19" x14ac:dyDescent="0.25">
      <c r="A70" s="58"/>
      <c r="B70" s="59"/>
      <c r="C70" s="54"/>
      <c r="D70" s="55"/>
      <c r="F70" s="58"/>
      <c r="G70" s="59"/>
      <c r="H70" s="54"/>
      <c r="I70" s="55"/>
      <c r="K70" s="58"/>
      <c r="L70" s="59"/>
      <c r="M70" s="54"/>
      <c r="N70" s="55"/>
      <c r="P70" s="58"/>
      <c r="Q70" s="59"/>
      <c r="R70" s="54"/>
      <c r="S70" s="55"/>
    </row>
    <row r="71" spans="1:19" x14ac:dyDescent="0.25">
      <c r="A71" s="58"/>
      <c r="B71" s="59"/>
      <c r="C71" s="54"/>
      <c r="D71" s="55"/>
      <c r="F71" s="58"/>
      <c r="G71" s="59"/>
      <c r="H71" s="54"/>
      <c r="I71" s="55"/>
      <c r="K71" s="58"/>
      <c r="L71" s="59"/>
      <c r="M71" s="54"/>
      <c r="N71" s="55"/>
      <c r="P71" s="58"/>
      <c r="Q71" s="59"/>
      <c r="R71" s="54"/>
      <c r="S71" s="55"/>
    </row>
    <row r="72" spans="1:19" x14ac:dyDescent="0.25">
      <c r="A72" s="58"/>
      <c r="B72" s="59"/>
      <c r="C72" s="54"/>
      <c r="D72" s="55"/>
      <c r="F72" s="58"/>
      <c r="G72" s="59"/>
      <c r="H72" s="54"/>
      <c r="I72" s="55"/>
      <c r="K72" s="58"/>
      <c r="L72" s="59"/>
      <c r="M72" s="54"/>
      <c r="N72" s="55"/>
      <c r="P72" s="58"/>
      <c r="Q72" s="59"/>
      <c r="R72" s="54"/>
      <c r="S72" s="55"/>
    </row>
    <row r="73" spans="1:19" x14ac:dyDescent="0.25">
      <c r="A73" s="58"/>
      <c r="B73" s="59"/>
      <c r="C73" s="54"/>
      <c r="D73" s="55"/>
      <c r="F73" s="58"/>
      <c r="G73" s="59"/>
      <c r="H73" s="54"/>
      <c r="I73" s="55"/>
      <c r="K73" s="58"/>
      <c r="L73" s="59"/>
      <c r="M73" s="54"/>
      <c r="N73" s="55"/>
      <c r="P73" s="58"/>
      <c r="Q73" s="59"/>
      <c r="R73" s="54"/>
      <c r="S73" s="55"/>
    </row>
    <row r="74" spans="1:19" x14ac:dyDescent="0.25">
      <c r="A74" s="58"/>
      <c r="B74" s="59"/>
      <c r="C74" s="54"/>
      <c r="D74" s="55"/>
      <c r="F74" s="58"/>
      <c r="G74" s="59"/>
      <c r="H74" s="54"/>
      <c r="I74" s="55"/>
      <c r="K74" s="58"/>
      <c r="L74" s="59"/>
      <c r="M74" s="54"/>
      <c r="N74" s="55"/>
      <c r="P74" s="58"/>
      <c r="Q74" s="59"/>
      <c r="R74" s="54"/>
      <c r="S74" s="55"/>
    </row>
    <row r="75" spans="1:19" x14ac:dyDescent="0.25">
      <c r="A75" s="58"/>
      <c r="B75" s="59"/>
      <c r="C75" s="54"/>
      <c r="D75" s="55"/>
      <c r="F75" s="58"/>
      <c r="G75" s="59"/>
      <c r="H75" s="54"/>
      <c r="I75" s="55"/>
      <c r="K75" s="58"/>
      <c r="L75" s="59"/>
      <c r="M75" s="54"/>
      <c r="N75" s="55"/>
      <c r="P75" s="58"/>
      <c r="Q75" s="59"/>
      <c r="R75" s="54"/>
      <c r="S75" s="55"/>
    </row>
    <row r="76" spans="1:19" x14ac:dyDescent="0.25">
      <c r="A76" s="58"/>
      <c r="B76" s="59"/>
      <c r="C76" s="54"/>
      <c r="D76" s="55"/>
      <c r="F76" s="58"/>
      <c r="G76" s="59"/>
      <c r="H76" s="54"/>
      <c r="I76" s="55"/>
      <c r="K76" s="58"/>
      <c r="L76" s="59"/>
      <c r="M76" s="54"/>
      <c r="N76" s="55"/>
      <c r="P76" s="58"/>
      <c r="Q76" s="59"/>
      <c r="R76" s="54"/>
      <c r="S76" s="55"/>
    </row>
    <row r="77" spans="1:19" x14ac:dyDescent="0.25">
      <c r="A77" s="58"/>
      <c r="B77" s="59"/>
      <c r="C77" s="54"/>
      <c r="D77" s="55"/>
      <c r="F77" s="58"/>
      <c r="G77" s="59"/>
      <c r="H77" s="54"/>
      <c r="I77" s="55"/>
      <c r="K77" s="58"/>
      <c r="L77" s="59"/>
      <c r="M77" s="54"/>
      <c r="N77" s="55"/>
      <c r="P77" s="58"/>
      <c r="Q77" s="59"/>
      <c r="R77" s="54"/>
      <c r="S77" s="55"/>
    </row>
    <row r="78" spans="1:19" x14ac:dyDescent="0.25">
      <c r="A78" s="58"/>
      <c r="B78" s="59"/>
      <c r="C78" s="54"/>
      <c r="D78" s="55"/>
      <c r="F78" s="58"/>
      <c r="G78" s="59"/>
      <c r="H78" s="54"/>
      <c r="I78" s="55"/>
      <c r="K78" s="58"/>
      <c r="L78" s="59"/>
      <c r="M78" s="54"/>
      <c r="N78" s="55"/>
      <c r="P78" s="58"/>
      <c r="Q78" s="59"/>
      <c r="R78" s="54"/>
      <c r="S78" s="55"/>
    </row>
    <row r="79" spans="1:19" x14ac:dyDescent="0.25">
      <c r="A79" s="58"/>
      <c r="B79" s="59"/>
      <c r="C79" s="54"/>
      <c r="D79" s="55"/>
      <c r="F79" s="58"/>
      <c r="G79" s="59"/>
      <c r="H79" s="54"/>
      <c r="I79" s="55"/>
      <c r="K79" s="58"/>
      <c r="L79" s="59"/>
      <c r="M79" s="54"/>
      <c r="N79" s="55"/>
      <c r="P79" s="58"/>
      <c r="Q79" s="59"/>
      <c r="R79" s="54"/>
      <c r="S79" s="55"/>
    </row>
    <row r="80" spans="1:19" x14ac:dyDescent="0.25">
      <c r="A80" s="58"/>
      <c r="B80" s="59"/>
      <c r="C80" s="54"/>
      <c r="D80" s="55"/>
      <c r="F80" s="58"/>
      <c r="G80" s="59"/>
      <c r="H80" s="54"/>
      <c r="I80" s="55"/>
      <c r="K80" s="58"/>
      <c r="L80" s="59"/>
      <c r="M80" s="54"/>
      <c r="N80" s="55"/>
      <c r="P80" s="58"/>
      <c r="Q80" s="59"/>
      <c r="R80" s="54"/>
      <c r="S80" s="55"/>
    </row>
    <row r="81" spans="1:19" x14ac:dyDescent="0.25">
      <c r="A81" s="58"/>
      <c r="B81" s="59"/>
      <c r="C81" s="54"/>
      <c r="D81" s="55"/>
      <c r="F81" s="58"/>
      <c r="G81" s="59"/>
      <c r="H81" s="54"/>
      <c r="I81" s="55"/>
      <c r="K81" s="58"/>
      <c r="L81" s="59"/>
      <c r="M81" s="54"/>
      <c r="N81" s="55"/>
      <c r="P81" s="58"/>
      <c r="Q81" s="59"/>
      <c r="R81" s="54"/>
      <c r="S81" s="55"/>
    </row>
    <row r="82" spans="1:19" x14ac:dyDescent="0.25">
      <c r="A82" s="58"/>
      <c r="B82" s="59"/>
      <c r="C82" s="54"/>
      <c r="D82" s="55"/>
      <c r="F82" s="58"/>
      <c r="G82" s="59"/>
      <c r="H82" s="54"/>
      <c r="I82" s="55"/>
      <c r="K82" s="58"/>
      <c r="L82" s="59"/>
      <c r="M82" s="54"/>
      <c r="N82" s="55"/>
      <c r="P82" s="58"/>
      <c r="Q82" s="59"/>
      <c r="R82" s="54"/>
      <c r="S82" s="55"/>
    </row>
    <row r="83" spans="1:19" x14ac:dyDescent="0.25">
      <c r="A83" s="58"/>
      <c r="B83" s="59"/>
      <c r="C83" s="54"/>
      <c r="D83" s="55"/>
      <c r="F83" s="58"/>
      <c r="G83" s="59"/>
      <c r="H83" s="54"/>
      <c r="I83" s="55"/>
      <c r="K83" s="58"/>
      <c r="L83" s="59"/>
      <c r="M83" s="54"/>
      <c r="N83" s="55"/>
      <c r="P83" s="58"/>
      <c r="Q83" s="59"/>
      <c r="R83" s="54"/>
      <c r="S83" s="55"/>
    </row>
    <row r="84" spans="1:19" x14ac:dyDescent="0.25">
      <c r="A84" s="58"/>
      <c r="B84" s="59"/>
      <c r="C84" s="54"/>
      <c r="D84" s="55"/>
      <c r="F84" s="58"/>
      <c r="G84" s="59"/>
      <c r="H84" s="54"/>
      <c r="I84" s="55"/>
      <c r="K84" s="58"/>
      <c r="L84" s="59"/>
      <c r="M84" s="54"/>
      <c r="N84" s="55"/>
      <c r="P84" s="58"/>
      <c r="Q84" s="59"/>
      <c r="R84" s="54"/>
      <c r="S84" s="55"/>
    </row>
    <row r="85" spans="1:19" x14ac:dyDescent="0.25">
      <c r="A85" s="58"/>
      <c r="B85" s="59"/>
      <c r="C85" s="54"/>
      <c r="D85" s="55"/>
      <c r="F85" s="58"/>
      <c r="G85" s="59"/>
      <c r="H85" s="54"/>
      <c r="I85" s="55"/>
      <c r="K85" s="58"/>
      <c r="L85" s="59"/>
      <c r="M85" s="54"/>
      <c r="N85" s="55"/>
      <c r="P85" s="58"/>
      <c r="Q85" s="59"/>
      <c r="R85" s="54"/>
      <c r="S85" s="55"/>
    </row>
    <row r="86" spans="1:19" x14ac:dyDescent="0.25">
      <c r="A86" s="58"/>
      <c r="B86" s="59"/>
      <c r="C86" s="54"/>
      <c r="D86" s="55"/>
      <c r="F86" s="58"/>
      <c r="G86" s="59"/>
      <c r="H86" s="54"/>
      <c r="I86" s="55"/>
      <c r="K86" s="58"/>
      <c r="L86" s="59"/>
      <c r="M86" s="54"/>
      <c r="N86" s="55"/>
      <c r="P86" s="58"/>
      <c r="Q86" s="59"/>
      <c r="R86" s="54"/>
      <c r="S86" s="55"/>
    </row>
    <row r="87" spans="1:19" x14ac:dyDescent="0.25">
      <c r="A87" s="58"/>
      <c r="B87" s="59"/>
      <c r="C87" s="54"/>
      <c r="D87" s="55"/>
      <c r="F87" s="58"/>
      <c r="G87" s="59"/>
      <c r="H87" s="54"/>
      <c r="I87" s="55"/>
      <c r="K87" s="58"/>
      <c r="L87" s="59"/>
      <c r="M87" s="54"/>
      <c r="N87" s="55"/>
      <c r="P87" s="58"/>
      <c r="Q87" s="59"/>
      <c r="R87" s="54"/>
      <c r="S87" s="55"/>
    </row>
    <row r="88" spans="1:19" x14ac:dyDescent="0.25">
      <c r="A88" s="58"/>
      <c r="B88" s="59"/>
      <c r="C88" s="54"/>
      <c r="D88" s="55"/>
      <c r="F88" s="58"/>
      <c r="G88" s="59"/>
      <c r="H88" s="54"/>
      <c r="I88" s="55"/>
      <c r="K88" s="58"/>
      <c r="L88" s="59"/>
      <c r="M88" s="54"/>
      <c r="N88" s="55"/>
      <c r="P88" s="58"/>
      <c r="Q88" s="59"/>
      <c r="R88" s="54"/>
      <c r="S88" s="55"/>
    </row>
    <row r="89" spans="1:19" x14ac:dyDescent="0.25">
      <c r="A89" s="58"/>
      <c r="B89" s="59"/>
      <c r="C89" s="54"/>
      <c r="D89" s="55"/>
      <c r="F89" s="58"/>
      <c r="G89" s="59"/>
      <c r="H89" s="54"/>
      <c r="I89" s="55"/>
      <c r="K89" s="58"/>
      <c r="L89" s="59"/>
      <c r="M89" s="54"/>
      <c r="N89" s="55"/>
      <c r="P89" s="58"/>
      <c r="Q89" s="59"/>
      <c r="R89" s="54"/>
      <c r="S89" s="55"/>
    </row>
    <row r="90" spans="1:19" x14ac:dyDescent="0.25">
      <c r="A90" s="58"/>
      <c r="B90" s="59"/>
      <c r="C90" s="54"/>
      <c r="D90" s="55"/>
      <c r="F90" s="58"/>
      <c r="G90" s="59"/>
      <c r="H90" s="54"/>
      <c r="I90" s="55"/>
      <c r="K90" s="58"/>
      <c r="L90" s="59"/>
      <c r="M90" s="54"/>
      <c r="N90" s="55"/>
      <c r="P90" s="58"/>
      <c r="Q90" s="59"/>
      <c r="R90" s="54"/>
      <c r="S90" s="55"/>
    </row>
    <row r="91" spans="1:19" x14ac:dyDescent="0.25">
      <c r="A91" s="58"/>
      <c r="B91" s="59"/>
      <c r="C91" s="54"/>
      <c r="D91" s="55"/>
      <c r="F91" s="58"/>
      <c r="G91" s="59"/>
      <c r="H91" s="54"/>
      <c r="I91" s="55"/>
      <c r="K91" s="58"/>
      <c r="L91" s="59"/>
      <c r="M91" s="54"/>
      <c r="N91" s="55"/>
      <c r="P91" s="58"/>
      <c r="Q91" s="59"/>
      <c r="R91" s="54"/>
      <c r="S91" s="55"/>
    </row>
    <row r="92" spans="1:19" x14ac:dyDescent="0.25">
      <c r="A92" s="58"/>
      <c r="B92" s="59"/>
      <c r="C92" s="54"/>
      <c r="D92" s="55"/>
      <c r="F92" s="58"/>
      <c r="G92" s="59"/>
      <c r="H92" s="54"/>
      <c r="I92" s="55"/>
      <c r="K92" s="58"/>
      <c r="L92" s="59"/>
      <c r="M92" s="54"/>
      <c r="N92" s="55"/>
      <c r="P92" s="58"/>
      <c r="Q92" s="59"/>
      <c r="R92" s="54"/>
      <c r="S92" s="55"/>
    </row>
    <row r="93" spans="1:19" x14ac:dyDescent="0.25">
      <c r="A93" s="58"/>
      <c r="B93" s="59"/>
      <c r="C93" s="54"/>
      <c r="D93" s="55"/>
      <c r="F93" s="58"/>
      <c r="G93" s="59"/>
      <c r="H93" s="54"/>
      <c r="I93" s="55"/>
      <c r="K93" s="58"/>
      <c r="L93" s="59"/>
      <c r="M93" s="54"/>
      <c r="N93" s="55"/>
      <c r="P93" s="58"/>
      <c r="Q93" s="59"/>
      <c r="R93" s="54"/>
      <c r="S93" s="55"/>
    </row>
    <row r="94" spans="1:19" x14ac:dyDescent="0.25">
      <c r="A94" s="58"/>
      <c r="B94" s="59"/>
      <c r="C94" s="54"/>
      <c r="D94" s="55"/>
      <c r="F94" s="58"/>
      <c r="G94" s="59"/>
      <c r="H94" s="54"/>
      <c r="I94" s="55"/>
      <c r="K94" s="58"/>
      <c r="L94" s="59"/>
      <c r="M94" s="54"/>
      <c r="N94" s="55"/>
      <c r="P94" s="58"/>
      <c r="Q94" s="59"/>
      <c r="R94" s="54"/>
      <c r="S94" s="55"/>
    </row>
    <row r="95" spans="1:19" x14ac:dyDescent="0.25">
      <c r="A95" s="58"/>
      <c r="B95" s="59"/>
      <c r="C95" s="54"/>
      <c r="D95" s="55"/>
      <c r="F95" s="58"/>
      <c r="G95" s="59"/>
      <c r="H95" s="54"/>
      <c r="I95" s="55"/>
      <c r="K95" s="58"/>
      <c r="L95" s="59"/>
      <c r="M95" s="54"/>
      <c r="N95" s="55"/>
      <c r="P95" s="58"/>
      <c r="Q95" s="59"/>
      <c r="R95" s="54"/>
      <c r="S95" s="55"/>
    </row>
    <row r="96" spans="1:19" x14ac:dyDescent="0.25">
      <c r="A96" s="58"/>
      <c r="B96" s="59"/>
      <c r="C96" s="54"/>
      <c r="D96" s="55"/>
      <c r="F96" s="58"/>
      <c r="G96" s="59"/>
      <c r="H96" s="54"/>
      <c r="I96" s="55"/>
      <c r="K96" s="58"/>
      <c r="L96" s="59"/>
      <c r="M96" s="54"/>
      <c r="N96" s="55"/>
      <c r="P96" s="58"/>
      <c r="Q96" s="59"/>
      <c r="R96" s="54"/>
      <c r="S96" s="55"/>
    </row>
    <row r="97" spans="1:19" x14ac:dyDescent="0.25">
      <c r="A97" s="58"/>
      <c r="B97" s="59"/>
      <c r="C97" s="54"/>
      <c r="D97" s="55"/>
      <c r="F97" s="58"/>
      <c r="G97" s="59"/>
      <c r="H97" s="54"/>
      <c r="I97" s="55"/>
      <c r="K97" s="58"/>
      <c r="L97" s="59"/>
      <c r="M97" s="54"/>
      <c r="N97" s="55"/>
      <c r="P97" s="58"/>
      <c r="Q97" s="59"/>
      <c r="R97" s="54"/>
      <c r="S97" s="55"/>
    </row>
    <row r="98" spans="1:19" x14ac:dyDescent="0.25">
      <c r="A98" s="58"/>
      <c r="B98" s="59"/>
      <c r="C98" s="54"/>
      <c r="D98" s="55"/>
      <c r="F98" s="58"/>
      <c r="G98" s="59"/>
      <c r="H98" s="54"/>
      <c r="I98" s="55"/>
      <c r="K98" s="58"/>
      <c r="L98" s="59"/>
      <c r="M98" s="54"/>
      <c r="N98" s="55"/>
      <c r="P98" s="58"/>
      <c r="Q98" s="59"/>
      <c r="R98" s="54"/>
      <c r="S98" s="55"/>
    </row>
    <row r="99" spans="1:19" x14ac:dyDescent="0.25">
      <c r="A99" s="58"/>
      <c r="B99" s="59"/>
      <c r="C99" s="54"/>
      <c r="D99" s="55"/>
      <c r="F99" s="58"/>
      <c r="G99" s="59"/>
      <c r="H99" s="54"/>
      <c r="I99" s="55"/>
      <c r="K99" s="58"/>
      <c r="L99" s="59"/>
      <c r="M99" s="54"/>
      <c r="N99" s="55"/>
      <c r="P99" s="58"/>
      <c r="Q99" s="59"/>
      <c r="R99" s="54"/>
      <c r="S99" s="55"/>
    </row>
    <row r="100" spans="1:19" x14ac:dyDescent="0.25">
      <c r="A100" s="58"/>
      <c r="B100" s="59"/>
      <c r="C100" s="54"/>
      <c r="D100" s="55"/>
      <c r="F100" s="58"/>
      <c r="G100" s="59"/>
      <c r="H100" s="54"/>
      <c r="I100" s="55"/>
      <c r="K100" s="58"/>
      <c r="L100" s="59"/>
      <c r="M100" s="54"/>
      <c r="N100" s="55"/>
      <c r="P100" s="58"/>
      <c r="Q100" s="59"/>
      <c r="R100" s="54"/>
      <c r="S100" s="55"/>
    </row>
    <row r="101" spans="1:19" x14ac:dyDescent="0.25">
      <c r="A101" s="58"/>
      <c r="B101" s="59"/>
      <c r="C101" s="54"/>
      <c r="D101" s="55"/>
      <c r="F101" s="58"/>
      <c r="G101" s="59"/>
      <c r="H101" s="54"/>
      <c r="I101" s="55"/>
      <c r="K101" s="58"/>
      <c r="L101" s="59"/>
      <c r="M101" s="54"/>
      <c r="N101" s="55"/>
      <c r="P101" s="58"/>
      <c r="Q101" s="59"/>
      <c r="R101" s="54"/>
      <c r="S101" s="55"/>
    </row>
    <row r="102" spans="1:19" x14ac:dyDescent="0.25">
      <c r="A102" s="58"/>
      <c r="B102" s="59"/>
      <c r="C102" s="54"/>
      <c r="D102" s="55"/>
      <c r="F102" s="58"/>
      <c r="G102" s="59"/>
      <c r="H102" s="54"/>
      <c r="I102" s="55"/>
      <c r="K102" s="58"/>
      <c r="L102" s="59"/>
      <c r="M102" s="54"/>
      <c r="N102" s="55"/>
      <c r="P102" s="58"/>
      <c r="Q102" s="59"/>
      <c r="R102" s="54"/>
      <c r="S102" s="55"/>
    </row>
    <row r="103" spans="1:19" x14ac:dyDescent="0.25">
      <c r="A103" s="58"/>
      <c r="B103" s="59"/>
      <c r="C103" s="54"/>
      <c r="D103" s="55"/>
      <c r="F103" s="58"/>
      <c r="G103" s="59"/>
      <c r="H103" s="54"/>
      <c r="I103" s="55"/>
      <c r="K103" s="58"/>
      <c r="L103" s="59"/>
      <c r="M103" s="54"/>
      <c r="N103" s="55"/>
      <c r="P103" s="58"/>
      <c r="Q103" s="59"/>
      <c r="R103" s="54"/>
      <c r="S103" s="55"/>
    </row>
    <row r="104" spans="1:19" x14ac:dyDescent="0.25">
      <c r="A104" s="58"/>
      <c r="B104" s="59"/>
      <c r="C104" s="54"/>
      <c r="D104" s="55"/>
      <c r="F104" s="58"/>
      <c r="G104" s="59"/>
      <c r="H104" s="54"/>
      <c r="I104" s="55"/>
      <c r="K104" s="58"/>
      <c r="L104" s="59"/>
      <c r="M104" s="54"/>
      <c r="N104" s="55"/>
      <c r="P104" s="58"/>
      <c r="Q104" s="59"/>
      <c r="R104" s="54"/>
      <c r="S104" s="55"/>
    </row>
    <row r="105" spans="1:19" x14ac:dyDescent="0.25">
      <c r="A105" s="58"/>
      <c r="B105" s="59"/>
      <c r="C105" s="54"/>
      <c r="D105" s="55"/>
      <c r="F105" s="58"/>
      <c r="G105" s="59"/>
      <c r="H105" s="54"/>
      <c r="I105" s="55"/>
      <c r="K105" s="58"/>
      <c r="L105" s="59"/>
      <c r="M105" s="54"/>
      <c r="N105" s="55"/>
      <c r="P105" s="58"/>
      <c r="Q105" s="59"/>
      <c r="R105" s="54"/>
      <c r="S105" s="55"/>
    </row>
    <row r="106" spans="1:19" x14ac:dyDescent="0.25">
      <c r="A106" s="58"/>
      <c r="B106" s="59"/>
      <c r="C106" s="54"/>
      <c r="D106" s="55"/>
      <c r="F106" s="58"/>
      <c r="G106" s="59"/>
      <c r="H106" s="54"/>
      <c r="I106" s="55"/>
      <c r="K106" s="58"/>
      <c r="L106" s="59"/>
      <c r="M106" s="54"/>
      <c r="N106" s="55"/>
      <c r="P106" s="58"/>
      <c r="Q106" s="59"/>
      <c r="R106" s="54"/>
      <c r="S106" s="55"/>
    </row>
    <row r="107" spans="1:19" x14ac:dyDescent="0.25">
      <c r="A107" s="58"/>
      <c r="B107" s="59"/>
      <c r="C107" s="54"/>
      <c r="D107" s="55"/>
      <c r="F107" s="58"/>
      <c r="G107" s="59"/>
      <c r="H107" s="54"/>
      <c r="I107" s="55"/>
      <c r="K107" s="58"/>
      <c r="L107" s="59"/>
      <c r="M107" s="54"/>
      <c r="N107" s="55"/>
      <c r="P107" s="58"/>
      <c r="Q107" s="59"/>
      <c r="R107" s="54"/>
      <c r="S107" s="55"/>
    </row>
    <row r="108" spans="1:19" x14ac:dyDescent="0.25">
      <c r="A108" s="58"/>
      <c r="B108" s="59"/>
      <c r="C108" s="54"/>
      <c r="D108" s="55"/>
      <c r="F108" s="58"/>
      <c r="G108" s="59"/>
      <c r="H108" s="54"/>
      <c r="I108" s="55"/>
      <c r="K108" s="58"/>
      <c r="L108" s="59"/>
      <c r="M108" s="54"/>
      <c r="N108" s="55"/>
      <c r="P108" s="58"/>
      <c r="Q108" s="59"/>
      <c r="R108" s="54"/>
      <c r="S108" s="55"/>
    </row>
    <row r="109" spans="1:19" x14ac:dyDescent="0.25">
      <c r="A109" s="58"/>
      <c r="B109" s="59"/>
      <c r="C109" s="54"/>
      <c r="D109" s="55"/>
      <c r="F109" s="58"/>
      <c r="G109" s="59"/>
      <c r="H109" s="54"/>
      <c r="I109" s="55"/>
      <c r="K109" s="58"/>
      <c r="L109" s="59"/>
      <c r="M109" s="54"/>
      <c r="N109" s="55"/>
      <c r="P109" s="58"/>
      <c r="Q109" s="59"/>
      <c r="R109" s="54"/>
      <c r="S109" s="55"/>
    </row>
    <row r="110" spans="1:19" x14ac:dyDescent="0.25">
      <c r="A110" s="58"/>
      <c r="B110" s="59"/>
      <c r="C110" s="54"/>
      <c r="D110" s="55"/>
      <c r="F110" s="58"/>
      <c r="G110" s="59"/>
      <c r="H110" s="54"/>
      <c r="I110" s="55"/>
      <c r="K110" s="58"/>
      <c r="L110" s="59"/>
      <c r="M110" s="54"/>
      <c r="N110" s="55"/>
      <c r="P110" s="58"/>
      <c r="Q110" s="59"/>
      <c r="R110" s="54"/>
      <c r="S110" s="55"/>
    </row>
    <row r="111" spans="1:19" x14ac:dyDescent="0.25">
      <c r="A111" s="58"/>
      <c r="B111" s="59"/>
      <c r="C111" s="54"/>
      <c r="D111" s="55"/>
      <c r="F111" s="58"/>
      <c r="G111" s="59"/>
      <c r="H111" s="54"/>
      <c r="I111" s="55"/>
      <c r="K111" s="58"/>
      <c r="L111" s="59"/>
      <c r="M111" s="54"/>
      <c r="N111" s="55"/>
      <c r="P111" s="58"/>
      <c r="Q111" s="59"/>
      <c r="R111" s="54"/>
      <c r="S111" s="55"/>
    </row>
    <row r="112" spans="1:19" x14ac:dyDescent="0.25">
      <c r="A112" s="58"/>
      <c r="B112" s="59"/>
      <c r="C112" s="54"/>
      <c r="D112" s="55"/>
      <c r="F112" s="58"/>
      <c r="G112" s="59"/>
      <c r="H112" s="54"/>
      <c r="I112" s="55"/>
      <c r="K112" s="58"/>
      <c r="L112" s="59"/>
      <c r="M112" s="54"/>
      <c r="N112" s="55"/>
      <c r="P112" s="58"/>
      <c r="Q112" s="59"/>
      <c r="R112" s="54"/>
      <c r="S112" s="55"/>
    </row>
    <row r="113" spans="1:19" x14ac:dyDescent="0.25">
      <c r="A113" s="58"/>
      <c r="B113" s="59"/>
      <c r="C113" s="54"/>
      <c r="D113" s="55"/>
      <c r="F113" s="58"/>
      <c r="G113" s="59"/>
      <c r="H113" s="54"/>
      <c r="I113" s="55"/>
      <c r="K113" s="58"/>
      <c r="L113" s="59"/>
      <c r="M113" s="54"/>
      <c r="N113" s="55"/>
      <c r="P113" s="58"/>
      <c r="Q113" s="59"/>
      <c r="R113" s="54"/>
      <c r="S113" s="55"/>
    </row>
    <row r="114" spans="1:19" x14ac:dyDescent="0.25">
      <c r="A114" s="58"/>
      <c r="B114" s="59"/>
      <c r="C114" s="54"/>
      <c r="D114" s="55"/>
      <c r="F114" s="58"/>
      <c r="G114" s="59"/>
      <c r="H114" s="54"/>
      <c r="I114" s="55"/>
      <c r="K114" s="58"/>
      <c r="L114" s="59"/>
      <c r="M114" s="54"/>
      <c r="N114" s="55"/>
      <c r="P114" s="58"/>
      <c r="Q114" s="59"/>
      <c r="R114" s="54"/>
      <c r="S114" s="55"/>
    </row>
    <row r="115" spans="1:19" x14ac:dyDescent="0.25">
      <c r="A115" s="58"/>
      <c r="B115" s="59"/>
      <c r="C115" s="54"/>
      <c r="D115" s="55"/>
      <c r="F115" s="58"/>
      <c r="G115" s="59"/>
      <c r="H115" s="54"/>
      <c r="I115" s="55"/>
      <c r="K115" s="58"/>
      <c r="L115" s="59"/>
      <c r="M115" s="54"/>
      <c r="N115" s="55"/>
      <c r="P115" s="58"/>
      <c r="Q115" s="59"/>
      <c r="R115" s="54"/>
      <c r="S115" s="55"/>
    </row>
    <row r="116" spans="1:19" x14ac:dyDescent="0.25">
      <c r="A116" s="58"/>
      <c r="B116" s="59"/>
      <c r="C116" s="54"/>
      <c r="D116" s="55"/>
      <c r="F116" s="58"/>
      <c r="G116" s="59"/>
      <c r="H116" s="54"/>
      <c r="I116" s="55"/>
      <c r="K116" s="58"/>
      <c r="L116" s="59"/>
      <c r="M116" s="54"/>
      <c r="N116" s="55"/>
      <c r="P116" s="58"/>
      <c r="Q116" s="59"/>
      <c r="R116" s="54"/>
      <c r="S116" s="55"/>
    </row>
    <row r="117" spans="1:19" x14ac:dyDescent="0.25">
      <c r="A117" s="58"/>
      <c r="B117" s="59"/>
      <c r="C117" s="54"/>
      <c r="D117" s="55"/>
      <c r="F117" s="58"/>
      <c r="G117" s="59"/>
      <c r="H117" s="54"/>
      <c r="I117" s="55"/>
      <c r="K117" s="58"/>
      <c r="L117" s="59"/>
      <c r="M117" s="54"/>
      <c r="N117" s="55"/>
      <c r="P117" s="58"/>
      <c r="Q117" s="59"/>
      <c r="R117" s="54"/>
      <c r="S117" s="55"/>
    </row>
    <row r="118" spans="1:19" ht="15.75" thickBot="1" x14ac:dyDescent="0.3">
      <c r="A118" s="60"/>
      <c r="B118" s="61"/>
      <c r="C118" s="56"/>
      <c r="D118" s="57"/>
      <c r="F118" s="60"/>
      <c r="G118" s="61"/>
      <c r="H118" s="56"/>
      <c r="I118" s="57"/>
      <c r="K118" s="58"/>
      <c r="L118" s="59"/>
      <c r="M118" s="54"/>
      <c r="N118" s="55"/>
      <c r="P118" s="58"/>
      <c r="Q118" s="59"/>
      <c r="R118" s="54"/>
      <c r="S118" s="55"/>
    </row>
    <row r="119" spans="1:19" x14ac:dyDescent="0.25">
      <c r="K119" s="58"/>
      <c r="L119" s="59"/>
      <c r="M119" s="54"/>
      <c r="N119" s="55"/>
      <c r="P119" s="58"/>
      <c r="Q119" s="59"/>
      <c r="R119" s="54"/>
      <c r="S119" s="55"/>
    </row>
    <row r="120" spans="1:19" x14ac:dyDescent="0.25">
      <c r="K120" s="58"/>
      <c r="L120" s="59"/>
      <c r="M120" s="54"/>
      <c r="N120" s="55"/>
      <c r="P120" s="58"/>
      <c r="Q120" s="59"/>
      <c r="R120" s="54"/>
      <c r="S120" s="55"/>
    </row>
    <row r="121" spans="1:19" x14ac:dyDescent="0.25">
      <c r="K121" s="58"/>
      <c r="L121" s="59"/>
      <c r="M121" s="54"/>
      <c r="N121" s="55"/>
      <c r="P121" s="58"/>
      <c r="Q121" s="59"/>
      <c r="R121" s="54"/>
      <c r="S121" s="55"/>
    </row>
    <row r="122" spans="1:19" x14ac:dyDescent="0.25">
      <c r="K122" s="58"/>
      <c r="L122" s="59"/>
      <c r="M122" s="54"/>
      <c r="N122" s="55"/>
      <c r="P122" s="58"/>
      <c r="Q122" s="59"/>
      <c r="R122" s="54"/>
      <c r="S122" s="55"/>
    </row>
    <row r="123" spans="1:19" x14ac:dyDescent="0.25">
      <c r="K123" s="58"/>
      <c r="L123" s="59"/>
      <c r="M123" s="54"/>
      <c r="N123" s="55"/>
      <c r="P123" s="58"/>
      <c r="Q123" s="59"/>
      <c r="R123" s="54"/>
      <c r="S123" s="55"/>
    </row>
    <row r="124" spans="1:19" x14ac:dyDescent="0.25">
      <c r="K124" s="58"/>
      <c r="L124" s="59"/>
      <c r="M124" s="54"/>
      <c r="N124" s="55"/>
      <c r="P124" s="58"/>
      <c r="Q124" s="59"/>
      <c r="R124" s="54"/>
      <c r="S124" s="55"/>
    </row>
    <row r="125" spans="1:19" x14ac:dyDescent="0.25">
      <c r="K125" s="58"/>
      <c r="L125" s="59"/>
      <c r="M125" s="54"/>
      <c r="N125" s="55"/>
      <c r="P125" s="58"/>
      <c r="Q125" s="59"/>
      <c r="R125" s="54"/>
      <c r="S125" s="55"/>
    </row>
    <row r="126" spans="1:19" x14ac:dyDescent="0.25">
      <c r="K126" s="58"/>
      <c r="L126" s="59"/>
      <c r="M126" s="54"/>
      <c r="N126" s="55"/>
      <c r="P126" s="58"/>
      <c r="Q126" s="59"/>
      <c r="R126" s="54"/>
      <c r="S126" s="55"/>
    </row>
    <row r="127" spans="1:19" x14ac:dyDescent="0.25">
      <c r="K127" s="58"/>
      <c r="L127" s="59"/>
      <c r="M127" s="54"/>
      <c r="N127" s="55"/>
      <c r="P127" s="58"/>
      <c r="Q127" s="59"/>
      <c r="R127" s="54"/>
      <c r="S127" s="55"/>
    </row>
    <row r="128" spans="1:19" x14ac:dyDescent="0.25">
      <c r="K128" s="58"/>
      <c r="L128" s="59"/>
      <c r="M128" s="54"/>
      <c r="N128" s="55"/>
      <c r="P128" s="58"/>
      <c r="Q128" s="59"/>
      <c r="R128" s="54"/>
      <c r="S128" s="55"/>
    </row>
    <row r="129" spans="11:19" x14ac:dyDescent="0.25">
      <c r="K129" s="58"/>
      <c r="L129" s="59"/>
      <c r="M129" s="54"/>
      <c r="N129" s="55"/>
      <c r="P129" s="58"/>
      <c r="Q129" s="59"/>
      <c r="R129" s="54"/>
      <c r="S129" s="55"/>
    </row>
    <row r="130" spans="11:19" x14ac:dyDescent="0.25">
      <c r="K130" s="58"/>
      <c r="L130" s="59"/>
      <c r="M130" s="54"/>
      <c r="N130" s="55"/>
      <c r="P130" s="58"/>
      <c r="Q130" s="59"/>
      <c r="R130" s="54"/>
      <c r="S130" s="55"/>
    </row>
    <row r="131" spans="11:19" x14ac:dyDescent="0.25">
      <c r="K131" s="58"/>
      <c r="L131" s="59"/>
      <c r="M131" s="54"/>
      <c r="N131" s="55"/>
      <c r="P131" s="58"/>
      <c r="Q131" s="59"/>
      <c r="R131" s="54"/>
      <c r="S131" s="55"/>
    </row>
    <row r="132" spans="11:19" x14ac:dyDescent="0.25">
      <c r="K132" s="58"/>
      <c r="L132" s="59"/>
      <c r="M132" s="54"/>
      <c r="N132" s="55"/>
      <c r="P132" s="58"/>
      <c r="Q132" s="59"/>
      <c r="R132" s="54"/>
      <c r="S132" s="55"/>
    </row>
    <row r="133" spans="11:19" x14ac:dyDescent="0.25">
      <c r="K133" s="58"/>
      <c r="L133" s="59"/>
      <c r="M133" s="54"/>
      <c r="N133" s="55"/>
      <c r="P133" s="58"/>
      <c r="Q133" s="59"/>
      <c r="R133" s="54"/>
      <c r="S133" s="55"/>
    </row>
    <row r="134" spans="11:19" x14ac:dyDescent="0.25">
      <c r="K134" s="58"/>
      <c r="L134" s="59"/>
      <c r="M134" s="54"/>
      <c r="N134" s="55"/>
      <c r="P134" s="58"/>
      <c r="Q134" s="59"/>
      <c r="R134" s="54"/>
      <c r="S134" s="55"/>
    </row>
    <row r="135" spans="11:19" x14ac:dyDescent="0.25">
      <c r="K135" s="58"/>
      <c r="L135" s="59"/>
      <c r="M135" s="54"/>
      <c r="N135" s="55"/>
      <c r="P135" s="58"/>
      <c r="Q135" s="59"/>
      <c r="R135" s="54"/>
      <c r="S135" s="55"/>
    </row>
    <row r="136" spans="11:19" x14ac:dyDescent="0.25">
      <c r="K136" s="58"/>
      <c r="L136" s="59"/>
      <c r="M136" s="54"/>
      <c r="N136" s="55"/>
      <c r="P136" s="58"/>
      <c r="Q136" s="59"/>
      <c r="R136" s="54"/>
      <c r="S136" s="55"/>
    </row>
    <row r="137" spans="11:19" x14ac:dyDescent="0.25">
      <c r="K137" s="58"/>
      <c r="L137" s="59"/>
      <c r="M137" s="54"/>
      <c r="N137" s="55"/>
      <c r="P137" s="58"/>
      <c r="Q137" s="59"/>
      <c r="R137" s="54"/>
      <c r="S137" s="55"/>
    </row>
    <row r="138" spans="11:19" x14ac:dyDescent="0.25">
      <c r="K138" s="58"/>
      <c r="L138" s="59"/>
      <c r="M138" s="54"/>
      <c r="N138" s="55"/>
      <c r="P138" s="58"/>
      <c r="Q138" s="59"/>
      <c r="R138" s="54"/>
      <c r="S138" s="55"/>
    </row>
    <row r="139" spans="11:19" x14ac:dyDescent="0.25">
      <c r="K139" s="58"/>
      <c r="L139" s="59"/>
      <c r="M139" s="54"/>
      <c r="N139" s="55"/>
      <c r="P139" s="58"/>
      <c r="Q139" s="59"/>
      <c r="R139" s="54"/>
      <c r="S139" s="55"/>
    </row>
    <row r="140" spans="11:19" x14ac:dyDescent="0.25">
      <c r="K140" s="58"/>
      <c r="L140" s="59"/>
      <c r="M140" s="54"/>
      <c r="N140" s="55"/>
      <c r="P140" s="58"/>
      <c r="Q140" s="59"/>
      <c r="R140" s="54"/>
      <c r="S140" s="55"/>
    </row>
    <row r="141" spans="11:19" x14ac:dyDescent="0.25">
      <c r="K141" s="58"/>
      <c r="L141" s="59"/>
      <c r="M141" s="54"/>
      <c r="N141" s="55"/>
      <c r="P141" s="58"/>
      <c r="Q141" s="59"/>
      <c r="R141" s="54"/>
      <c r="S141" s="55"/>
    </row>
    <row r="142" spans="11:19" x14ac:dyDescent="0.25">
      <c r="K142" s="58"/>
      <c r="L142" s="59"/>
      <c r="M142" s="54"/>
      <c r="N142" s="55"/>
      <c r="P142" s="58"/>
      <c r="Q142" s="59"/>
      <c r="R142" s="54"/>
      <c r="S142" s="55"/>
    </row>
    <row r="143" spans="11:19" x14ac:dyDescent="0.25">
      <c r="K143" s="58"/>
      <c r="L143" s="59"/>
      <c r="M143" s="54"/>
      <c r="N143" s="55"/>
      <c r="P143" s="58"/>
      <c r="Q143" s="59"/>
      <c r="R143" s="54"/>
      <c r="S143" s="55"/>
    </row>
    <row r="144" spans="11:19" x14ac:dyDescent="0.25">
      <c r="K144" s="58"/>
      <c r="L144" s="59"/>
      <c r="M144" s="54"/>
      <c r="N144" s="55"/>
      <c r="P144" s="58"/>
      <c r="Q144" s="59"/>
      <c r="R144" s="54"/>
      <c r="S144" s="55"/>
    </row>
    <row r="145" spans="11:19" x14ac:dyDescent="0.25">
      <c r="K145" s="58"/>
      <c r="L145" s="59"/>
      <c r="M145" s="54"/>
      <c r="N145" s="55"/>
      <c r="P145" s="58"/>
      <c r="Q145" s="59"/>
      <c r="R145" s="54"/>
      <c r="S145" s="55"/>
    </row>
    <row r="146" spans="11:19" x14ac:dyDescent="0.25">
      <c r="K146" s="58"/>
      <c r="L146" s="59"/>
      <c r="M146" s="54"/>
      <c r="N146" s="55"/>
      <c r="P146" s="58"/>
      <c r="Q146" s="59"/>
      <c r="R146" s="54"/>
      <c r="S146" s="55"/>
    </row>
    <row r="147" spans="11:19" x14ac:dyDescent="0.25">
      <c r="K147" s="58"/>
      <c r="L147" s="59"/>
      <c r="M147" s="54"/>
      <c r="N147" s="55"/>
      <c r="P147" s="58"/>
      <c r="Q147" s="59"/>
      <c r="R147" s="54"/>
      <c r="S147" s="55"/>
    </row>
    <row r="148" spans="11:19" x14ac:dyDescent="0.25">
      <c r="K148" s="58"/>
      <c r="L148" s="59"/>
      <c r="M148" s="54"/>
      <c r="N148" s="55"/>
      <c r="P148" s="58"/>
      <c r="Q148" s="59"/>
      <c r="R148" s="54"/>
      <c r="S148" s="55"/>
    </row>
    <row r="149" spans="11:19" x14ac:dyDescent="0.25">
      <c r="K149" s="58"/>
      <c r="L149" s="59"/>
      <c r="M149" s="54"/>
      <c r="N149" s="55"/>
      <c r="P149" s="58"/>
      <c r="Q149" s="59"/>
      <c r="R149" s="54"/>
      <c r="S149" s="55"/>
    </row>
    <row r="150" spans="11:19" x14ac:dyDescent="0.25">
      <c r="K150" s="58"/>
      <c r="L150" s="59"/>
      <c r="M150" s="54"/>
      <c r="N150" s="55"/>
      <c r="P150" s="58"/>
      <c r="Q150" s="59"/>
      <c r="R150" s="54"/>
      <c r="S150" s="55"/>
    </row>
    <row r="151" spans="11:19" x14ac:dyDescent="0.25">
      <c r="K151" s="58"/>
      <c r="L151" s="59"/>
      <c r="M151" s="54"/>
      <c r="N151" s="55"/>
      <c r="P151" s="58"/>
      <c r="Q151" s="59"/>
      <c r="R151" s="54"/>
      <c r="S151" s="55"/>
    </row>
    <row r="152" spans="11:19" x14ac:dyDescent="0.25">
      <c r="K152" s="58"/>
      <c r="L152" s="59"/>
      <c r="M152" s="54"/>
      <c r="N152" s="55"/>
      <c r="P152" s="58"/>
      <c r="Q152" s="59"/>
      <c r="R152" s="54"/>
      <c r="S152" s="55"/>
    </row>
    <row r="153" spans="11:19" x14ac:dyDescent="0.25">
      <c r="K153" s="58"/>
      <c r="L153" s="59"/>
      <c r="M153" s="54"/>
      <c r="N153" s="55"/>
      <c r="P153" s="58"/>
      <c r="Q153" s="59"/>
      <c r="R153" s="54"/>
      <c r="S153" s="55"/>
    </row>
    <row r="154" spans="11:19" x14ac:dyDescent="0.25">
      <c r="K154" s="58"/>
      <c r="L154" s="59"/>
      <c r="M154" s="54"/>
      <c r="N154" s="55"/>
      <c r="P154" s="58"/>
      <c r="Q154" s="59"/>
      <c r="R154" s="54"/>
      <c r="S154" s="55"/>
    </row>
    <row r="155" spans="11:19" x14ac:dyDescent="0.25">
      <c r="K155" s="58"/>
      <c r="L155" s="59"/>
      <c r="M155" s="54"/>
      <c r="N155" s="55"/>
      <c r="P155" s="58"/>
      <c r="Q155" s="59"/>
      <c r="R155" s="54"/>
      <c r="S155" s="55"/>
    </row>
    <row r="156" spans="11:19" x14ac:dyDescent="0.25">
      <c r="K156" s="58"/>
      <c r="L156" s="59"/>
      <c r="M156" s="54"/>
      <c r="N156" s="55"/>
      <c r="P156" s="58"/>
      <c r="Q156" s="59"/>
      <c r="R156" s="54"/>
      <c r="S156" s="55"/>
    </row>
    <row r="157" spans="11:19" x14ac:dyDescent="0.25">
      <c r="K157" s="58"/>
      <c r="L157" s="59"/>
      <c r="M157" s="54"/>
      <c r="N157" s="55"/>
      <c r="P157" s="58"/>
      <c r="Q157" s="59"/>
      <c r="R157" s="54"/>
      <c r="S157" s="55"/>
    </row>
    <row r="158" spans="11:19" x14ac:dyDescent="0.25">
      <c r="K158" s="58"/>
      <c r="L158" s="59"/>
      <c r="M158" s="54"/>
      <c r="N158" s="55"/>
      <c r="P158" s="58"/>
      <c r="Q158" s="59"/>
      <c r="R158" s="54"/>
      <c r="S158" s="55"/>
    </row>
    <row r="159" spans="11:19" x14ac:dyDescent="0.25">
      <c r="K159" s="58"/>
      <c r="L159" s="59"/>
      <c r="M159" s="54"/>
      <c r="N159" s="55"/>
      <c r="P159" s="58"/>
      <c r="Q159" s="59"/>
      <c r="R159" s="54"/>
      <c r="S159" s="55"/>
    </row>
    <row r="160" spans="11:19" x14ac:dyDescent="0.25">
      <c r="K160" s="58"/>
      <c r="L160" s="59"/>
      <c r="M160" s="54"/>
      <c r="N160" s="55"/>
      <c r="P160" s="58"/>
      <c r="Q160" s="59"/>
      <c r="R160" s="54"/>
      <c r="S160" s="55"/>
    </row>
    <row r="161" spans="11:19" x14ac:dyDescent="0.25">
      <c r="K161" s="58"/>
      <c r="L161" s="59"/>
      <c r="M161" s="54"/>
      <c r="N161" s="55"/>
      <c r="P161" s="58"/>
      <c r="Q161" s="59"/>
      <c r="R161" s="54"/>
      <c r="S161" s="55"/>
    </row>
    <row r="162" spans="11:19" x14ac:dyDescent="0.25">
      <c r="K162" s="58"/>
      <c r="L162" s="59"/>
      <c r="M162" s="54"/>
      <c r="N162" s="55"/>
      <c r="P162" s="58"/>
      <c r="Q162" s="59"/>
      <c r="R162" s="54"/>
      <c r="S162" s="55"/>
    </row>
    <row r="163" spans="11:19" x14ac:dyDescent="0.25">
      <c r="K163" s="58"/>
      <c r="L163" s="59"/>
      <c r="M163" s="54"/>
      <c r="N163" s="55"/>
      <c r="P163" s="58"/>
      <c r="Q163" s="59"/>
      <c r="R163" s="54"/>
      <c r="S163" s="55"/>
    </row>
    <row r="164" spans="11:19" x14ac:dyDescent="0.25">
      <c r="K164" s="58"/>
      <c r="L164" s="59"/>
      <c r="M164" s="54"/>
      <c r="N164" s="55"/>
      <c r="P164" s="58"/>
      <c r="Q164" s="59"/>
      <c r="R164" s="54"/>
      <c r="S164" s="55"/>
    </row>
    <row r="165" spans="11:19" x14ac:dyDescent="0.25">
      <c r="K165" s="58"/>
      <c r="L165" s="59"/>
      <c r="M165" s="54"/>
      <c r="N165" s="55"/>
      <c r="P165" s="58"/>
      <c r="Q165" s="59"/>
      <c r="R165" s="54"/>
      <c r="S165" s="55"/>
    </row>
    <row r="166" spans="11:19" x14ac:dyDescent="0.25">
      <c r="K166" s="58"/>
      <c r="L166" s="59"/>
      <c r="M166" s="54"/>
      <c r="N166" s="55"/>
      <c r="P166" s="58"/>
      <c r="Q166" s="59"/>
      <c r="R166" s="54"/>
      <c r="S166" s="55"/>
    </row>
    <row r="167" spans="11:19" x14ac:dyDescent="0.25">
      <c r="K167" s="58"/>
      <c r="L167" s="59"/>
      <c r="M167" s="54"/>
      <c r="N167" s="55"/>
      <c r="P167" s="58"/>
      <c r="Q167" s="59"/>
      <c r="R167" s="54"/>
      <c r="S167" s="55"/>
    </row>
    <row r="168" spans="11:19" x14ac:dyDescent="0.25">
      <c r="K168" s="58"/>
      <c r="L168" s="59"/>
      <c r="M168" s="54"/>
      <c r="N168" s="55"/>
      <c r="P168" s="58"/>
      <c r="Q168" s="59"/>
      <c r="R168" s="54"/>
      <c r="S168" s="55"/>
    </row>
    <row r="169" spans="11:19" x14ac:dyDescent="0.25">
      <c r="K169" s="58"/>
      <c r="L169" s="59"/>
      <c r="M169" s="54"/>
      <c r="N169" s="55"/>
      <c r="P169" s="58"/>
      <c r="Q169" s="59"/>
      <c r="R169" s="54"/>
      <c r="S169" s="55"/>
    </row>
    <row r="170" spans="11:19" x14ac:dyDescent="0.25">
      <c r="K170" s="58"/>
      <c r="L170" s="59"/>
      <c r="M170" s="54"/>
      <c r="N170" s="55"/>
      <c r="P170" s="58"/>
      <c r="Q170" s="59"/>
      <c r="R170" s="54"/>
      <c r="S170" s="55"/>
    </row>
    <row r="171" spans="11:19" x14ac:dyDescent="0.25">
      <c r="K171" s="58"/>
      <c r="L171" s="59"/>
      <c r="M171" s="54"/>
      <c r="N171" s="55"/>
      <c r="P171" s="58"/>
      <c r="Q171" s="59"/>
      <c r="R171" s="54"/>
      <c r="S171" s="55"/>
    </row>
    <row r="172" spans="11:19" x14ac:dyDescent="0.25">
      <c r="K172" s="58"/>
      <c r="L172" s="59"/>
      <c r="M172" s="54"/>
      <c r="N172" s="55"/>
      <c r="P172" s="58"/>
      <c r="Q172" s="59"/>
      <c r="R172" s="54"/>
      <c r="S172" s="55"/>
    </row>
    <row r="173" spans="11:19" x14ac:dyDescent="0.25">
      <c r="K173" s="58"/>
      <c r="L173" s="59"/>
      <c r="M173" s="54"/>
      <c r="N173" s="55"/>
      <c r="P173" s="58"/>
      <c r="Q173" s="59"/>
      <c r="R173" s="54"/>
      <c r="S173" s="55"/>
    </row>
    <row r="174" spans="11:19" x14ac:dyDescent="0.25">
      <c r="K174" s="58"/>
      <c r="L174" s="59"/>
      <c r="M174" s="54"/>
      <c r="N174" s="55"/>
      <c r="P174" s="58"/>
      <c r="Q174" s="59"/>
      <c r="R174" s="54"/>
      <c r="S174" s="55"/>
    </row>
    <row r="175" spans="11:19" x14ac:dyDescent="0.25">
      <c r="K175" s="58"/>
      <c r="L175" s="59"/>
      <c r="M175" s="54"/>
      <c r="N175" s="55"/>
      <c r="P175" s="58"/>
      <c r="Q175" s="59"/>
      <c r="R175" s="54"/>
      <c r="S175" s="55"/>
    </row>
    <row r="176" spans="11:19" x14ac:dyDescent="0.25">
      <c r="K176" s="58"/>
      <c r="L176" s="59"/>
      <c r="M176" s="54"/>
      <c r="N176" s="55"/>
      <c r="P176" s="58"/>
      <c r="Q176" s="59"/>
      <c r="R176" s="54"/>
      <c r="S176" s="55"/>
    </row>
    <row r="177" spans="11:19" x14ac:dyDescent="0.25">
      <c r="K177" s="58"/>
      <c r="L177" s="59"/>
      <c r="M177" s="54"/>
      <c r="N177" s="55"/>
      <c r="P177" s="58"/>
      <c r="Q177" s="59"/>
      <c r="R177" s="54"/>
      <c r="S177" s="55"/>
    </row>
    <row r="178" spans="11:19" x14ac:dyDescent="0.25">
      <c r="K178" s="58"/>
      <c r="L178" s="59"/>
      <c r="M178" s="54"/>
      <c r="N178" s="55"/>
      <c r="P178" s="58"/>
      <c r="Q178" s="59"/>
      <c r="R178" s="54"/>
      <c r="S178" s="55"/>
    </row>
    <row r="179" spans="11:19" x14ac:dyDescent="0.25">
      <c r="K179" s="58"/>
      <c r="L179" s="59"/>
      <c r="M179" s="54"/>
      <c r="N179" s="55"/>
      <c r="P179" s="58"/>
      <c r="Q179" s="59"/>
      <c r="R179" s="54"/>
      <c r="S179" s="55"/>
    </row>
    <row r="180" spans="11:19" x14ac:dyDescent="0.25">
      <c r="K180" s="58"/>
      <c r="L180" s="59"/>
      <c r="M180" s="54"/>
      <c r="N180" s="55"/>
      <c r="P180" s="58"/>
      <c r="Q180" s="59"/>
      <c r="R180" s="54"/>
      <c r="S180" s="55"/>
    </row>
    <row r="181" spans="11:19" x14ac:dyDescent="0.25">
      <c r="K181" s="58"/>
      <c r="L181" s="59"/>
      <c r="M181" s="54"/>
      <c r="N181" s="55"/>
      <c r="P181" s="58"/>
      <c r="Q181" s="59"/>
      <c r="R181" s="54"/>
      <c r="S181" s="55"/>
    </row>
    <row r="182" spans="11:19" x14ac:dyDescent="0.25">
      <c r="K182" s="58"/>
      <c r="L182" s="59"/>
      <c r="M182" s="54"/>
      <c r="N182" s="55"/>
      <c r="P182" s="58"/>
      <c r="Q182" s="59"/>
      <c r="R182" s="54"/>
      <c r="S182" s="55"/>
    </row>
    <row r="183" spans="11:19" x14ac:dyDescent="0.25">
      <c r="K183" s="58"/>
      <c r="L183" s="59"/>
      <c r="M183" s="54"/>
      <c r="N183" s="55"/>
      <c r="P183" s="58"/>
      <c r="Q183" s="59"/>
      <c r="R183" s="54"/>
      <c r="S183" s="55"/>
    </row>
    <row r="184" spans="11:19" x14ac:dyDescent="0.25">
      <c r="K184" s="58"/>
      <c r="L184" s="59"/>
      <c r="M184" s="54"/>
      <c r="N184" s="55"/>
      <c r="P184" s="58"/>
      <c r="Q184" s="59"/>
      <c r="R184" s="54"/>
      <c r="S184" s="55"/>
    </row>
    <row r="185" spans="11:19" x14ac:dyDescent="0.25">
      <c r="K185" s="58"/>
      <c r="L185" s="59"/>
      <c r="M185" s="54"/>
      <c r="N185" s="55"/>
      <c r="P185" s="58"/>
      <c r="Q185" s="59"/>
      <c r="R185" s="54"/>
      <c r="S185" s="55"/>
    </row>
    <row r="186" spans="11:19" x14ac:dyDescent="0.25">
      <c r="K186" s="58"/>
      <c r="L186" s="59"/>
      <c r="M186" s="54"/>
      <c r="N186" s="55"/>
      <c r="P186" s="58"/>
      <c r="Q186" s="59"/>
      <c r="R186" s="54"/>
      <c r="S186" s="55"/>
    </row>
    <row r="187" spans="11:19" x14ac:dyDescent="0.25">
      <c r="K187" s="58"/>
      <c r="L187" s="59"/>
      <c r="M187" s="54"/>
      <c r="N187" s="55"/>
      <c r="P187" s="58"/>
      <c r="Q187" s="59"/>
      <c r="R187" s="54"/>
      <c r="S187" s="55"/>
    </row>
    <row r="188" spans="11:19" x14ac:dyDescent="0.25">
      <c r="K188" s="58"/>
      <c r="L188" s="59"/>
      <c r="M188" s="54"/>
      <c r="N188" s="55"/>
      <c r="P188" s="58"/>
      <c r="Q188" s="59"/>
      <c r="R188" s="54"/>
      <c r="S188" s="55"/>
    </row>
    <row r="189" spans="11:19" x14ac:dyDescent="0.25">
      <c r="K189" s="58"/>
      <c r="L189" s="59"/>
      <c r="M189" s="54"/>
      <c r="N189" s="55"/>
      <c r="P189" s="58"/>
      <c r="Q189" s="59"/>
      <c r="R189" s="54"/>
      <c r="S189" s="55"/>
    </row>
    <row r="190" spans="11:19" x14ac:dyDescent="0.25">
      <c r="K190" s="58"/>
      <c r="L190" s="59"/>
      <c r="M190" s="54"/>
      <c r="N190" s="55"/>
      <c r="P190" s="58"/>
      <c r="Q190" s="59"/>
      <c r="R190" s="54"/>
      <c r="S190" s="55"/>
    </row>
    <row r="191" spans="11:19" x14ac:dyDescent="0.25">
      <c r="K191" s="58"/>
      <c r="L191" s="59"/>
      <c r="M191" s="54"/>
      <c r="N191" s="55"/>
      <c r="P191" s="58"/>
      <c r="Q191" s="59"/>
      <c r="R191" s="54"/>
      <c r="S191" s="55"/>
    </row>
    <row r="192" spans="11:19" x14ac:dyDescent="0.25">
      <c r="K192" s="58"/>
      <c r="L192" s="59"/>
      <c r="M192" s="54"/>
      <c r="N192" s="55"/>
      <c r="P192" s="58"/>
      <c r="Q192" s="59"/>
      <c r="R192" s="54"/>
      <c r="S192" s="55"/>
    </row>
    <row r="193" spans="11:19" x14ac:dyDescent="0.25">
      <c r="K193" s="58"/>
      <c r="L193" s="59"/>
      <c r="M193" s="54"/>
      <c r="N193" s="55"/>
      <c r="P193" s="58"/>
      <c r="Q193" s="59"/>
      <c r="R193" s="54"/>
      <c r="S193" s="55"/>
    </row>
    <row r="194" spans="11:19" x14ac:dyDescent="0.25">
      <c r="K194" s="58"/>
      <c r="L194" s="59"/>
      <c r="M194" s="54"/>
      <c r="N194" s="55"/>
      <c r="P194" s="58"/>
      <c r="Q194" s="59"/>
      <c r="R194" s="54"/>
      <c r="S194" s="55"/>
    </row>
    <row r="195" spans="11:19" x14ac:dyDescent="0.25">
      <c r="K195" s="58"/>
      <c r="L195" s="59"/>
      <c r="M195" s="54"/>
      <c r="N195" s="55"/>
      <c r="P195" s="58"/>
      <c r="Q195" s="59"/>
      <c r="R195" s="54"/>
      <c r="S195" s="55"/>
    </row>
    <row r="196" spans="11:19" x14ac:dyDescent="0.25">
      <c r="K196" s="58"/>
      <c r="L196" s="59"/>
      <c r="M196" s="54"/>
      <c r="N196" s="55"/>
      <c r="P196" s="58"/>
      <c r="Q196" s="59"/>
      <c r="R196" s="54"/>
      <c r="S196" s="55"/>
    </row>
    <row r="197" spans="11:19" x14ac:dyDescent="0.25">
      <c r="K197" s="58"/>
      <c r="L197" s="59"/>
      <c r="M197" s="54"/>
      <c r="N197" s="55"/>
      <c r="P197" s="58"/>
      <c r="Q197" s="59"/>
      <c r="R197" s="54"/>
      <c r="S197" s="55"/>
    </row>
    <row r="198" spans="11:19" x14ac:dyDescent="0.25">
      <c r="K198" s="58"/>
      <c r="L198" s="59"/>
      <c r="M198" s="54"/>
      <c r="N198" s="55"/>
      <c r="P198" s="58"/>
      <c r="Q198" s="59"/>
      <c r="R198" s="54"/>
      <c r="S198" s="55"/>
    </row>
    <row r="199" spans="11:19" x14ac:dyDescent="0.25">
      <c r="K199" s="58"/>
      <c r="L199" s="59"/>
      <c r="M199" s="54"/>
      <c r="N199" s="55"/>
      <c r="P199" s="58"/>
      <c r="Q199" s="59"/>
      <c r="R199" s="54"/>
      <c r="S199" s="55"/>
    </row>
    <row r="200" spans="11:19" x14ac:dyDescent="0.25">
      <c r="K200" s="58"/>
      <c r="L200" s="59"/>
      <c r="M200" s="54"/>
      <c r="N200" s="55"/>
      <c r="P200" s="58"/>
      <c r="Q200" s="59"/>
      <c r="R200" s="54"/>
      <c r="S200" s="55"/>
    </row>
    <row r="201" spans="11:19" x14ac:dyDescent="0.25">
      <c r="K201" s="58"/>
      <c r="L201" s="59"/>
      <c r="M201" s="54"/>
      <c r="N201" s="55"/>
      <c r="P201" s="58"/>
      <c r="Q201" s="59"/>
      <c r="R201" s="54"/>
      <c r="S201" s="55"/>
    </row>
    <row r="202" spans="11:19" x14ac:dyDescent="0.25">
      <c r="K202" s="58"/>
      <c r="L202" s="59"/>
      <c r="M202" s="54"/>
      <c r="N202" s="55"/>
      <c r="P202" s="58"/>
      <c r="Q202" s="59"/>
      <c r="R202" s="54"/>
      <c r="S202" s="55"/>
    </row>
    <row r="203" spans="11:19" x14ac:dyDescent="0.25">
      <c r="K203" s="58"/>
      <c r="L203" s="59"/>
      <c r="M203" s="54"/>
      <c r="N203" s="55"/>
      <c r="P203" s="58"/>
      <c r="Q203" s="59"/>
      <c r="R203" s="54"/>
      <c r="S203" s="55"/>
    </row>
    <row r="204" spans="11:19" x14ac:dyDescent="0.25">
      <c r="K204" s="58"/>
      <c r="L204" s="59"/>
      <c r="M204" s="54"/>
      <c r="N204" s="55"/>
      <c r="P204" s="58"/>
      <c r="Q204" s="59"/>
      <c r="R204" s="54"/>
      <c r="S204" s="55"/>
    </row>
    <row r="205" spans="11:19" x14ac:dyDescent="0.25">
      <c r="K205" s="58"/>
      <c r="L205" s="59"/>
      <c r="M205" s="54"/>
      <c r="N205" s="55"/>
      <c r="P205" s="58"/>
      <c r="Q205" s="59"/>
      <c r="R205" s="54"/>
      <c r="S205" s="55"/>
    </row>
    <row r="206" spans="11:19" x14ac:dyDescent="0.25">
      <c r="K206" s="58"/>
      <c r="L206" s="59"/>
      <c r="M206" s="54"/>
      <c r="N206" s="55"/>
      <c r="P206" s="58"/>
      <c r="Q206" s="59"/>
      <c r="R206" s="54"/>
      <c r="S206" s="55"/>
    </row>
    <row r="207" spans="11:19" x14ac:dyDescent="0.25">
      <c r="K207" s="58"/>
      <c r="L207" s="59"/>
      <c r="M207" s="54"/>
      <c r="N207" s="55"/>
      <c r="P207" s="58"/>
      <c r="Q207" s="59"/>
      <c r="R207" s="54"/>
      <c r="S207" s="55"/>
    </row>
    <row r="208" spans="11:19" x14ac:dyDescent="0.25">
      <c r="K208" s="58"/>
      <c r="L208" s="59"/>
      <c r="M208" s="54"/>
      <c r="N208" s="55"/>
      <c r="P208" s="58"/>
      <c r="Q208" s="59"/>
      <c r="R208" s="54"/>
      <c r="S208" s="55"/>
    </row>
    <row r="209" spans="11:19" x14ac:dyDescent="0.25">
      <c r="K209" s="58"/>
      <c r="L209" s="59"/>
      <c r="M209" s="54"/>
      <c r="N209" s="55"/>
      <c r="P209" s="58"/>
      <c r="Q209" s="59"/>
      <c r="R209" s="54"/>
      <c r="S209" s="55"/>
    </row>
    <row r="210" spans="11:19" x14ac:dyDescent="0.25">
      <c r="K210" s="58"/>
      <c r="L210" s="59"/>
      <c r="M210" s="54"/>
      <c r="N210" s="55"/>
      <c r="P210" s="58"/>
      <c r="Q210" s="59"/>
      <c r="R210" s="54"/>
      <c r="S210" s="55"/>
    </row>
    <row r="211" spans="11:19" x14ac:dyDescent="0.25">
      <c r="K211" s="58"/>
      <c r="L211" s="59"/>
      <c r="M211" s="54"/>
      <c r="N211" s="55"/>
      <c r="P211" s="58"/>
      <c r="Q211" s="59"/>
      <c r="R211" s="54"/>
      <c r="S211" s="55"/>
    </row>
    <row r="212" spans="11:19" x14ac:dyDescent="0.25">
      <c r="K212" s="58"/>
      <c r="L212" s="59"/>
      <c r="M212" s="54"/>
      <c r="N212" s="55"/>
      <c r="P212" s="58"/>
      <c r="Q212" s="59"/>
      <c r="R212" s="54"/>
      <c r="S212" s="55"/>
    </row>
    <row r="213" spans="11:19" x14ac:dyDescent="0.25">
      <c r="K213" s="58"/>
      <c r="L213" s="59"/>
      <c r="M213" s="54"/>
      <c r="N213" s="55"/>
      <c r="P213" s="58"/>
      <c r="Q213" s="59"/>
      <c r="R213" s="54"/>
      <c r="S213" s="55"/>
    </row>
    <row r="214" spans="11:19" x14ac:dyDescent="0.25">
      <c r="K214" s="58"/>
      <c r="L214" s="59"/>
      <c r="M214" s="54"/>
      <c r="N214" s="55"/>
      <c r="P214" s="58"/>
      <c r="Q214" s="59"/>
      <c r="R214" s="54"/>
      <c r="S214" s="55"/>
    </row>
    <row r="215" spans="11:19" x14ac:dyDescent="0.25">
      <c r="K215" s="58"/>
      <c r="L215" s="59"/>
      <c r="M215" s="54"/>
      <c r="N215" s="55"/>
      <c r="P215" s="58"/>
      <c r="Q215" s="59"/>
      <c r="R215" s="54"/>
      <c r="S215" s="55"/>
    </row>
    <row r="216" spans="11:19" x14ac:dyDescent="0.25">
      <c r="K216" s="58"/>
      <c r="L216" s="59"/>
      <c r="M216" s="54"/>
      <c r="N216" s="55"/>
      <c r="P216" s="58"/>
      <c r="Q216" s="59"/>
      <c r="R216" s="54"/>
      <c r="S216" s="55"/>
    </row>
    <row r="217" spans="11:19" x14ac:dyDescent="0.25">
      <c r="K217" s="58"/>
      <c r="L217" s="59"/>
      <c r="M217" s="54"/>
      <c r="N217" s="55"/>
      <c r="P217" s="58"/>
      <c r="Q217" s="59"/>
      <c r="R217" s="54"/>
      <c r="S217" s="55"/>
    </row>
    <row r="218" spans="11:19" x14ac:dyDescent="0.25">
      <c r="K218" s="58"/>
      <c r="L218" s="59"/>
      <c r="M218" s="54"/>
      <c r="N218" s="55"/>
      <c r="P218" s="58"/>
      <c r="Q218" s="59"/>
      <c r="R218" s="54"/>
      <c r="S218" s="55"/>
    </row>
    <row r="219" spans="11:19" x14ac:dyDescent="0.25">
      <c r="K219" s="58"/>
      <c r="L219" s="59"/>
      <c r="M219" s="54"/>
      <c r="N219" s="55"/>
      <c r="P219" s="58"/>
      <c r="Q219" s="59"/>
      <c r="R219" s="54"/>
      <c r="S219" s="55"/>
    </row>
    <row r="220" spans="11:19" x14ac:dyDescent="0.25">
      <c r="K220" s="58"/>
      <c r="L220" s="59"/>
      <c r="M220" s="54"/>
      <c r="N220" s="55"/>
      <c r="P220" s="58"/>
      <c r="Q220" s="59"/>
      <c r="R220" s="54"/>
      <c r="S220" s="55"/>
    </row>
    <row r="221" spans="11:19" x14ac:dyDescent="0.25">
      <c r="K221" s="58"/>
      <c r="L221" s="59"/>
      <c r="M221" s="54"/>
      <c r="N221" s="55"/>
      <c r="P221" s="58"/>
      <c r="Q221" s="59"/>
      <c r="R221" s="54"/>
      <c r="S221" s="55"/>
    </row>
    <row r="222" spans="11:19" x14ac:dyDescent="0.25">
      <c r="K222" s="58"/>
      <c r="L222" s="59"/>
      <c r="M222" s="54"/>
      <c r="N222" s="55"/>
      <c r="P222" s="58"/>
      <c r="Q222" s="59"/>
      <c r="R222" s="54"/>
      <c r="S222" s="55"/>
    </row>
    <row r="223" spans="11:19" x14ac:dyDescent="0.25">
      <c r="K223" s="58"/>
      <c r="L223" s="59"/>
      <c r="M223" s="54"/>
      <c r="N223" s="55"/>
      <c r="P223" s="58"/>
      <c r="Q223" s="59"/>
      <c r="R223" s="54"/>
      <c r="S223" s="55"/>
    </row>
    <row r="224" spans="11:19" x14ac:dyDescent="0.25">
      <c r="K224" s="58"/>
      <c r="L224" s="59"/>
      <c r="M224" s="54"/>
      <c r="N224" s="55"/>
      <c r="P224" s="58"/>
      <c r="Q224" s="59"/>
      <c r="R224" s="54"/>
      <c r="S224" s="55"/>
    </row>
    <row r="225" spans="11:19" x14ac:dyDescent="0.25">
      <c r="K225" s="58"/>
      <c r="L225" s="59"/>
      <c r="M225" s="54"/>
      <c r="N225" s="55"/>
      <c r="P225" s="58"/>
      <c r="Q225" s="59"/>
      <c r="R225" s="54"/>
      <c r="S225" s="55"/>
    </row>
    <row r="226" spans="11:19" x14ac:dyDescent="0.25">
      <c r="K226" s="58"/>
      <c r="L226" s="59"/>
      <c r="M226" s="54"/>
      <c r="N226" s="55"/>
      <c r="P226" s="58"/>
      <c r="Q226" s="59"/>
      <c r="R226" s="54"/>
      <c r="S226" s="55"/>
    </row>
    <row r="227" spans="11:19" x14ac:dyDescent="0.25">
      <c r="K227" s="58"/>
      <c r="L227" s="59"/>
      <c r="M227" s="54"/>
      <c r="N227" s="55"/>
      <c r="P227" s="58"/>
      <c r="Q227" s="59"/>
      <c r="R227" s="54"/>
      <c r="S227" s="55"/>
    </row>
    <row r="228" spans="11:19" x14ac:dyDescent="0.25">
      <c r="K228" s="58"/>
      <c r="L228" s="59"/>
      <c r="M228" s="54"/>
      <c r="N228" s="55"/>
      <c r="P228" s="58"/>
      <c r="Q228" s="59"/>
      <c r="R228" s="54"/>
      <c r="S228" s="55"/>
    </row>
    <row r="229" spans="11:19" x14ac:dyDescent="0.25">
      <c r="K229" s="58"/>
      <c r="L229" s="59"/>
      <c r="M229" s="54"/>
      <c r="N229" s="55"/>
      <c r="P229" s="58"/>
      <c r="Q229" s="59"/>
      <c r="R229" s="54"/>
      <c r="S229" s="55"/>
    </row>
    <row r="230" spans="11:19" x14ac:dyDescent="0.25">
      <c r="K230" s="58"/>
      <c r="L230" s="59"/>
      <c r="M230" s="54"/>
      <c r="N230" s="55"/>
      <c r="P230" s="58"/>
      <c r="Q230" s="59"/>
      <c r="R230" s="54"/>
      <c r="S230" s="55"/>
    </row>
    <row r="231" spans="11:19" x14ac:dyDescent="0.25">
      <c r="K231" s="58"/>
      <c r="L231" s="59"/>
      <c r="M231" s="54"/>
      <c r="N231" s="55"/>
      <c r="P231" s="58"/>
      <c r="Q231" s="59"/>
      <c r="R231" s="54"/>
      <c r="S231" s="55"/>
    </row>
    <row r="232" spans="11:19" x14ac:dyDescent="0.25">
      <c r="K232" s="58"/>
      <c r="L232" s="59"/>
      <c r="M232" s="54"/>
      <c r="N232" s="55"/>
      <c r="P232" s="58"/>
      <c r="Q232" s="59"/>
      <c r="R232" s="54"/>
      <c r="S232" s="55"/>
    </row>
    <row r="233" spans="11:19" x14ac:dyDescent="0.25">
      <c r="K233" s="58"/>
      <c r="L233" s="59"/>
      <c r="M233" s="54"/>
      <c r="N233" s="55"/>
      <c r="P233" s="58"/>
      <c r="Q233" s="59"/>
      <c r="R233" s="54"/>
      <c r="S233" s="55"/>
    </row>
    <row r="234" spans="11:19" x14ac:dyDescent="0.25">
      <c r="K234" s="58"/>
      <c r="L234" s="59"/>
      <c r="M234" s="54"/>
      <c r="N234" s="55"/>
      <c r="P234" s="58"/>
      <c r="Q234" s="59"/>
      <c r="R234" s="54"/>
      <c r="S234" s="55"/>
    </row>
    <row r="235" spans="11:19" x14ac:dyDescent="0.25">
      <c r="K235" s="58"/>
      <c r="L235" s="59"/>
      <c r="M235" s="54"/>
      <c r="N235" s="55"/>
      <c r="P235" s="58"/>
      <c r="Q235" s="59"/>
      <c r="R235" s="54"/>
      <c r="S235" s="55"/>
    </row>
    <row r="236" spans="11:19" x14ac:dyDescent="0.25">
      <c r="K236" s="58"/>
      <c r="L236" s="59"/>
      <c r="M236" s="54"/>
      <c r="N236" s="55"/>
      <c r="P236" s="58"/>
      <c r="Q236" s="59"/>
      <c r="R236" s="54"/>
      <c r="S236" s="55"/>
    </row>
    <row r="237" spans="11:19" x14ac:dyDescent="0.25">
      <c r="K237" s="58"/>
      <c r="L237" s="59"/>
      <c r="M237" s="54"/>
      <c r="N237" s="55"/>
      <c r="P237" s="58"/>
      <c r="Q237" s="59"/>
      <c r="R237" s="54"/>
      <c r="S237" s="55"/>
    </row>
    <row r="238" spans="11:19" x14ac:dyDescent="0.25">
      <c r="K238" s="58"/>
      <c r="L238" s="59"/>
      <c r="M238" s="54"/>
      <c r="N238" s="55"/>
      <c r="P238" s="58"/>
      <c r="Q238" s="59"/>
      <c r="R238" s="54"/>
      <c r="S238" s="55"/>
    </row>
    <row r="239" spans="11:19" x14ac:dyDescent="0.25">
      <c r="K239" s="58"/>
      <c r="L239" s="59"/>
      <c r="M239" s="54"/>
      <c r="N239" s="55"/>
      <c r="P239" s="58"/>
      <c r="Q239" s="59"/>
      <c r="R239" s="54"/>
      <c r="S239" s="55"/>
    </row>
    <row r="240" spans="11:19" x14ac:dyDescent="0.25">
      <c r="K240" s="58"/>
      <c r="L240" s="59"/>
      <c r="M240" s="54"/>
      <c r="N240" s="55"/>
      <c r="P240" s="58"/>
      <c r="Q240" s="59"/>
      <c r="R240" s="54"/>
      <c r="S240" s="55"/>
    </row>
    <row r="241" spans="11:19" x14ac:dyDescent="0.25">
      <c r="K241" s="58"/>
      <c r="L241" s="59"/>
      <c r="M241" s="54"/>
      <c r="N241" s="55"/>
      <c r="P241" s="58"/>
      <c r="Q241" s="59"/>
      <c r="R241" s="54"/>
      <c r="S241" s="55"/>
    </row>
    <row r="242" spans="11:19" x14ac:dyDescent="0.25">
      <c r="K242" s="58"/>
      <c r="L242" s="59"/>
      <c r="M242" s="54"/>
      <c r="N242" s="55"/>
      <c r="P242" s="58"/>
      <c r="Q242" s="59"/>
      <c r="R242" s="54"/>
      <c r="S242" s="55"/>
    </row>
    <row r="243" spans="11:19" x14ac:dyDescent="0.25">
      <c r="K243" s="58"/>
      <c r="L243" s="59"/>
      <c r="M243" s="54"/>
      <c r="N243" s="55"/>
      <c r="P243" s="58"/>
      <c r="Q243" s="59"/>
      <c r="R243" s="54"/>
      <c r="S243" s="55"/>
    </row>
    <row r="244" spans="11:19" x14ac:dyDescent="0.25">
      <c r="K244" s="58"/>
      <c r="L244" s="59"/>
      <c r="M244" s="54"/>
      <c r="N244" s="55"/>
      <c r="P244" s="58"/>
      <c r="Q244" s="59"/>
      <c r="R244" s="54"/>
      <c r="S244" s="55"/>
    </row>
    <row r="245" spans="11:19" x14ac:dyDescent="0.25">
      <c r="K245" s="58"/>
      <c r="L245" s="59"/>
      <c r="M245" s="54"/>
      <c r="N245" s="55"/>
      <c r="P245" s="58"/>
      <c r="Q245" s="59"/>
      <c r="R245" s="54"/>
      <c r="S245" s="55"/>
    </row>
    <row r="246" spans="11:19" x14ac:dyDescent="0.25">
      <c r="K246" s="58"/>
      <c r="L246" s="59"/>
      <c r="M246" s="54"/>
      <c r="N246" s="55"/>
      <c r="P246" s="58"/>
      <c r="Q246" s="59"/>
      <c r="R246" s="54"/>
      <c r="S246" s="55"/>
    </row>
    <row r="247" spans="11:19" x14ac:dyDescent="0.25">
      <c r="K247" s="58"/>
      <c r="L247" s="59"/>
      <c r="M247" s="54"/>
      <c r="N247" s="55"/>
      <c r="P247" s="58"/>
      <c r="Q247" s="59"/>
      <c r="R247" s="54"/>
      <c r="S247" s="55"/>
    </row>
    <row r="248" spans="11:19" x14ac:dyDescent="0.25">
      <c r="K248" s="58"/>
      <c r="L248" s="59"/>
      <c r="M248" s="54"/>
      <c r="N248" s="55"/>
      <c r="P248" s="58"/>
      <c r="Q248" s="59"/>
      <c r="R248" s="54"/>
      <c r="S248" s="55"/>
    </row>
    <row r="249" spans="11:19" x14ac:dyDescent="0.25">
      <c r="K249" s="58"/>
      <c r="L249" s="59"/>
      <c r="M249" s="54"/>
      <c r="N249" s="55"/>
      <c r="P249" s="58"/>
      <c r="Q249" s="59"/>
      <c r="R249" s="54"/>
      <c r="S249" s="55"/>
    </row>
    <row r="250" spans="11:19" x14ac:dyDescent="0.25">
      <c r="K250" s="58"/>
      <c r="L250" s="59"/>
      <c r="M250" s="54"/>
      <c r="N250" s="55"/>
      <c r="P250" s="58"/>
      <c r="Q250" s="59"/>
      <c r="R250" s="54"/>
      <c r="S250" s="55"/>
    </row>
    <row r="251" spans="11:19" x14ac:dyDescent="0.25">
      <c r="K251" s="58"/>
      <c r="L251" s="59"/>
      <c r="M251" s="54"/>
      <c r="N251" s="55"/>
      <c r="P251" s="58"/>
      <c r="Q251" s="59"/>
      <c r="R251" s="54"/>
      <c r="S251" s="55"/>
    </row>
    <row r="252" spans="11:19" x14ac:dyDescent="0.25">
      <c r="K252" s="58"/>
      <c r="L252" s="59"/>
      <c r="M252" s="54"/>
      <c r="N252" s="55"/>
      <c r="P252" s="58"/>
      <c r="Q252" s="59"/>
      <c r="R252" s="54"/>
      <c r="S252" s="55"/>
    </row>
    <row r="253" spans="11:19" x14ac:dyDescent="0.25">
      <c r="K253" s="58"/>
      <c r="L253" s="59"/>
      <c r="M253" s="54"/>
      <c r="N253" s="55"/>
      <c r="P253" s="58"/>
      <c r="Q253" s="59"/>
      <c r="R253" s="54"/>
      <c r="S253" s="55"/>
    </row>
    <row r="254" spans="11:19" x14ac:dyDescent="0.25">
      <c r="K254" s="58"/>
      <c r="L254" s="59"/>
      <c r="M254" s="54"/>
      <c r="N254" s="55"/>
      <c r="P254" s="58"/>
      <c r="Q254" s="59"/>
      <c r="R254" s="54"/>
      <c r="S254" s="55"/>
    </row>
    <row r="255" spans="11:19" x14ac:dyDescent="0.25">
      <c r="K255" s="58"/>
      <c r="L255" s="59"/>
      <c r="M255" s="54"/>
      <c r="N255" s="55"/>
      <c r="P255" s="58"/>
      <c r="Q255" s="59"/>
      <c r="R255" s="54"/>
      <c r="S255" s="55"/>
    </row>
    <row r="256" spans="11:19" x14ac:dyDescent="0.25">
      <c r="K256" s="58"/>
      <c r="L256" s="59"/>
      <c r="M256" s="54"/>
      <c r="N256" s="55"/>
      <c r="P256" s="58"/>
      <c r="Q256" s="59"/>
      <c r="R256" s="54"/>
      <c r="S256" s="55"/>
    </row>
    <row r="257" spans="11:19" x14ac:dyDescent="0.25">
      <c r="K257" s="58"/>
      <c r="L257" s="59"/>
      <c r="M257" s="54"/>
      <c r="N257" s="55"/>
      <c r="P257" s="58"/>
      <c r="Q257" s="59"/>
      <c r="R257" s="54"/>
      <c r="S257" s="55"/>
    </row>
    <row r="258" spans="11:19" x14ac:dyDescent="0.25">
      <c r="K258" s="58"/>
      <c r="L258" s="59"/>
      <c r="M258" s="54"/>
      <c r="N258" s="55"/>
      <c r="P258" s="58"/>
      <c r="Q258" s="59"/>
      <c r="R258" s="54"/>
      <c r="S258" s="55"/>
    </row>
    <row r="259" spans="11:19" x14ac:dyDescent="0.25">
      <c r="K259" s="58"/>
      <c r="L259" s="59"/>
      <c r="M259" s="54"/>
      <c r="N259" s="55"/>
      <c r="P259" s="58"/>
      <c r="Q259" s="59"/>
      <c r="R259" s="54"/>
      <c r="S259" s="55"/>
    </row>
    <row r="260" spans="11:19" x14ac:dyDescent="0.25">
      <c r="K260" s="58"/>
      <c r="L260" s="59"/>
      <c r="M260" s="54"/>
      <c r="N260" s="55"/>
      <c r="P260" s="58"/>
      <c r="Q260" s="59"/>
      <c r="R260" s="54"/>
      <c r="S260" s="55"/>
    </row>
    <row r="261" spans="11:19" x14ac:dyDescent="0.25">
      <c r="K261" s="58"/>
      <c r="L261" s="59"/>
      <c r="M261" s="54"/>
      <c r="N261" s="55"/>
      <c r="P261" s="58"/>
      <c r="Q261" s="59"/>
      <c r="R261" s="54"/>
      <c r="S261" s="55"/>
    </row>
    <row r="262" spans="11:19" x14ac:dyDescent="0.25">
      <c r="K262" s="58"/>
      <c r="L262" s="59"/>
      <c r="M262" s="54"/>
      <c r="N262" s="55"/>
      <c r="P262" s="58"/>
      <c r="Q262" s="59"/>
      <c r="R262" s="54"/>
      <c r="S262" s="55"/>
    </row>
    <row r="263" spans="11:19" x14ac:dyDescent="0.25">
      <c r="K263" s="58"/>
      <c r="L263" s="59"/>
      <c r="M263" s="54"/>
      <c r="N263" s="55"/>
      <c r="P263" s="58"/>
      <c r="Q263" s="59"/>
      <c r="R263" s="54"/>
      <c r="S263" s="55"/>
    </row>
    <row r="264" spans="11:19" x14ac:dyDescent="0.25">
      <c r="K264" s="58"/>
      <c r="L264" s="59"/>
      <c r="M264" s="54"/>
      <c r="N264" s="55"/>
      <c r="P264" s="58"/>
      <c r="Q264" s="59"/>
      <c r="R264" s="54"/>
      <c r="S264" s="55"/>
    </row>
    <row r="265" spans="11:19" x14ac:dyDescent="0.25">
      <c r="K265" s="58"/>
      <c r="L265" s="59"/>
      <c r="M265" s="54"/>
      <c r="N265" s="55"/>
      <c r="P265" s="58"/>
      <c r="Q265" s="59"/>
      <c r="R265" s="54"/>
      <c r="S265" s="55"/>
    </row>
    <row r="266" spans="11:19" x14ac:dyDescent="0.25">
      <c r="K266" s="58"/>
      <c r="L266" s="59"/>
      <c r="M266" s="54"/>
      <c r="N266" s="55"/>
      <c r="P266" s="58"/>
      <c r="Q266" s="59"/>
      <c r="R266" s="54"/>
      <c r="S266" s="55"/>
    </row>
    <row r="267" spans="11:19" x14ac:dyDescent="0.25">
      <c r="K267" s="58"/>
      <c r="L267" s="59"/>
      <c r="M267" s="54"/>
      <c r="N267" s="55"/>
      <c r="P267" s="58"/>
      <c r="Q267" s="59"/>
      <c r="R267" s="54"/>
      <c r="S267" s="55"/>
    </row>
    <row r="268" spans="11:19" x14ac:dyDescent="0.25">
      <c r="K268" s="58"/>
      <c r="L268" s="59"/>
      <c r="M268" s="54"/>
      <c r="N268" s="55"/>
      <c r="P268" s="58"/>
      <c r="Q268" s="59"/>
      <c r="R268" s="54"/>
      <c r="S268" s="55"/>
    </row>
    <row r="269" spans="11:19" x14ac:dyDescent="0.25">
      <c r="K269" s="58"/>
      <c r="L269" s="59"/>
      <c r="M269" s="54"/>
      <c r="N269" s="55"/>
      <c r="P269" s="58"/>
      <c r="Q269" s="59"/>
      <c r="R269" s="54"/>
      <c r="S269" s="55"/>
    </row>
    <row r="270" spans="11:19" x14ac:dyDescent="0.25">
      <c r="K270" s="58"/>
      <c r="L270" s="59"/>
      <c r="M270" s="54"/>
      <c r="N270" s="55"/>
      <c r="P270" s="58"/>
      <c r="Q270" s="59"/>
      <c r="R270" s="54"/>
      <c r="S270" s="55"/>
    </row>
    <row r="271" spans="11:19" x14ac:dyDescent="0.25">
      <c r="K271" s="58"/>
      <c r="L271" s="59"/>
      <c r="M271" s="54"/>
      <c r="N271" s="55"/>
      <c r="P271" s="58"/>
      <c r="Q271" s="59"/>
      <c r="R271" s="54"/>
      <c r="S271" s="55"/>
    </row>
    <row r="272" spans="11:19" x14ac:dyDescent="0.25">
      <c r="K272" s="58"/>
      <c r="L272" s="59"/>
      <c r="M272" s="54"/>
      <c r="N272" s="55"/>
      <c r="P272" s="58"/>
      <c r="Q272" s="59"/>
      <c r="R272" s="54"/>
      <c r="S272" s="55"/>
    </row>
    <row r="273" spans="11:19" x14ac:dyDescent="0.25">
      <c r="K273" s="58"/>
      <c r="L273" s="59"/>
      <c r="M273" s="54"/>
      <c r="N273" s="55"/>
      <c r="P273" s="58"/>
      <c r="Q273" s="59"/>
      <c r="R273" s="54"/>
      <c r="S273" s="55"/>
    </row>
    <row r="274" spans="11:19" x14ac:dyDescent="0.25">
      <c r="K274" s="58"/>
      <c r="L274" s="59"/>
      <c r="M274" s="54"/>
      <c r="N274" s="55"/>
      <c r="P274" s="58"/>
      <c r="Q274" s="59"/>
      <c r="R274" s="54"/>
      <c r="S274" s="55"/>
    </row>
    <row r="275" spans="11:19" x14ac:dyDescent="0.25">
      <c r="K275" s="58"/>
      <c r="L275" s="59"/>
      <c r="M275" s="54"/>
      <c r="N275" s="55"/>
      <c r="P275" s="58"/>
      <c r="Q275" s="59"/>
      <c r="R275" s="54"/>
      <c r="S275" s="55"/>
    </row>
    <row r="276" spans="11:19" x14ac:dyDescent="0.25">
      <c r="K276" s="58"/>
      <c r="L276" s="59"/>
      <c r="M276" s="54"/>
      <c r="N276" s="55"/>
      <c r="P276" s="58"/>
      <c r="Q276" s="59"/>
      <c r="R276" s="54"/>
      <c r="S276" s="55"/>
    </row>
    <row r="277" spans="11:19" x14ac:dyDescent="0.25">
      <c r="K277" s="58"/>
      <c r="L277" s="59"/>
      <c r="M277" s="54"/>
      <c r="N277" s="55"/>
      <c r="P277" s="58"/>
      <c r="Q277" s="59"/>
      <c r="R277" s="54"/>
      <c r="S277" s="55"/>
    </row>
    <row r="278" spans="11:19" x14ac:dyDescent="0.25">
      <c r="K278" s="58"/>
      <c r="L278" s="59"/>
      <c r="M278" s="54"/>
      <c r="N278" s="55"/>
      <c r="P278" s="58"/>
      <c r="Q278" s="59"/>
      <c r="R278" s="54"/>
      <c r="S278" s="55"/>
    </row>
    <row r="279" spans="11:19" x14ac:dyDescent="0.25">
      <c r="K279" s="58"/>
      <c r="L279" s="59"/>
      <c r="M279" s="54"/>
      <c r="N279" s="55"/>
      <c r="P279" s="58"/>
      <c r="Q279" s="59"/>
      <c r="R279" s="54"/>
      <c r="S279" s="55"/>
    </row>
    <row r="280" spans="11:19" x14ac:dyDescent="0.25">
      <c r="K280" s="58"/>
      <c r="L280" s="59"/>
      <c r="M280" s="54"/>
      <c r="N280" s="55"/>
      <c r="P280" s="58"/>
      <c r="Q280" s="59"/>
      <c r="R280" s="54"/>
      <c r="S280" s="55"/>
    </row>
    <row r="281" spans="11:19" x14ac:dyDescent="0.25">
      <c r="K281" s="58"/>
      <c r="L281" s="59"/>
      <c r="M281" s="54"/>
      <c r="N281" s="55"/>
      <c r="P281" s="58"/>
      <c r="Q281" s="59"/>
      <c r="R281" s="54"/>
      <c r="S281" s="55"/>
    </row>
    <row r="282" spans="11:19" x14ac:dyDescent="0.25">
      <c r="K282" s="58"/>
      <c r="L282" s="59"/>
      <c r="M282" s="54"/>
      <c r="N282" s="55"/>
      <c r="P282" s="58"/>
      <c r="Q282" s="59"/>
      <c r="R282" s="54"/>
      <c r="S282" s="55"/>
    </row>
    <row r="283" spans="11:19" x14ac:dyDescent="0.25">
      <c r="K283" s="58"/>
      <c r="L283" s="59"/>
      <c r="M283" s="54"/>
      <c r="N283" s="55"/>
      <c r="P283" s="58"/>
      <c r="Q283" s="59"/>
      <c r="R283" s="54"/>
      <c r="S283" s="55"/>
    </row>
    <row r="284" spans="11:19" x14ac:dyDescent="0.25">
      <c r="K284" s="58"/>
      <c r="L284" s="59"/>
      <c r="M284" s="54"/>
      <c r="N284" s="55"/>
      <c r="P284" s="58"/>
      <c r="Q284" s="59"/>
      <c r="R284" s="54"/>
      <c r="S284" s="55"/>
    </row>
    <row r="285" spans="11:19" x14ac:dyDescent="0.25">
      <c r="K285" s="58"/>
      <c r="L285" s="59"/>
      <c r="M285" s="54"/>
      <c r="N285" s="55"/>
      <c r="P285" s="58"/>
      <c r="Q285" s="59"/>
      <c r="R285" s="54"/>
      <c r="S285" s="55"/>
    </row>
    <row r="286" spans="11:19" x14ac:dyDescent="0.25">
      <c r="K286" s="58"/>
      <c r="L286" s="59"/>
      <c r="M286" s="54"/>
      <c r="N286" s="55"/>
      <c r="P286" s="58"/>
      <c r="Q286" s="59"/>
      <c r="R286" s="54"/>
      <c r="S286" s="55"/>
    </row>
    <row r="287" spans="11:19" x14ac:dyDescent="0.25">
      <c r="K287" s="58"/>
      <c r="L287" s="59"/>
      <c r="M287" s="54"/>
      <c r="N287" s="55"/>
      <c r="P287" s="58"/>
      <c r="Q287" s="59"/>
      <c r="R287" s="54"/>
      <c r="S287" s="55"/>
    </row>
    <row r="288" spans="11:19" x14ac:dyDescent="0.25">
      <c r="K288" s="58"/>
      <c r="L288" s="59"/>
      <c r="M288" s="54"/>
      <c r="N288" s="55"/>
      <c r="P288" s="58"/>
      <c r="Q288" s="59"/>
      <c r="R288" s="54"/>
      <c r="S288" s="55"/>
    </row>
    <row r="289" spans="11:19" x14ac:dyDescent="0.25">
      <c r="K289" s="58"/>
      <c r="L289" s="59"/>
      <c r="M289" s="54"/>
      <c r="N289" s="55"/>
      <c r="P289" s="58"/>
      <c r="Q289" s="59"/>
      <c r="R289" s="54"/>
      <c r="S289" s="55"/>
    </row>
    <row r="290" spans="11:19" x14ac:dyDescent="0.25">
      <c r="K290" s="58"/>
      <c r="L290" s="59"/>
      <c r="M290" s="54"/>
      <c r="N290" s="55"/>
      <c r="P290" s="58"/>
      <c r="Q290" s="59"/>
      <c r="R290" s="54"/>
      <c r="S290" s="55"/>
    </row>
    <row r="291" spans="11:19" x14ac:dyDescent="0.25">
      <c r="K291" s="58"/>
      <c r="L291" s="59"/>
      <c r="M291" s="54"/>
      <c r="N291" s="55"/>
      <c r="P291" s="58"/>
      <c r="Q291" s="59"/>
      <c r="R291" s="54"/>
      <c r="S291" s="55"/>
    </row>
    <row r="292" spans="11:19" x14ac:dyDescent="0.25">
      <c r="K292" s="58"/>
      <c r="L292" s="59"/>
      <c r="M292" s="54"/>
      <c r="N292" s="55"/>
      <c r="P292" s="58"/>
      <c r="Q292" s="59"/>
      <c r="R292" s="54"/>
      <c r="S292" s="55"/>
    </row>
    <row r="293" spans="11:19" x14ac:dyDescent="0.25">
      <c r="K293" s="58"/>
      <c r="L293" s="59"/>
      <c r="M293" s="54"/>
      <c r="N293" s="55"/>
      <c r="P293" s="58"/>
      <c r="Q293" s="59"/>
      <c r="R293" s="54"/>
      <c r="S293" s="55"/>
    </row>
    <row r="294" spans="11:19" x14ac:dyDescent="0.25">
      <c r="K294" s="58"/>
      <c r="L294" s="59"/>
      <c r="M294" s="54"/>
      <c r="N294" s="55"/>
      <c r="P294" s="58"/>
      <c r="Q294" s="59"/>
      <c r="R294" s="54"/>
      <c r="S294" s="55"/>
    </row>
    <row r="295" spans="11:19" x14ac:dyDescent="0.25">
      <c r="K295" s="58"/>
      <c r="L295" s="59"/>
      <c r="M295" s="54"/>
      <c r="N295" s="55"/>
      <c r="P295" s="58"/>
      <c r="Q295" s="59"/>
      <c r="R295" s="54"/>
      <c r="S295" s="55"/>
    </row>
    <row r="296" spans="11:19" x14ac:dyDescent="0.25">
      <c r="K296" s="58"/>
      <c r="L296" s="59"/>
      <c r="M296" s="54"/>
      <c r="N296" s="55"/>
      <c r="P296" s="58"/>
      <c r="Q296" s="59"/>
      <c r="R296" s="54"/>
      <c r="S296" s="55"/>
    </row>
    <row r="297" spans="11:19" x14ac:dyDescent="0.25">
      <c r="K297" s="58"/>
      <c r="L297" s="59"/>
      <c r="M297" s="54"/>
      <c r="N297" s="55"/>
      <c r="P297" s="58"/>
      <c r="Q297" s="59"/>
      <c r="R297" s="54"/>
      <c r="S297" s="55"/>
    </row>
    <row r="298" spans="11:19" x14ac:dyDescent="0.25">
      <c r="K298" s="58"/>
      <c r="L298" s="59"/>
      <c r="M298" s="54"/>
      <c r="N298" s="55"/>
      <c r="P298" s="58"/>
      <c r="Q298" s="59"/>
      <c r="R298" s="54"/>
      <c r="S298" s="55"/>
    </row>
    <row r="299" spans="11:19" x14ac:dyDescent="0.25">
      <c r="K299" s="58"/>
      <c r="L299" s="59"/>
      <c r="M299" s="54"/>
      <c r="N299" s="55"/>
      <c r="P299" s="58"/>
      <c r="Q299" s="59"/>
      <c r="R299" s="54"/>
      <c r="S299" s="55"/>
    </row>
    <row r="300" spans="11:19" x14ac:dyDescent="0.25">
      <c r="K300" s="58"/>
      <c r="L300" s="59"/>
      <c r="M300" s="54"/>
      <c r="N300" s="55"/>
      <c r="P300" s="58"/>
      <c r="Q300" s="59"/>
      <c r="R300" s="54"/>
      <c r="S300" s="55"/>
    </row>
    <row r="301" spans="11:19" x14ac:dyDescent="0.25">
      <c r="K301" s="58"/>
      <c r="L301" s="59"/>
      <c r="M301" s="54"/>
      <c r="N301" s="55"/>
      <c r="P301" s="58"/>
      <c r="Q301" s="59"/>
      <c r="R301" s="54"/>
      <c r="S301" s="55"/>
    </row>
    <row r="302" spans="11:19" x14ac:dyDescent="0.25">
      <c r="K302" s="58"/>
      <c r="L302" s="59"/>
      <c r="M302" s="54"/>
      <c r="N302" s="55"/>
      <c r="P302" s="58"/>
      <c r="Q302" s="59"/>
      <c r="R302" s="54"/>
      <c r="S302" s="55"/>
    </row>
    <row r="303" spans="11:19" x14ac:dyDescent="0.25">
      <c r="K303" s="58"/>
      <c r="L303" s="59"/>
      <c r="M303" s="54"/>
      <c r="N303" s="55"/>
      <c r="P303" s="58"/>
      <c r="Q303" s="59"/>
      <c r="R303" s="54"/>
      <c r="S303" s="55"/>
    </row>
    <row r="304" spans="11:19" x14ac:dyDescent="0.25">
      <c r="K304" s="58"/>
      <c r="L304" s="59"/>
      <c r="M304" s="54"/>
      <c r="N304" s="55"/>
      <c r="P304" s="58"/>
      <c r="Q304" s="59"/>
      <c r="R304" s="54"/>
      <c r="S304" s="55"/>
    </row>
    <row r="305" spans="11:19" x14ac:dyDescent="0.25">
      <c r="K305" s="58"/>
      <c r="L305" s="59"/>
      <c r="M305" s="54"/>
      <c r="N305" s="55"/>
      <c r="P305" s="58"/>
      <c r="Q305" s="59"/>
      <c r="R305" s="54"/>
      <c r="S305" s="55"/>
    </row>
    <row r="306" spans="11:19" x14ac:dyDescent="0.25">
      <c r="K306" s="58"/>
      <c r="L306" s="59"/>
      <c r="M306" s="54"/>
      <c r="N306" s="55"/>
      <c r="P306" s="58"/>
      <c r="Q306" s="59"/>
      <c r="R306" s="54"/>
      <c r="S306" s="55"/>
    </row>
    <row r="307" spans="11:19" x14ac:dyDescent="0.25">
      <c r="K307" s="58"/>
      <c r="L307" s="59"/>
      <c r="M307" s="54"/>
      <c r="N307" s="55"/>
      <c r="P307" s="58"/>
      <c r="Q307" s="59"/>
      <c r="R307" s="54"/>
      <c r="S307" s="55"/>
    </row>
    <row r="308" spans="11:19" x14ac:dyDescent="0.25">
      <c r="K308" s="58"/>
      <c r="L308" s="59"/>
      <c r="M308" s="54"/>
      <c r="N308" s="55"/>
      <c r="P308" s="58"/>
      <c r="Q308" s="59"/>
      <c r="R308" s="54"/>
      <c r="S308" s="55"/>
    </row>
    <row r="309" spans="11:19" x14ac:dyDescent="0.25">
      <c r="K309" s="58"/>
      <c r="L309" s="59"/>
      <c r="M309" s="54"/>
      <c r="N309" s="55"/>
      <c r="P309" s="58"/>
      <c r="Q309" s="59"/>
      <c r="R309" s="54"/>
      <c r="S309" s="55"/>
    </row>
    <row r="310" spans="11:19" x14ac:dyDescent="0.25">
      <c r="K310" s="58"/>
      <c r="L310" s="59"/>
      <c r="M310" s="54"/>
      <c r="N310" s="55"/>
      <c r="P310" s="58"/>
      <c r="Q310" s="59"/>
      <c r="R310" s="54"/>
      <c r="S310" s="55"/>
    </row>
    <row r="311" spans="11:19" x14ac:dyDescent="0.25">
      <c r="K311" s="58"/>
      <c r="L311" s="59"/>
      <c r="M311" s="54"/>
      <c r="N311" s="55"/>
      <c r="P311" s="58"/>
      <c r="Q311" s="59"/>
      <c r="R311" s="54"/>
      <c r="S311" s="55"/>
    </row>
    <row r="312" spans="11:19" x14ac:dyDescent="0.25">
      <c r="K312" s="58"/>
      <c r="L312" s="59"/>
      <c r="M312" s="54"/>
      <c r="N312" s="55"/>
      <c r="P312" s="58"/>
      <c r="Q312" s="59"/>
      <c r="R312" s="54"/>
      <c r="S312" s="55"/>
    </row>
    <row r="313" spans="11:19" x14ac:dyDescent="0.25">
      <c r="K313" s="58"/>
      <c r="L313" s="59"/>
      <c r="M313" s="54"/>
      <c r="N313" s="55"/>
      <c r="P313" s="58"/>
      <c r="Q313" s="59"/>
      <c r="R313" s="54"/>
      <c r="S313" s="55"/>
    </row>
    <row r="314" spans="11:19" x14ac:dyDescent="0.25">
      <c r="K314" s="58"/>
      <c r="L314" s="59"/>
      <c r="M314" s="54"/>
      <c r="N314" s="55"/>
      <c r="P314" s="58"/>
      <c r="Q314" s="59"/>
      <c r="R314" s="54"/>
      <c r="S314" s="55"/>
    </row>
    <row r="315" spans="11:19" x14ac:dyDescent="0.25">
      <c r="K315" s="58"/>
      <c r="L315" s="59"/>
      <c r="M315" s="54"/>
      <c r="N315" s="55"/>
      <c r="P315" s="58"/>
      <c r="Q315" s="59"/>
      <c r="R315" s="54"/>
      <c r="S315" s="55"/>
    </row>
    <row r="316" spans="11:19" x14ac:dyDescent="0.25">
      <c r="K316" s="58"/>
      <c r="L316" s="59"/>
      <c r="M316" s="54"/>
      <c r="N316" s="55"/>
      <c r="P316" s="58"/>
      <c r="Q316" s="59"/>
      <c r="R316" s="54"/>
      <c r="S316" s="55"/>
    </row>
    <row r="317" spans="11:19" x14ac:dyDescent="0.25">
      <c r="K317" s="58"/>
      <c r="L317" s="59"/>
      <c r="M317" s="54"/>
      <c r="N317" s="55"/>
      <c r="P317" s="58"/>
      <c r="Q317" s="59"/>
      <c r="R317" s="54"/>
      <c r="S317" s="55"/>
    </row>
    <row r="318" spans="11:19" x14ac:dyDescent="0.25">
      <c r="K318" s="58"/>
      <c r="L318" s="59"/>
      <c r="M318" s="54"/>
      <c r="N318" s="55"/>
      <c r="P318" s="58"/>
      <c r="Q318" s="59"/>
      <c r="R318" s="54"/>
      <c r="S318" s="55"/>
    </row>
    <row r="319" spans="11:19" x14ac:dyDescent="0.25">
      <c r="K319" s="58"/>
      <c r="L319" s="59"/>
      <c r="M319" s="54"/>
      <c r="N319" s="55"/>
      <c r="P319" s="58"/>
      <c r="Q319" s="59"/>
      <c r="R319" s="54"/>
      <c r="S319" s="55"/>
    </row>
    <row r="320" spans="11:19" x14ac:dyDescent="0.25">
      <c r="K320" s="58"/>
      <c r="L320" s="59"/>
      <c r="M320" s="54"/>
      <c r="N320" s="55"/>
      <c r="P320" s="58"/>
      <c r="Q320" s="59"/>
      <c r="R320" s="54"/>
      <c r="S320" s="55"/>
    </row>
    <row r="321" spans="11:19" x14ac:dyDescent="0.25">
      <c r="K321" s="58"/>
      <c r="L321" s="59"/>
      <c r="M321" s="54"/>
      <c r="N321" s="55"/>
      <c r="P321" s="58"/>
      <c r="Q321" s="59"/>
      <c r="R321" s="54"/>
      <c r="S321" s="55"/>
    </row>
    <row r="322" spans="11:19" x14ac:dyDescent="0.25">
      <c r="K322" s="58"/>
      <c r="L322" s="59"/>
      <c r="M322" s="54"/>
      <c r="N322" s="55"/>
      <c r="P322" s="58"/>
      <c r="Q322" s="59"/>
      <c r="R322" s="54"/>
      <c r="S322" s="55"/>
    </row>
    <row r="323" spans="11:19" x14ac:dyDescent="0.25">
      <c r="K323" s="58"/>
      <c r="L323" s="59"/>
      <c r="M323" s="54"/>
      <c r="N323" s="55"/>
      <c r="P323" s="58"/>
      <c r="Q323" s="59"/>
      <c r="R323" s="54"/>
      <c r="S323" s="55"/>
    </row>
    <row r="324" spans="11:19" x14ac:dyDescent="0.25">
      <c r="K324" s="58"/>
      <c r="L324" s="59"/>
      <c r="M324" s="54"/>
      <c r="N324" s="55"/>
      <c r="P324" s="58"/>
      <c r="Q324" s="59"/>
      <c r="R324" s="54"/>
      <c r="S324" s="55"/>
    </row>
    <row r="325" spans="11:19" x14ac:dyDescent="0.25">
      <c r="K325" s="58"/>
      <c r="L325" s="59"/>
      <c r="M325" s="54"/>
      <c r="N325" s="55"/>
      <c r="P325" s="58"/>
      <c r="Q325" s="59"/>
      <c r="R325" s="54"/>
      <c r="S325" s="55"/>
    </row>
    <row r="326" spans="11:19" x14ac:dyDescent="0.25">
      <c r="K326" s="58"/>
      <c r="L326" s="59"/>
      <c r="M326" s="54"/>
      <c r="N326" s="55"/>
      <c r="P326" s="58"/>
      <c r="Q326" s="59"/>
      <c r="R326" s="54"/>
      <c r="S326" s="55"/>
    </row>
    <row r="327" spans="11:19" x14ac:dyDescent="0.25">
      <c r="K327" s="58"/>
      <c r="L327" s="59"/>
      <c r="M327" s="54"/>
      <c r="N327" s="55"/>
      <c r="P327" s="58"/>
      <c r="Q327" s="59"/>
      <c r="R327" s="54"/>
      <c r="S327" s="55"/>
    </row>
    <row r="328" spans="11:19" x14ac:dyDescent="0.25">
      <c r="K328" s="58"/>
      <c r="L328" s="59"/>
      <c r="M328" s="54"/>
      <c r="N328" s="55"/>
      <c r="P328" s="58"/>
      <c r="Q328" s="59"/>
      <c r="R328" s="54"/>
      <c r="S328" s="55"/>
    </row>
    <row r="329" spans="11:19" x14ac:dyDescent="0.25">
      <c r="K329" s="58"/>
      <c r="L329" s="59"/>
      <c r="M329" s="54"/>
      <c r="N329" s="55"/>
      <c r="P329" s="58"/>
      <c r="Q329" s="59"/>
      <c r="R329" s="54"/>
      <c r="S329" s="55"/>
    </row>
    <row r="330" spans="11:19" x14ac:dyDescent="0.25">
      <c r="K330" s="58"/>
      <c r="L330" s="59"/>
      <c r="M330" s="54"/>
      <c r="N330" s="55"/>
      <c r="P330" s="58"/>
      <c r="Q330" s="59"/>
      <c r="R330" s="54"/>
      <c r="S330" s="55"/>
    </row>
    <row r="331" spans="11:19" x14ac:dyDescent="0.25">
      <c r="K331" s="58"/>
      <c r="L331" s="59"/>
      <c r="M331" s="54"/>
      <c r="N331" s="55"/>
      <c r="P331" s="58"/>
      <c r="Q331" s="59"/>
      <c r="R331" s="54"/>
      <c r="S331" s="55"/>
    </row>
    <row r="332" spans="11:19" x14ac:dyDescent="0.25">
      <c r="K332" s="58"/>
      <c r="L332" s="59"/>
      <c r="M332" s="54"/>
      <c r="N332" s="55"/>
      <c r="P332" s="58"/>
      <c r="Q332" s="59"/>
      <c r="R332" s="54"/>
      <c r="S332" s="55"/>
    </row>
    <row r="333" spans="11:19" x14ac:dyDescent="0.25">
      <c r="K333" s="58"/>
      <c r="L333" s="59"/>
      <c r="M333" s="54"/>
      <c r="N333" s="55"/>
      <c r="P333" s="58"/>
      <c r="Q333" s="59"/>
      <c r="R333" s="54"/>
      <c r="S333" s="55"/>
    </row>
    <row r="334" spans="11:19" x14ac:dyDescent="0.25">
      <c r="K334" s="58"/>
      <c r="L334" s="59"/>
      <c r="M334" s="54"/>
      <c r="N334" s="55"/>
      <c r="P334" s="58"/>
      <c r="Q334" s="59"/>
      <c r="R334" s="54"/>
      <c r="S334" s="55"/>
    </row>
    <row r="335" spans="11:19" x14ac:dyDescent="0.25">
      <c r="K335" s="58"/>
      <c r="L335" s="59"/>
      <c r="M335" s="54"/>
      <c r="N335" s="55"/>
      <c r="P335" s="58"/>
      <c r="Q335" s="59"/>
      <c r="R335" s="54"/>
      <c r="S335" s="55"/>
    </row>
    <row r="336" spans="11:19" x14ac:dyDescent="0.25">
      <c r="K336" s="58"/>
      <c r="L336" s="59"/>
      <c r="M336" s="54"/>
      <c r="N336" s="55"/>
      <c r="P336" s="58"/>
      <c r="Q336" s="59"/>
      <c r="R336" s="54"/>
      <c r="S336" s="55"/>
    </row>
    <row r="337" spans="11:19" x14ac:dyDescent="0.25">
      <c r="K337" s="58"/>
      <c r="L337" s="59"/>
      <c r="M337" s="54"/>
      <c r="N337" s="55"/>
      <c r="P337" s="58"/>
      <c r="Q337" s="59"/>
      <c r="R337" s="54"/>
      <c r="S337" s="55"/>
    </row>
    <row r="338" spans="11:19" x14ac:dyDescent="0.25">
      <c r="K338" s="58"/>
      <c r="L338" s="59"/>
      <c r="M338" s="54"/>
      <c r="N338" s="55"/>
      <c r="P338" s="58"/>
      <c r="Q338" s="59"/>
      <c r="R338" s="54"/>
      <c r="S338" s="55"/>
    </row>
    <row r="339" spans="11:19" x14ac:dyDescent="0.25">
      <c r="K339" s="58"/>
      <c r="L339" s="59"/>
      <c r="M339" s="54"/>
      <c r="N339" s="55"/>
      <c r="P339" s="58"/>
      <c r="Q339" s="59"/>
      <c r="R339" s="54"/>
      <c r="S339" s="55"/>
    </row>
    <row r="340" spans="11:19" x14ac:dyDescent="0.25">
      <c r="K340" s="58"/>
      <c r="L340" s="59"/>
      <c r="M340" s="54"/>
      <c r="N340" s="55"/>
      <c r="P340" s="58"/>
      <c r="Q340" s="59"/>
      <c r="R340" s="54"/>
      <c r="S340" s="55"/>
    </row>
    <row r="341" spans="11:19" x14ac:dyDescent="0.25">
      <c r="K341" s="58"/>
      <c r="L341" s="59"/>
      <c r="M341" s="54"/>
      <c r="N341" s="55"/>
      <c r="P341" s="58"/>
      <c r="Q341" s="59"/>
      <c r="R341" s="54"/>
      <c r="S341" s="55"/>
    </row>
    <row r="342" spans="11:19" x14ac:dyDescent="0.25">
      <c r="K342" s="58"/>
      <c r="L342" s="59"/>
      <c r="M342" s="54"/>
      <c r="N342" s="55"/>
      <c r="P342" s="58"/>
      <c r="Q342" s="59"/>
      <c r="R342" s="54"/>
      <c r="S342" s="55"/>
    </row>
    <row r="343" spans="11:19" x14ac:dyDescent="0.25">
      <c r="K343" s="58"/>
      <c r="L343" s="59"/>
      <c r="M343" s="54"/>
      <c r="N343" s="55"/>
      <c r="P343" s="58"/>
      <c r="Q343" s="59"/>
      <c r="R343" s="54"/>
      <c r="S343" s="55"/>
    </row>
    <row r="344" spans="11:19" x14ac:dyDescent="0.25">
      <c r="K344" s="58"/>
      <c r="L344" s="59"/>
      <c r="M344" s="54"/>
      <c r="N344" s="55"/>
      <c r="P344" s="58"/>
      <c r="Q344" s="59"/>
      <c r="R344" s="54"/>
      <c r="S344" s="55"/>
    </row>
    <row r="345" spans="11:19" x14ac:dyDescent="0.25">
      <c r="K345" s="58"/>
      <c r="L345" s="59"/>
      <c r="M345" s="54"/>
      <c r="N345" s="55"/>
      <c r="P345" s="58"/>
      <c r="Q345" s="59"/>
      <c r="R345" s="54"/>
      <c r="S345" s="55"/>
    </row>
    <row r="346" spans="11:19" x14ac:dyDescent="0.25">
      <c r="K346" s="58"/>
      <c r="L346" s="59"/>
      <c r="M346" s="54"/>
      <c r="N346" s="55"/>
      <c r="P346" s="58"/>
      <c r="Q346" s="59"/>
      <c r="R346" s="54"/>
      <c r="S346" s="55"/>
    </row>
    <row r="347" spans="11:19" x14ac:dyDescent="0.25">
      <c r="K347" s="58"/>
      <c r="L347" s="59"/>
      <c r="M347" s="54"/>
      <c r="N347" s="55"/>
      <c r="P347" s="58"/>
      <c r="Q347" s="59"/>
      <c r="R347" s="54"/>
      <c r="S347" s="55"/>
    </row>
    <row r="348" spans="11:19" ht="15.75" thickBot="1" x14ac:dyDescent="0.3">
      <c r="K348" s="60"/>
      <c r="L348" s="61"/>
      <c r="M348" s="56"/>
      <c r="N348" s="57"/>
      <c r="P348" s="60"/>
      <c r="Q348" s="61"/>
      <c r="R348" s="56"/>
      <c r="S348" s="57"/>
    </row>
  </sheetData>
  <mergeCells count="4">
    <mergeCell ref="A8:D8"/>
    <mergeCell ref="F8:I8"/>
    <mergeCell ref="K8:N8"/>
    <mergeCell ref="P8:S8"/>
  </mergeCells>
  <conditionalFormatting sqref="G3">
    <cfRule type="cellIs" dxfId="74" priority="5" operator="greaterThan">
      <formula>$J$4</formula>
    </cfRule>
  </conditionalFormatting>
  <conditionalFormatting sqref="T5">
    <cfRule type="cellIs" dxfId="73" priority="1" operator="greaterThan">
      <formula>$T$6</formula>
    </cfRule>
    <cfRule type="cellIs" dxfId="72" priority="4" operator="lessThan">
      <formula>$T$6</formula>
    </cfRule>
  </conditionalFormatting>
  <conditionalFormatting sqref="T6">
    <cfRule type="cellIs" dxfId="71" priority="2" operator="greaterThan">
      <formula>$T$5</formula>
    </cfRule>
    <cfRule type="cellIs" dxfId="70" priority="3" operator="lessThan">
      <formula>$T$5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A8BA70-8218-4782-B3F3-4EF2E8154FB0}">
  <sheetPr codeName="Sheet38"/>
  <dimension ref="A1:T348"/>
  <sheetViews>
    <sheetView topLeftCell="C1" zoomScale="90" zoomScaleNormal="90" workbookViewId="0">
      <pane ySplit="9" topLeftCell="A10" activePane="bottomLeft" state="frozen"/>
      <selection pane="bottomLeft" activeCell="G10" sqref="G10"/>
    </sheetView>
  </sheetViews>
  <sheetFormatPr baseColWidth="10" defaultColWidth="9.140625" defaultRowHeight="15" x14ac:dyDescent="0.25"/>
  <cols>
    <col min="2" max="2" width="11.85546875" bestFit="1" customWidth="1"/>
    <col min="3" max="3" width="17.140625" bestFit="1" customWidth="1"/>
    <col min="4" max="4" width="14.5703125" customWidth="1"/>
    <col min="5" max="7" width="14.5703125" bestFit="1" customWidth="1"/>
    <col min="8" max="8" width="18.7109375" bestFit="1" customWidth="1"/>
    <col min="9" max="9" width="16.28515625" bestFit="1" customWidth="1"/>
    <col min="10" max="10" width="14" bestFit="1" customWidth="1"/>
    <col min="12" max="12" width="11.85546875" bestFit="1" customWidth="1"/>
    <col min="13" max="13" width="17.140625" bestFit="1" customWidth="1"/>
    <col min="14" max="14" width="14.42578125" bestFit="1" customWidth="1"/>
    <col min="15" max="15" width="8.7109375" customWidth="1"/>
    <col min="17" max="17" width="14.85546875" bestFit="1" customWidth="1"/>
    <col min="18" max="18" width="17.140625" bestFit="1" customWidth="1"/>
    <col min="19" max="19" width="14.85546875" bestFit="1" customWidth="1"/>
    <col min="20" max="20" width="12.42578125" bestFit="1" customWidth="1"/>
    <col min="22" max="23" width="14.5703125" bestFit="1" customWidth="1"/>
    <col min="24" max="24" width="15.85546875" bestFit="1" customWidth="1"/>
    <col min="26" max="26" width="15.85546875" bestFit="1" customWidth="1"/>
  </cols>
  <sheetData>
    <row r="1" spans="1:20" ht="15.75" thickBot="1" x14ac:dyDescent="0.3">
      <c r="C1" s="1" t="s">
        <v>0</v>
      </c>
      <c r="D1" s="2" t="s">
        <v>1</v>
      </c>
      <c r="E1" s="1" t="s">
        <v>2</v>
      </c>
      <c r="F1" s="2" t="s">
        <v>3</v>
      </c>
      <c r="G1" s="63" t="s">
        <v>4</v>
      </c>
      <c r="H1" s="81" t="s">
        <v>24</v>
      </c>
      <c r="I1" s="66" t="s">
        <v>5</v>
      </c>
      <c r="J1" s="3">
        <v>368</v>
      </c>
      <c r="M1" s="1" t="s">
        <v>5</v>
      </c>
      <c r="N1" s="4" t="s">
        <v>6</v>
      </c>
      <c r="P1" t="s">
        <v>0</v>
      </c>
      <c r="Q1">
        <f>SUM(E10:E54)</f>
        <v>6.333333333333333</v>
      </c>
      <c r="R1" t="s">
        <v>2</v>
      </c>
      <c r="S1">
        <f>(M3/M2)*Q1</f>
        <v>4.2222222222222223</v>
      </c>
      <c r="T1">
        <f>S1-4</f>
        <v>0.22222222222222232</v>
      </c>
    </row>
    <row r="2" spans="1:20" ht="15.75" thickBot="1" x14ac:dyDescent="0.3">
      <c r="B2" s="5" t="s">
        <v>7</v>
      </c>
      <c r="C2" s="6">
        <f>SUMPRODUCT(C10:C118,E10:E118)</f>
        <v>4137883.333333333</v>
      </c>
      <c r="D2" s="7">
        <f>SUMPRODUCT(H10:H118,J10:J118)</f>
        <v>559439.33333333326</v>
      </c>
      <c r="E2" s="6">
        <f>SUMPRODUCT(M10:M348,O10:O348)</f>
        <v>3385566.5555555555</v>
      </c>
      <c r="F2" s="7">
        <f>SUMPRODUCT(R10:R348,T10:T348)</f>
        <v>1606829</v>
      </c>
      <c r="G2" s="64">
        <f>C2+D2+E2+F2</f>
        <v>9689718.222222222</v>
      </c>
      <c r="H2" s="82">
        <v>24786935</v>
      </c>
      <c r="I2" s="67" t="s">
        <v>6</v>
      </c>
      <c r="J2" s="8">
        <v>334</v>
      </c>
      <c r="L2" s="5" t="s">
        <v>8</v>
      </c>
      <c r="M2" s="9">
        <v>0.6</v>
      </c>
      <c r="N2" s="10">
        <v>0.25</v>
      </c>
      <c r="P2" t="s">
        <v>3</v>
      </c>
      <c r="Q2">
        <f>SUM(T10:T64)</f>
        <v>2</v>
      </c>
      <c r="R2" t="s">
        <v>1</v>
      </c>
      <c r="S2">
        <f>(N2/N3)*Q2</f>
        <v>0.66666666666666663</v>
      </c>
    </row>
    <row r="3" spans="1:20" ht="15.75" thickBot="1" x14ac:dyDescent="0.3">
      <c r="B3" s="11" t="s">
        <v>9</v>
      </c>
      <c r="C3" s="12">
        <f>SUMPRODUCT(B10:B118,E10:E118)</f>
        <v>192.06521739130434</v>
      </c>
      <c r="D3" s="13">
        <f>SUMPRODUCT(G10:G118,J10:J118)</f>
        <v>22.275449101796404</v>
      </c>
      <c r="E3" s="12">
        <f>SUMPRODUCT(L10:L348,O10:O348)</f>
        <v>128.04347826086956</v>
      </c>
      <c r="F3" s="13">
        <f>SUMPRODUCT(Q10:Q348,T10:T348)</f>
        <v>66.82634730538922</v>
      </c>
      <c r="G3" s="65">
        <f>SUM(C3:F3)</f>
        <v>409.21049205935952</v>
      </c>
      <c r="H3" s="80">
        <f>(H2-G2)/G2</f>
        <v>1.5580656146588554</v>
      </c>
      <c r="I3" s="67" t="s">
        <v>10</v>
      </c>
      <c r="J3" s="8">
        <f>11160</f>
        <v>11160</v>
      </c>
      <c r="L3" s="14" t="s">
        <v>11</v>
      </c>
      <c r="M3" s="15">
        <v>0.4</v>
      </c>
      <c r="N3" s="16">
        <v>0.75</v>
      </c>
      <c r="P3" t="s">
        <v>0</v>
      </c>
      <c r="Q3">
        <v>1</v>
      </c>
      <c r="R3" t="s">
        <v>2</v>
      </c>
      <c r="S3">
        <f>(M3/M2)*Q3</f>
        <v>0.66666666666666674</v>
      </c>
    </row>
    <row r="4" spans="1:20" ht="15.75" thickBot="1" x14ac:dyDescent="0.3">
      <c r="B4" s="14" t="s">
        <v>12</v>
      </c>
      <c r="C4" s="17">
        <f>SUM(E10:E118)*J3</f>
        <v>70680</v>
      </c>
      <c r="D4" s="18">
        <f>SUM(J10:J118)*J3</f>
        <v>7440</v>
      </c>
      <c r="E4" s="17">
        <f>SUM(O10:O348)*J3</f>
        <v>47120</v>
      </c>
      <c r="F4" s="18">
        <f>SUM(T10:T348)*J3</f>
        <v>22320</v>
      </c>
      <c r="G4" s="19">
        <f>SUM(C4:F4)</f>
        <v>147560</v>
      </c>
      <c r="H4" s="20"/>
      <c r="I4" s="21" t="s">
        <v>13</v>
      </c>
      <c r="J4" s="22">
        <v>100000</v>
      </c>
      <c r="L4" s="5" t="s">
        <v>14</v>
      </c>
      <c r="M4" s="76">
        <f>C4/(C4+E4)</f>
        <v>0.6</v>
      </c>
      <c r="N4" s="77">
        <f>D4/(D4+F4)</f>
        <v>0.25</v>
      </c>
      <c r="O4" s="23"/>
      <c r="P4" t="s">
        <v>3</v>
      </c>
      <c r="Q4">
        <v>1</v>
      </c>
      <c r="R4" t="s">
        <v>1</v>
      </c>
      <c r="S4">
        <f>(N2/N3)*Q4</f>
        <v>0.33333333333333331</v>
      </c>
    </row>
    <row r="5" spans="1:20" ht="15.75" thickBot="1" x14ac:dyDescent="0.3">
      <c r="B5" s="24" t="s">
        <v>15</v>
      </c>
      <c r="C5" s="25">
        <v>217620</v>
      </c>
      <c r="D5" s="26">
        <v>74400</v>
      </c>
      <c r="E5" s="27">
        <v>145080</v>
      </c>
      <c r="F5" s="26">
        <v>223200</v>
      </c>
      <c r="G5" s="28">
        <f>SUM(C5:F5)</f>
        <v>660300</v>
      </c>
      <c r="H5" s="20"/>
      <c r="I5" s="20"/>
      <c r="L5" s="29" t="s">
        <v>16</v>
      </c>
      <c r="M5" s="78">
        <f>E4/(C4+E4)</f>
        <v>0.4</v>
      </c>
      <c r="N5" s="79">
        <f>F4/(D4+F4)</f>
        <v>0.75</v>
      </c>
      <c r="O5" s="23"/>
      <c r="P5" t="s">
        <v>0</v>
      </c>
      <c r="Q5" s="88">
        <v>15115.929749103943</v>
      </c>
      <c r="R5" t="s">
        <v>2</v>
      </c>
      <c r="S5" s="88">
        <v>24384.682437275987</v>
      </c>
      <c r="T5">
        <f>Q5*Q3+S5*S3</f>
        <v>31372.384707287936</v>
      </c>
    </row>
    <row r="6" spans="1:20" ht="15.75" thickBot="1" x14ac:dyDescent="0.3">
      <c r="B6" s="24" t="s">
        <v>17</v>
      </c>
      <c r="C6" s="27">
        <f>C5-C4</f>
        <v>146940</v>
      </c>
      <c r="D6" s="30">
        <f>D5-D4</f>
        <v>66960</v>
      </c>
      <c r="E6" s="27">
        <f>E5-E4</f>
        <v>97960</v>
      </c>
      <c r="F6" s="30">
        <f>F5-F4</f>
        <v>200880</v>
      </c>
      <c r="H6" s="20"/>
      <c r="I6" s="20"/>
      <c r="J6" s="62"/>
      <c r="N6" s="23"/>
      <c r="O6" s="23"/>
      <c r="P6" t="s">
        <v>3</v>
      </c>
      <c r="Q6" s="88">
        <v>22211.748207885306</v>
      </c>
      <c r="R6" t="s">
        <v>1</v>
      </c>
      <c r="S6" s="88">
        <v>25114.615232974909</v>
      </c>
      <c r="T6">
        <f>Q6*Q4+S6*S4</f>
        <v>30583.28661887694</v>
      </c>
    </row>
    <row r="7" spans="1:20" ht="15.75" thickBot="1" x14ac:dyDescent="0.3"/>
    <row r="8" spans="1:20" ht="15.75" thickBot="1" x14ac:dyDescent="0.3">
      <c r="A8" s="113" t="s">
        <v>18</v>
      </c>
      <c r="B8" s="114"/>
      <c r="C8" s="114"/>
      <c r="D8" s="115"/>
      <c r="E8" s="31"/>
      <c r="F8" s="113" t="s">
        <v>19</v>
      </c>
      <c r="G8" s="114"/>
      <c r="H8" s="114"/>
      <c r="I8" s="115"/>
      <c r="J8" s="31"/>
      <c r="K8" s="113" t="s">
        <v>20</v>
      </c>
      <c r="L8" s="114"/>
      <c r="M8" s="114"/>
      <c r="N8" s="115"/>
      <c r="O8" s="31"/>
      <c r="P8" s="113" t="s">
        <v>21</v>
      </c>
      <c r="Q8" s="114"/>
      <c r="R8" s="114"/>
      <c r="S8" s="115"/>
    </row>
    <row r="9" spans="1:20" ht="15.75" thickBot="1" x14ac:dyDescent="0.3">
      <c r="A9" s="32" t="s">
        <v>22</v>
      </c>
      <c r="B9" s="33" t="s">
        <v>9</v>
      </c>
      <c r="C9" s="33" t="s">
        <v>7</v>
      </c>
      <c r="D9" s="34" t="s">
        <v>23</v>
      </c>
      <c r="E9" s="31"/>
      <c r="F9" s="32" t="s">
        <v>22</v>
      </c>
      <c r="G9" s="33" t="s">
        <v>9</v>
      </c>
      <c r="H9" s="33" t="s">
        <v>7</v>
      </c>
      <c r="I9" s="34" t="s">
        <v>23</v>
      </c>
      <c r="J9" s="31"/>
      <c r="K9" s="32" t="s">
        <v>22</v>
      </c>
      <c r="L9" s="33" t="s">
        <v>9</v>
      </c>
      <c r="M9" s="33" t="s">
        <v>7</v>
      </c>
      <c r="N9" s="34" t="s">
        <v>23</v>
      </c>
      <c r="O9" s="31"/>
      <c r="P9" s="35" t="s">
        <v>22</v>
      </c>
      <c r="Q9" s="36" t="s">
        <v>9</v>
      </c>
      <c r="R9" s="36" t="s">
        <v>7</v>
      </c>
      <c r="S9" s="37" t="s">
        <v>23</v>
      </c>
    </row>
    <row r="10" spans="1:20" x14ac:dyDescent="0.25">
      <c r="A10" s="38">
        <v>15</v>
      </c>
      <c r="B10" s="39">
        <f>$J$3/$J$1</f>
        <v>30.326086956521738</v>
      </c>
      <c r="C10" s="40">
        <v>823261</v>
      </c>
      <c r="D10" s="41">
        <f>C10/B10</f>
        <v>27146.957706093192</v>
      </c>
      <c r="E10">
        <v>1</v>
      </c>
      <c r="F10" s="103">
        <v>9</v>
      </c>
      <c r="G10" s="104">
        <f>$J$3/$J$2</f>
        <v>33.41317365269461</v>
      </c>
      <c r="H10" s="105">
        <v>839159</v>
      </c>
      <c r="I10" s="106">
        <f>H10/G10</f>
        <v>25114.615232974909</v>
      </c>
      <c r="J10">
        <v>0.66666666666666663</v>
      </c>
      <c r="K10" s="38">
        <v>99</v>
      </c>
      <c r="L10" s="39">
        <f>$J$3/$J$1</f>
        <v>30.326086956521738</v>
      </c>
      <c r="M10" s="40">
        <v>891762</v>
      </c>
      <c r="N10" s="41">
        <f>M10/L10</f>
        <v>29405.772043010755</v>
      </c>
      <c r="O10">
        <v>1</v>
      </c>
      <c r="P10" s="42">
        <v>31</v>
      </c>
      <c r="Q10" s="43">
        <f>$J$3/$J$2</f>
        <v>33.41317365269461</v>
      </c>
      <c r="R10" s="44">
        <v>828146</v>
      </c>
      <c r="S10" s="45">
        <f>R10/Q10</f>
        <v>24785.014695340502</v>
      </c>
      <c r="T10">
        <v>1</v>
      </c>
    </row>
    <row r="11" spans="1:20" x14ac:dyDescent="0.25">
      <c r="A11" s="46">
        <v>4</v>
      </c>
      <c r="B11" s="39">
        <f t="shared" ref="B11:B54" si="0">$J$3/$J$1</f>
        <v>30.326086956521738</v>
      </c>
      <c r="C11" s="47">
        <v>748702</v>
      </c>
      <c r="D11" s="41">
        <f t="shared" ref="D11:D54" si="1">C11/B11</f>
        <v>24688.381362007171</v>
      </c>
      <c r="E11">
        <v>1</v>
      </c>
      <c r="F11" s="58">
        <v>1</v>
      </c>
      <c r="G11" s="68">
        <f t="shared" ref="G11:G54" si="2">$J$3/$J$2</f>
        <v>33.41317365269461</v>
      </c>
      <c r="H11" s="54">
        <v>816679</v>
      </c>
      <c r="I11" s="69">
        <f t="shared" ref="I11:I54" si="3">H11/G11</f>
        <v>24441.826702508963</v>
      </c>
      <c r="K11" s="46">
        <v>22</v>
      </c>
      <c r="L11" s="39">
        <f t="shared" ref="L11:L64" si="4">$J$3/$J$1</f>
        <v>30.326086956521738</v>
      </c>
      <c r="M11" s="47">
        <v>787867</v>
      </c>
      <c r="N11" s="41">
        <f t="shared" ref="N11:N64" si="5">M11/L11</f>
        <v>25979.843727598567</v>
      </c>
      <c r="O11">
        <v>1</v>
      </c>
      <c r="P11" s="48">
        <v>95</v>
      </c>
      <c r="Q11" s="43">
        <f t="shared" ref="Q11:Q64" si="6">$J$3/$J$2</f>
        <v>33.41317365269461</v>
      </c>
      <c r="R11" s="49">
        <v>778683</v>
      </c>
      <c r="S11" s="45">
        <f t="shared" ref="S11:S64" si="7">R11/Q11</f>
        <v>23304.670430107526</v>
      </c>
      <c r="T11">
        <v>1</v>
      </c>
    </row>
    <row r="12" spans="1:20" x14ac:dyDescent="0.25">
      <c r="A12" s="46">
        <v>75</v>
      </c>
      <c r="B12" s="39">
        <f t="shared" si="0"/>
        <v>30.326086956521738</v>
      </c>
      <c r="C12" s="47">
        <v>700923</v>
      </c>
      <c r="D12" s="41">
        <f t="shared" si="1"/>
        <v>23112.873118279571</v>
      </c>
      <c r="E12">
        <v>1</v>
      </c>
      <c r="F12" s="58">
        <v>3</v>
      </c>
      <c r="G12" s="68">
        <f t="shared" si="2"/>
        <v>33.41317365269461</v>
      </c>
      <c r="H12" s="54">
        <v>637399</v>
      </c>
      <c r="I12" s="69">
        <f t="shared" si="3"/>
        <v>19076.278315412186</v>
      </c>
      <c r="K12" s="46">
        <v>83</v>
      </c>
      <c r="L12" s="39">
        <f t="shared" si="4"/>
        <v>30.326086956521738</v>
      </c>
      <c r="M12" s="47">
        <v>776669</v>
      </c>
      <c r="N12" s="41">
        <f t="shared" si="5"/>
        <v>25610.590681003585</v>
      </c>
      <c r="O12">
        <v>1</v>
      </c>
      <c r="P12" s="58">
        <v>32</v>
      </c>
      <c r="Q12" s="68">
        <f t="shared" si="6"/>
        <v>33.41317365269461</v>
      </c>
      <c r="R12" s="54">
        <v>742165</v>
      </c>
      <c r="S12" s="69">
        <f t="shared" si="7"/>
        <v>22211.748207885306</v>
      </c>
    </row>
    <row r="13" spans="1:20" x14ac:dyDescent="0.25">
      <c r="A13" s="46">
        <v>61</v>
      </c>
      <c r="B13" s="39">
        <f t="shared" si="0"/>
        <v>30.326086956521738</v>
      </c>
      <c r="C13" s="47">
        <v>594344</v>
      </c>
      <c r="D13" s="41">
        <f t="shared" si="1"/>
        <v>19598.440143369175</v>
      </c>
      <c r="E13">
        <v>1</v>
      </c>
      <c r="F13" s="58">
        <v>89</v>
      </c>
      <c r="G13" s="68">
        <f t="shared" si="2"/>
        <v>33.41317365269461</v>
      </c>
      <c r="H13" s="54">
        <v>626952</v>
      </c>
      <c r="I13" s="69">
        <f t="shared" si="3"/>
        <v>18763.617204301077</v>
      </c>
      <c r="K13" s="46">
        <v>57</v>
      </c>
      <c r="L13" s="39">
        <f t="shared" si="4"/>
        <v>30.326086956521738</v>
      </c>
      <c r="M13" s="47">
        <v>764937</v>
      </c>
      <c r="N13" s="41">
        <f t="shared" si="5"/>
        <v>25223.729032258067</v>
      </c>
      <c r="O13">
        <v>1</v>
      </c>
      <c r="P13" s="58">
        <v>86</v>
      </c>
      <c r="Q13" s="68">
        <f t="shared" si="6"/>
        <v>33.41317365269461</v>
      </c>
      <c r="R13" s="54">
        <v>708838</v>
      </c>
      <c r="S13" s="69">
        <f t="shared" si="7"/>
        <v>21214.327240143371</v>
      </c>
    </row>
    <row r="14" spans="1:20" x14ac:dyDescent="0.25">
      <c r="A14" s="46">
        <v>2</v>
      </c>
      <c r="B14" s="39">
        <f t="shared" si="0"/>
        <v>30.326086956521738</v>
      </c>
      <c r="C14" s="47">
        <v>573963</v>
      </c>
      <c r="D14" s="41">
        <f t="shared" si="1"/>
        <v>18926.378494623656</v>
      </c>
      <c r="E14">
        <v>1</v>
      </c>
      <c r="F14" s="58">
        <v>74</v>
      </c>
      <c r="G14" s="68">
        <f t="shared" si="2"/>
        <v>33.41317365269461</v>
      </c>
      <c r="H14" s="54">
        <v>528188</v>
      </c>
      <c r="I14" s="69">
        <f t="shared" si="3"/>
        <v>15807.7770609319</v>
      </c>
      <c r="K14" s="99">
        <v>33</v>
      </c>
      <c r="L14" s="100">
        <f t="shared" si="4"/>
        <v>30.326086956521738</v>
      </c>
      <c r="M14" s="101">
        <v>739492</v>
      </c>
      <c r="N14" s="102">
        <f t="shared" si="5"/>
        <v>24384.682437275987</v>
      </c>
      <c r="O14">
        <v>0.22222222222222232</v>
      </c>
      <c r="P14" s="58">
        <v>44</v>
      </c>
      <c r="Q14" s="68">
        <f t="shared" si="6"/>
        <v>33.41317365269461</v>
      </c>
      <c r="R14" s="54">
        <v>644475</v>
      </c>
      <c r="S14" s="69">
        <f t="shared" si="7"/>
        <v>19288.051075268817</v>
      </c>
    </row>
    <row r="15" spans="1:20" x14ac:dyDescent="0.25">
      <c r="A15" s="46">
        <v>66</v>
      </c>
      <c r="B15" s="39">
        <f t="shared" si="0"/>
        <v>30.326086956521738</v>
      </c>
      <c r="C15" s="47">
        <v>543888</v>
      </c>
      <c r="D15" s="41">
        <f t="shared" si="1"/>
        <v>17934.65806451613</v>
      </c>
      <c r="E15">
        <v>1</v>
      </c>
      <c r="F15" s="58">
        <v>7</v>
      </c>
      <c r="G15" s="68">
        <f t="shared" si="2"/>
        <v>33.41317365269461</v>
      </c>
      <c r="H15" s="54">
        <v>517706</v>
      </c>
      <c r="I15" s="69">
        <f t="shared" si="3"/>
        <v>15494.068458781363</v>
      </c>
      <c r="K15" s="58">
        <v>34</v>
      </c>
      <c r="L15" s="68">
        <f t="shared" si="4"/>
        <v>30.326086956521738</v>
      </c>
      <c r="M15" s="54">
        <v>706466</v>
      </c>
      <c r="N15" s="69">
        <f t="shared" si="5"/>
        <v>23295.653046594984</v>
      </c>
      <c r="P15" s="58">
        <v>43</v>
      </c>
      <c r="Q15" s="68">
        <f t="shared" si="6"/>
        <v>33.41317365269461</v>
      </c>
      <c r="R15" s="54">
        <v>600711</v>
      </c>
      <c r="S15" s="69">
        <f t="shared" si="7"/>
        <v>17978.268279569893</v>
      </c>
    </row>
    <row r="16" spans="1:20" x14ac:dyDescent="0.25">
      <c r="A16" s="107">
        <v>9</v>
      </c>
      <c r="B16" s="104">
        <f t="shared" si="0"/>
        <v>30.326086956521738</v>
      </c>
      <c r="C16" s="108">
        <v>458407</v>
      </c>
      <c r="D16" s="106">
        <f t="shared" si="1"/>
        <v>15115.929749103943</v>
      </c>
      <c r="E16">
        <f>1-0.666666666666667</f>
        <v>0.33333333333333304</v>
      </c>
      <c r="F16" s="58">
        <v>16</v>
      </c>
      <c r="G16" s="68">
        <f t="shared" si="2"/>
        <v>33.41317365269461</v>
      </c>
      <c r="H16" s="54">
        <v>471825</v>
      </c>
      <c r="I16" s="69">
        <f t="shared" si="3"/>
        <v>14120.927419354839</v>
      </c>
      <c r="K16" s="58">
        <v>54</v>
      </c>
      <c r="L16" s="68">
        <f t="shared" si="4"/>
        <v>30.326086956521738</v>
      </c>
      <c r="M16" s="54">
        <v>704680</v>
      </c>
      <c r="N16" s="69">
        <f t="shared" si="5"/>
        <v>23236.759856630826</v>
      </c>
      <c r="P16" s="58">
        <v>54</v>
      </c>
      <c r="Q16" s="68">
        <f t="shared" si="6"/>
        <v>33.41317365269461</v>
      </c>
      <c r="R16" s="54">
        <v>600526</v>
      </c>
      <c r="S16" s="69">
        <f t="shared" si="7"/>
        <v>17972.73154121864</v>
      </c>
    </row>
    <row r="17" spans="1:20" x14ac:dyDescent="0.25">
      <c r="A17" s="58">
        <v>6</v>
      </c>
      <c r="B17" s="68">
        <f t="shared" si="0"/>
        <v>30.326086956521738</v>
      </c>
      <c r="C17" s="54">
        <v>413342</v>
      </c>
      <c r="D17" s="69">
        <f t="shared" si="1"/>
        <v>13629.915412186379</v>
      </c>
      <c r="F17" s="58">
        <v>20</v>
      </c>
      <c r="G17" s="68">
        <f t="shared" si="2"/>
        <v>33.41317365269461</v>
      </c>
      <c r="H17" s="54">
        <v>465526</v>
      </c>
      <c r="I17" s="69">
        <f t="shared" si="3"/>
        <v>13932.408960573477</v>
      </c>
      <c r="K17" s="58">
        <v>46</v>
      </c>
      <c r="L17" s="68">
        <f t="shared" si="4"/>
        <v>30.326086956521738</v>
      </c>
      <c r="M17" s="54">
        <v>647685</v>
      </c>
      <c r="N17" s="69">
        <f t="shared" si="5"/>
        <v>21357.354838709678</v>
      </c>
      <c r="P17" s="99">
        <v>33</v>
      </c>
      <c r="Q17" s="100">
        <f t="shared" si="6"/>
        <v>33.41317365269461</v>
      </c>
      <c r="R17" s="101">
        <v>533105</v>
      </c>
      <c r="S17" s="102">
        <f t="shared" si="7"/>
        <v>15954.934587813621</v>
      </c>
    </row>
    <row r="18" spans="1:20" x14ac:dyDescent="0.25">
      <c r="A18" s="58">
        <v>90</v>
      </c>
      <c r="B18" s="68">
        <f t="shared" si="0"/>
        <v>30.326086956521738</v>
      </c>
      <c r="C18" s="54">
        <v>390167</v>
      </c>
      <c r="D18" s="69">
        <f t="shared" si="1"/>
        <v>12865.721863799283</v>
      </c>
      <c r="F18" s="58">
        <v>71</v>
      </c>
      <c r="G18" s="68">
        <f t="shared" si="2"/>
        <v>33.41317365269461</v>
      </c>
      <c r="H18" s="54">
        <v>459240</v>
      </c>
      <c r="I18" s="69">
        <f t="shared" si="3"/>
        <v>13744.279569892473</v>
      </c>
      <c r="K18" s="58">
        <v>35</v>
      </c>
      <c r="L18" s="68">
        <f t="shared" si="4"/>
        <v>30.326086956521738</v>
      </c>
      <c r="M18" s="54">
        <v>520964</v>
      </c>
      <c r="N18" s="69">
        <f t="shared" si="5"/>
        <v>17178.741218637992</v>
      </c>
      <c r="P18" s="58">
        <v>29</v>
      </c>
      <c r="Q18" s="68">
        <f t="shared" si="6"/>
        <v>33.41317365269461</v>
      </c>
      <c r="R18" s="54">
        <v>466819</v>
      </c>
      <c r="S18" s="69">
        <f t="shared" si="7"/>
        <v>13971.106272401434</v>
      </c>
    </row>
    <row r="19" spans="1:20" x14ac:dyDescent="0.25">
      <c r="A19" s="58">
        <v>10</v>
      </c>
      <c r="B19" s="68">
        <f t="shared" si="0"/>
        <v>30.326086956521738</v>
      </c>
      <c r="C19" s="54">
        <v>374487</v>
      </c>
      <c r="D19" s="69">
        <f t="shared" si="1"/>
        <v>12348.675268817206</v>
      </c>
      <c r="F19" s="58">
        <v>73</v>
      </c>
      <c r="G19" s="68">
        <f t="shared" si="2"/>
        <v>33.41317365269461</v>
      </c>
      <c r="H19" s="54">
        <v>435675</v>
      </c>
      <c r="I19" s="69">
        <f t="shared" si="3"/>
        <v>13039.018817204302</v>
      </c>
      <c r="K19" s="58">
        <v>28</v>
      </c>
      <c r="L19" s="68">
        <f t="shared" si="4"/>
        <v>30.326086956521738</v>
      </c>
      <c r="M19" s="54">
        <v>485282</v>
      </c>
      <c r="N19" s="69">
        <f t="shared" si="5"/>
        <v>16002.130465949822</v>
      </c>
      <c r="P19" s="58">
        <v>39</v>
      </c>
      <c r="Q19" s="68">
        <f t="shared" si="6"/>
        <v>33.41317365269461</v>
      </c>
      <c r="R19" s="54">
        <v>443533</v>
      </c>
      <c r="S19" s="69">
        <f t="shared" si="7"/>
        <v>13274.195519713261</v>
      </c>
    </row>
    <row r="20" spans="1:20" x14ac:dyDescent="0.25">
      <c r="A20" s="58">
        <v>72</v>
      </c>
      <c r="B20" s="68">
        <f t="shared" si="0"/>
        <v>30.326086956521738</v>
      </c>
      <c r="C20" s="54">
        <v>339217</v>
      </c>
      <c r="D20" s="69">
        <f t="shared" si="1"/>
        <v>11185.65017921147</v>
      </c>
      <c r="F20" s="95">
        <v>4</v>
      </c>
      <c r="G20" s="96">
        <f t="shared" si="2"/>
        <v>33.41317365269461</v>
      </c>
      <c r="H20" s="97">
        <v>435251</v>
      </c>
      <c r="I20" s="98">
        <f t="shared" si="3"/>
        <v>13026.329211469534</v>
      </c>
      <c r="J20">
        <v>0</v>
      </c>
      <c r="K20" s="58">
        <v>25</v>
      </c>
      <c r="L20" s="68">
        <f t="shared" si="4"/>
        <v>30.326086956521738</v>
      </c>
      <c r="M20" s="54">
        <v>428682</v>
      </c>
      <c r="N20" s="69">
        <f t="shared" si="5"/>
        <v>14135.750537634409</v>
      </c>
      <c r="P20" s="58">
        <v>85</v>
      </c>
      <c r="Q20" s="68">
        <f t="shared" si="6"/>
        <v>33.41317365269461</v>
      </c>
      <c r="R20" s="54">
        <v>400656</v>
      </c>
      <c r="S20" s="69">
        <f t="shared" si="7"/>
        <v>11990.959139784947</v>
      </c>
    </row>
    <row r="21" spans="1:20" x14ac:dyDescent="0.25">
      <c r="A21" s="58">
        <v>63</v>
      </c>
      <c r="B21" s="68">
        <f t="shared" si="0"/>
        <v>30.326086956521738</v>
      </c>
      <c r="C21" s="54">
        <v>148379</v>
      </c>
      <c r="D21" s="69">
        <f t="shared" si="1"/>
        <v>4892.7842293906815</v>
      </c>
      <c r="F21" s="58">
        <v>58</v>
      </c>
      <c r="G21" s="68">
        <f t="shared" si="2"/>
        <v>33.41317365269461</v>
      </c>
      <c r="H21" s="54">
        <v>425212</v>
      </c>
      <c r="I21" s="69">
        <f t="shared" si="3"/>
        <v>12725.878853046595</v>
      </c>
      <c r="K21" s="58">
        <v>53</v>
      </c>
      <c r="L21" s="68">
        <f t="shared" si="4"/>
        <v>30.326086956521738</v>
      </c>
      <c r="M21" s="54">
        <v>427876</v>
      </c>
      <c r="N21" s="69">
        <f t="shared" si="5"/>
        <v>14109.17275985663</v>
      </c>
      <c r="P21" s="58">
        <v>51</v>
      </c>
      <c r="Q21" s="68">
        <f t="shared" si="6"/>
        <v>33.41317365269461</v>
      </c>
      <c r="R21" s="54">
        <v>295735</v>
      </c>
      <c r="S21" s="69">
        <f t="shared" si="7"/>
        <v>8850.8503584229402</v>
      </c>
    </row>
    <row r="22" spans="1:20" x14ac:dyDescent="0.25">
      <c r="A22" s="58">
        <v>5</v>
      </c>
      <c r="B22" s="68">
        <f t="shared" si="0"/>
        <v>30.326086956521738</v>
      </c>
      <c r="C22" s="54">
        <v>135603</v>
      </c>
      <c r="D22" s="69">
        <f t="shared" si="1"/>
        <v>4471.4967741935488</v>
      </c>
      <c r="F22" s="58">
        <v>69</v>
      </c>
      <c r="G22" s="68">
        <f t="shared" si="2"/>
        <v>33.41317365269461</v>
      </c>
      <c r="H22" s="54">
        <v>301059</v>
      </c>
      <c r="I22" s="69">
        <f t="shared" si="3"/>
        <v>9010.188709677419</v>
      </c>
      <c r="K22" s="58">
        <v>30</v>
      </c>
      <c r="L22" s="68">
        <f t="shared" si="4"/>
        <v>30.326086956521738</v>
      </c>
      <c r="M22" s="54">
        <v>412457</v>
      </c>
      <c r="N22" s="69">
        <f t="shared" si="5"/>
        <v>13600.732616487456</v>
      </c>
      <c r="P22" s="58">
        <v>84</v>
      </c>
      <c r="Q22" s="68">
        <f t="shared" si="6"/>
        <v>33.41317365269461</v>
      </c>
      <c r="R22" s="54">
        <v>277116</v>
      </c>
      <c r="S22" s="69">
        <f t="shared" si="7"/>
        <v>8293.6150537634403</v>
      </c>
    </row>
    <row r="23" spans="1:20" x14ac:dyDescent="0.25">
      <c r="A23" s="58">
        <v>89</v>
      </c>
      <c r="B23" s="68">
        <f t="shared" si="0"/>
        <v>30.326086956521738</v>
      </c>
      <c r="C23" s="54">
        <v>43767</v>
      </c>
      <c r="D23" s="69">
        <f t="shared" si="1"/>
        <v>1443.2129032258065</v>
      </c>
      <c r="F23" s="58">
        <v>91</v>
      </c>
      <c r="G23" s="68">
        <f t="shared" si="2"/>
        <v>33.41317365269461</v>
      </c>
      <c r="H23" s="54">
        <v>248437</v>
      </c>
      <c r="I23" s="69">
        <f t="shared" si="3"/>
        <v>7435.3008960573479</v>
      </c>
      <c r="K23" s="58">
        <v>45</v>
      </c>
      <c r="L23" s="68">
        <f t="shared" si="4"/>
        <v>30.326086956521738</v>
      </c>
      <c r="M23" s="54">
        <v>411553</v>
      </c>
      <c r="N23" s="69">
        <f t="shared" si="5"/>
        <v>13570.923297491039</v>
      </c>
      <c r="P23" s="58">
        <v>100</v>
      </c>
      <c r="Q23" s="68">
        <f t="shared" si="6"/>
        <v>33.41317365269461</v>
      </c>
      <c r="R23" s="54">
        <v>196154</v>
      </c>
      <c r="S23" s="69">
        <f t="shared" si="7"/>
        <v>5870.5587813620077</v>
      </c>
    </row>
    <row r="24" spans="1:20" x14ac:dyDescent="0.25">
      <c r="A24" s="58">
        <v>8</v>
      </c>
      <c r="B24" s="68">
        <f t="shared" si="0"/>
        <v>30.326086956521738</v>
      </c>
      <c r="C24" s="54">
        <v>-31569</v>
      </c>
      <c r="D24" s="69">
        <f t="shared" si="1"/>
        <v>-1040.9849462365592</v>
      </c>
      <c r="F24" s="95">
        <v>75</v>
      </c>
      <c r="G24" s="96">
        <f t="shared" si="2"/>
        <v>33.41317365269461</v>
      </c>
      <c r="H24" s="97">
        <v>241104</v>
      </c>
      <c r="I24" s="98">
        <f t="shared" si="3"/>
        <v>7215.8365591397851</v>
      </c>
      <c r="J24">
        <v>0</v>
      </c>
      <c r="K24" s="58">
        <v>43</v>
      </c>
      <c r="L24" s="68">
        <f t="shared" si="4"/>
        <v>30.326086956521738</v>
      </c>
      <c r="M24" s="54">
        <v>287718</v>
      </c>
      <c r="N24" s="69">
        <f t="shared" si="5"/>
        <v>9487.4752688172048</v>
      </c>
      <c r="P24" s="58">
        <v>56</v>
      </c>
      <c r="Q24" s="68">
        <f t="shared" si="6"/>
        <v>33.41317365269461</v>
      </c>
      <c r="R24" s="54">
        <v>175558</v>
      </c>
      <c r="S24" s="69">
        <f t="shared" si="7"/>
        <v>5254.1551971326162</v>
      </c>
    </row>
    <row r="25" spans="1:20" x14ac:dyDescent="0.25">
      <c r="A25" s="58">
        <v>62</v>
      </c>
      <c r="B25" s="68">
        <f t="shared" si="0"/>
        <v>30.326086956521738</v>
      </c>
      <c r="C25" s="54">
        <v>-50310</v>
      </c>
      <c r="D25" s="69">
        <f t="shared" si="1"/>
        <v>-1658.9677419354839</v>
      </c>
      <c r="F25" s="58">
        <v>21</v>
      </c>
      <c r="G25" s="68">
        <f t="shared" si="2"/>
        <v>33.41317365269461</v>
      </c>
      <c r="H25" s="54">
        <v>182068</v>
      </c>
      <c r="I25" s="69">
        <f t="shared" si="3"/>
        <v>5448.9885304659501</v>
      </c>
      <c r="K25" s="58">
        <v>47</v>
      </c>
      <c r="L25" s="68">
        <f t="shared" si="4"/>
        <v>30.326086956521738</v>
      </c>
      <c r="M25" s="54">
        <v>244892</v>
      </c>
      <c r="N25" s="69">
        <f t="shared" si="5"/>
        <v>8075.2917562724015</v>
      </c>
      <c r="P25" s="58">
        <v>24</v>
      </c>
      <c r="Q25" s="68">
        <f t="shared" si="6"/>
        <v>33.41317365269461</v>
      </c>
      <c r="R25" s="54">
        <v>71007</v>
      </c>
      <c r="S25" s="69">
        <f t="shared" si="7"/>
        <v>2125.1198924731184</v>
      </c>
    </row>
    <row r="26" spans="1:20" x14ac:dyDescent="0.25">
      <c r="A26" s="58">
        <v>20</v>
      </c>
      <c r="B26" s="68">
        <f t="shared" si="0"/>
        <v>30.326086956521738</v>
      </c>
      <c r="C26" s="54">
        <v>-55320</v>
      </c>
      <c r="D26" s="69">
        <f t="shared" si="1"/>
        <v>-1824.1720430107528</v>
      </c>
      <c r="F26" s="58">
        <v>59</v>
      </c>
      <c r="G26" s="68">
        <f t="shared" si="2"/>
        <v>33.41317365269461</v>
      </c>
      <c r="H26" s="54">
        <v>167225</v>
      </c>
      <c r="I26" s="69">
        <f t="shared" si="3"/>
        <v>5004.7625448028675</v>
      </c>
      <c r="K26" s="58">
        <v>27</v>
      </c>
      <c r="L26" s="68">
        <f t="shared" si="4"/>
        <v>30.326086956521738</v>
      </c>
      <c r="M26" s="54">
        <v>217246</v>
      </c>
      <c r="N26" s="69">
        <f t="shared" si="5"/>
        <v>7163.6673835125448</v>
      </c>
      <c r="P26" s="58">
        <v>94</v>
      </c>
      <c r="Q26" s="68">
        <f t="shared" si="6"/>
        <v>33.41317365269461</v>
      </c>
      <c r="R26" s="54">
        <v>48569</v>
      </c>
      <c r="S26" s="69">
        <f t="shared" si="7"/>
        <v>1453.5883512544804</v>
      </c>
    </row>
    <row r="27" spans="1:20" x14ac:dyDescent="0.25">
      <c r="A27" s="58">
        <v>14</v>
      </c>
      <c r="B27" s="68">
        <f t="shared" si="0"/>
        <v>30.326086956521738</v>
      </c>
      <c r="C27" s="54">
        <v>-99929</v>
      </c>
      <c r="D27" s="69">
        <f t="shared" si="1"/>
        <v>-3295.1498207885306</v>
      </c>
      <c r="F27" s="58">
        <v>63</v>
      </c>
      <c r="G27" s="68">
        <f t="shared" si="2"/>
        <v>33.41317365269461</v>
      </c>
      <c r="H27" s="54">
        <v>-59023</v>
      </c>
      <c r="I27" s="69">
        <f t="shared" si="3"/>
        <v>-1766.4589605734768</v>
      </c>
      <c r="K27" s="58">
        <v>98</v>
      </c>
      <c r="L27" s="68">
        <f t="shared" si="4"/>
        <v>30.326086956521738</v>
      </c>
      <c r="M27" s="54">
        <v>186371</v>
      </c>
      <c r="N27" s="69">
        <f t="shared" si="5"/>
        <v>6145.5670250896055</v>
      </c>
      <c r="P27" s="58">
        <v>98</v>
      </c>
      <c r="Q27" s="68">
        <f t="shared" si="6"/>
        <v>33.41317365269461</v>
      </c>
      <c r="R27" s="54">
        <v>42432</v>
      </c>
      <c r="S27" s="69">
        <f t="shared" si="7"/>
        <v>1269.9182795698925</v>
      </c>
    </row>
    <row r="28" spans="1:20" x14ac:dyDescent="0.25">
      <c r="A28" s="58">
        <v>59</v>
      </c>
      <c r="B28" s="68">
        <f t="shared" si="0"/>
        <v>30.326086956521738</v>
      </c>
      <c r="C28" s="54">
        <v>-120499</v>
      </c>
      <c r="D28" s="69">
        <f t="shared" si="1"/>
        <v>-3973.4437275985665</v>
      </c>
      <c r="F28" s="58">
        <v>70</v>
      </c>
      <c r="G28" s="68">
        <f t="shared" si="2"/>
        <v>33.41317365269461</v>
      </c>
      <c r="H28" s="54">
        <v>-82956</v>
      </c>
      <c r="I28" s="69">
        <f t="shared" si="3"/>
        <v>-2482.7333333333336</v>
      </c>
      <c r="K28" s="58">
        <v>82</v>
      </c>
      <c r="L28" s="68">
        <f t="shared" si="4"/>
        <v>30.326086956521738</v>
      </c>
      <c r="M28" s="54">
        <v>157735</v>
      </c>
      <c r="N28" s="69">
        <f t="shared" si="5"/>
        <v>5201.2974910394269</v>
      </c>
      <c r="P28" s="58">
        <v>79</v>
      </c>
      <c r="Q28" s="68">
        <f t="shared" si="6"/>
        <v>33.41317365269461</v>
      </c>
      <c r="R28" s="54">
        <v>-17472</v>
      </c>
      <c r="S28" s="69">
        <f t="shared" si="7"/>
        <v>-522.9075268817204</v>
      </c>
    </row>
    <row r="29" spans="1:20" x14ac:dyDescent="0.25">
      <c r="A29" s="58">
        <v>11</v>
      </c>
      <c r="B29" s="68">
        <f t="shared" si="0"/>
        <v>30.326086956521738</v>
      </c>
      <c r="C29" s="54">
        <v>-150180</v>
      </c>
      <c r="D29" s="69">
        <f t="shared" si="1"/>
        <v>-4952.1720430107525</v>
      </c>
      <c r="F29" s="58">
        <v>64</v>
      </c>
      <c r="G29" s="68">
        <f t="shared" si="2"/>
        <v>33.41317365269461</v>
      </c>
      <c r="H29" s="54">
        <v>-163863</v>
      </c>
      <c r="I29" s="69">
        <f t="shared" si="3"/>
        <v>-4904.1435483870973</v>
      </c>
      <c r="K29" s="58">
        <v>39</v>
      </c>
      <c r="L29" s="68">
        <f t="shared" si="4"/>
        <v>30.326086956521738</v>
      </c>
      <c r="M29" s="54">
        <v>75371</v>
      </c>
      <c r="N29" s="69">
        <f t="shared" si="5"/>
        <v>2485.3519713261649</v>
      </c>
      <c r="P29" s="58">
        <v>30</v>
      </c>
      <c r="Q29" s="68">
        <f t="shared" si="6"/>
        <v>33.41317365269461</v>
      </c>
      <c r="R29" s="54">
        <v>-18899</v>
      </c>
      <c r="S29" s="69">
        <f t="shared" si="7"/>
        <v>-565.61523297491044</v>
      </c>
    </row>
    <row r="30" spans="1:20" x14ac:dyDescent="0.25">
      <c r="A30" s="58">
        <v>19</v>
      </c>
      <c r="B30" s="68">
        <f t="shared" si="0"/>
        <v>30.326086956521738</v>
      </c>
      <c r="C30" s="54">
        <v>-212225</v>
      </c>
      <c r="D30" s="69">
        <f t="shared" si="1"/>
        <v>-6998.1003584229393</v>
      </c>
      <c r="F30" s="58">
        <v>8</v>
      </c>
      <c r="G30" s="68">
        <f t="shared" si="2"/>
        <v>33.41317365269461</v>
      </c>
      <c r="H30" s="54">
        <v>-187009</v>
      </c>
      <c r="I30" s="69">
        <f t="shared" si="3"/>
        <v>-5596.8643369175625</v>
      </c>
      <c r="K30" s="58">
        <v>79</v>
      </c>
      <c r="L30" s="68">
        <f t="shared" si="4"/>
        <v>30.326086956521738</v>
      </c>
      <c r="M30" s="54">
        <v>42924</v>
      </c>
      <c r="N30" s="69">
        <f t="shared" si="5"/>
        <v>1415.4150537634409</v>
      </c>
      <c r="P30" s="95">
        <v>99</v>
      </c>
      <c r="Q30" s="96">
        <f t="shared" si="6"/>
        <v>33.41317365269461</v>
      </c>
      <c r="R30" s="97">
        <v>-53380</v>
      </c>
      <c r="S30" s="98">
        <f t="shared" si="7"/>
        <v>-1597.573476702509</v>
      </c>
      <c r="T30">
        <v>0</v>
      </c>
    </row>
    <row r="31" spans="1:20" x14ac:dyDescent="0.25">
      <c r="A31" s="58">
        <v>7</v>
      </c>
      <c r="B31" s="68">
        <f t="shared" si="0"/>
        <v>30.326086956521738</v>
      </c>
      <c r="C31" s="54">
        <v>-425925</v>
      </c>
      <c r="D31" s="69">
        <f t="shared" si="1"/>
        <v>-14044.83870967742</v>
      </c>
      <c r="F31" s="95">
        <v>61</v>
      </c>
      <c r="G31" s="96">
        <f t="shared" si="2"/>
        <v>33.41317365269461</v>
      </c>
      <c r="H31" s="97">
        <v>-223907</v>
      </c>
      <c r="I31" s="98">
        <f t="shared" si="3"/>
        <v>-6701.159318996416</v>
      </c>
      <c r="J31">
        <v>0</v>
      </c>
      <c r="K31" s="58">
        <v>49</v>
      </c>
      <c r="L31" s="68">
        <f t="shared" si="4"/>
        <v>30.326086956521738</v>
      </c>
      <c r="M31" s="54">
        <v>-35135</v>
      </c>
      <c r="N31" s="69">
        <f t="shared" si="5"/>
        <v>-1158.573476702509</v>
      </c>
      <c r="P31" s="58">
        <v>76</v>
      </c>
      <c r="Q31" s="68">
        <f t="shared" si="6"/>
        <v>33.41317365269461</v>
      </c>
      <c r="R31" s="54">
        <v>-134133</v>
      </c>
      <c r="S31" s="69">
        <f t="shared" si="7"/>
        <v>-4014.3747311827956</v>
      </c>
    </row>
    <row r="32" spans="1:20" x14ac:dyDescent="0.25">
      <c r="A32" s="58">
        <v>88</v>
      </c>
      <c r="B32" s="68">
        <f t="shared" si="0"/>
        <v>30.326086956521738</v>
      </c>
      <c r="C32" s="54">
        <v>-426293</v>
      </c>
      <c r="D32" s="69">
        <f t="shared" si="1"/>
        <v>-14056.973476702509</v>
      </c>
      <c r="F32" s="58">
        <v>92</v>
      </c>
      <c r="G32" s="68">
        <f t="shared" si="2"/>
        <v>33.41317365269461</v>
      </c>
      <c r="H32" s="54">
        <v>-299484</v>
      </c>
      <c r="I32" s="69">
        <f t="shared" si="3"/>
        <v>-8963.0516129032258</v>
      </c>
      <c r="K32" s="58">
        <v>86</v>
      </c>
      <c r="L32" s="68">
        <f t="shared" si="4"/>
        <v>30.326086956521738</v>
      </c>
      <c r="M32" s="54">
        <v>-36114</v>
      </c>
      <c r="N32" s="69">
        <f t="shared" si="5"/>
        <v>-1190.8559139784948</v>
      </c>
      <c r="P32" s="58">
        <v>27</v>
      </c>
      <c r="Q32" s="68">
        <f t="shared" si="6"/>
        <v>33.41317365269461</v>
      </c>
      <c r="R32" s="54">
        <v>-237585</v>
      </c>
      <c r="S32" s="69">
        <f t="shared" si="7"/>
        <v>-7110.5188172043008</v>
      </c>
    </row>
    <row r="33" spans="1:20" x14ac:dyDescent="0.25">
      <c r="A33" s="58">
        <v>1</v>
      </c>
      <c r="B33" s="68">
        <f t="shared" si="0"/>
        <v>30.326086956521738</v>
      </c>
      <c r="C33" s="54">
        <v>-436549</v>
      </c>
      <c r="D33" s="69">
        <f t="shared" si="1"/>
        <v>-14395.164157706093</v>
      </c>
      <c r="F33" s="58">
        <v>93</v>
      </c>
      <c r="G33" s="68">
        <f t="shared" si="2"/>
        <v>33.41317365269461</v>
      </c>
      <c r="H33" s="54">
        <v>-392062</v>
      </c>
      <c r="I33" s="69">
        <f t="shared" si="3"/>
        <v>-11733.755197132617</v>
      </c>
      <c r="K33" s="109">
        <v>95</v>
      </c>
      <c r="L33" s="110">
        <f t="shared" si="4"/>
        <v>30.326086956521738</v>
      </c>
      <c r="M33" s="111">
        <v>-117870</v>
      </c>
      <c r="N33" s="112">
        <f t="shared" si="5"/>
        <v>-3886.7526881720432</v>
      </c>
      <c r="O33">
        <v>0</v>
      </c>
      <c r="P33" s="58">
        <v>49</v>
      </c>
      <c r="Q33" s="68">
        <f t="shared" si="6"/>
        <v>33.41317365269461</v>
      </c>
      <c r="R33" s="54">
        <v>-320509</v>
      </c>
      <c r="S33" s="69">
        <f t="shared" si="7"/>
        <v>-9592.2944444444438</v>
      </c>
    </row>
    <row r="34" spans="1:20" x14ac:dyDescent="0.25">
      <c r="A34" s="58">
        <v>16</v>
      </c>
      <c r="B34" s="68">
        <f t="shared" si="0"/>
        <v>30.326086956521738</v>
      </c>
      <c r="C34" s="54">
        <v>-516654</v>
      </c>
      <c r="D34" s="69">
        <f t="shared" si="1"/>
        <v>-17036.619354838709</v>
      </c>
      <c r="F34" s="58">
        <v>17</v>
      </c>
      <c r="G34" s="68">
        <f t="shared" si="2"/>
        <v>33.41317365269461</v>
      </c>
      <c r="H34" s="54">
        <v>-421127</v>
      </c>
      <c r="I34" s="69">
        <f t="shared" si="3"/>
        <v>-12603.621684587813</v>
      </c>
      <c r="K34" s="58">
        <v>42</v>
      </c>
      <c r="L34" s="68">
        <f t="shared" si="4"/>
        <v>30.326086956521738</v>
      </c>
      <c r="M34" s="54">
        <v>-137859</v>
      </c>
      <c r="N34" s="69">
        <f t="shared" si="5"/>
        <v>-4545.8881720430109</v>
      </c>
      <c r="P34" s="58">
        <v>47</v>
      </c>
      <c r="Q34" s="68">
        <f t="shared" si="6"/>
        <v>33.41317365269461</v>
      </c>
      <c r="R34" s="54">
        <v>-338573</v>
      </c>
      <c r="S34" s="69">
        <f t="shared" si="7"/>
        <v>-10132.919534050179</v>
      </c>
    </row>
    <row r="35" spans="1:20" x14ac:dyDescent="0.25">
      <c r="A35" s="58">
        <v>73</v>
      </c>
      <c r="B35" s="68">
        <f t="shared" si="0"/>
        <v>30.326086956521738</v>
      </c>
      <c r="C35" s="54">
        <v>-526062</v>
      </c>
      <c r="D35" s="69">
        <f t="shared" si="1"/>
        <v>-17346.847311827958</v>
      </c>
      <c r="F35" s="58">
        <v>5</v>
      </c>
      <c r="G35" s="68">
        <f t="shared" si="2"/>
        <v>33.41317365269461</v>
      </c>
      <c r="H35" s="54">
        <v>-473972</v>
      </c>
      <c r="I35" s="69">
        <f t="shared" si="3"/>
        <v>-14185.183512544803</v>
      </c>
      <c r="K35" s="58">
        <v>50</v>
      </c>
      <c r="L35" s="68">
        <f t="shared" si="4"/>
        <v>30.326086956521738</v>
      </c>
      <c r="M35" s="54">
        <v>-141217</v>
      </c>
      <c r="N35" s="69">
        <f t="shared" si="5"/>
        <v>-4656.6179211469534</v>
      </c>
      <c r="P35" s="58">
        <v>34</v>
      </c>
      <c r="Q35" s="68">
        <f t="shared" si="6"/>
        <v>33.41317365269461</v>
      </c>
      <c r="R35" s="54">
        <v>-343537</v>
      </c>
      <c r="S35" s="69">
        <f t="shared" si="7"/>
        <v>-10281.483691756273</v>
      </c>
    </row>
    <row r="36" spans="1:20" x14ac:dyDescent="0.25">
      <c r="A36" s="58">
        <v>69</v>
      </c>
      <c r="B36" s="68">
        <f t="shared" si="0"/>
        <v>30.326086956521738</v>
      </c>
      <c r="C36" s="54">
        <v>-582190</v>
      </c>
      <c r="D36" s="69">
        <f t="shared" si="1"/>
        <v>-19197.663082437277</v>
      </c>
      <c r="F36" s="58">
        <v>67</v>
      </c>
      <c r="G36" s="68">
        <f t="shared" si="2"/>
        <v>33.41317365269461</v>
      </c>
      <c r="H36" s="54">
        <v>-479440</v>
      </c>
      <c r="I36" s="69">
        <f t="shared" si="3"/>
        <v>-14348.831541218638</v>
      </c>
      <c r="K36" s="58">
        <v>24</v>
      </c>
      <c r="L36" s="68">
        <f t="shared" si="4"/>
        <v>30.326086956521738</v>
      </c>
      <c r="M36" s="54">
        <v>-265494</v>
      </c>
      <c r="N36" s="69">
        <f t="shared" si="5"/>
        <v>-8754.6408602150532</v>
      </c>
      <c r="P36" s="58">
        <v>26</v>
      </c>
      <c r="Q36" s="68">
        <f t="shared" si="6"/>
        <v>33.41317365269461</v>
      </c>
      <c r="R36" s="54">
        <v>-410208</v>
      </c>
      <c r="S36" s="69">
        <f t="shared" si="7"/>
        <v>-12276.834408602152</v>
      </c>
    </row>
    <row r="37" spans="1:20" x14ac:dyDescent="0.25">
      <c r="A37" s="58">
        <v>17</v>
      </c>
      <c r="B37" s="68">
        <f t="shared" si="0"/>
        <v>30.326086956521738</v>
      </c>
      <c r="C37" s="54">
        <v>-710390</v>
      </c>
      <c r="D37" s="69">
        <f t="shared" si="1"/>
        <v>-23425.046594982079</v>
      </c>
      <c r="F37" s="58">
        <v>65</v>
      </c>
      <c r="G37" s="68">
        <f t="shared" si="2"/>
        <v>33.41317365269461</v>
      </c>
      <c r="H37" s="54">
        <v>-681880</v>
      </c>
      <c r="I37" s="69">
        <f t="shared" si="3"/>
        <v>-20407.519713261649</v>
      </c>
      <c r="K37" s="58">
        <v>44</v>
      </c>
      <c r="L37" s="68">
        <f t="shared" si="4"/>
        <v>30.326086956521738</v>
      </c>
      <c r="M37" s="54">
        <v>-279807</v>
      </c>
      <c r="N37" s="69">
        <f t="shared" si="5"/>
        <v>-9226.6107526881715</v>
      </c>
      <c r="P37" s="58">
        <v>55</v>
      </c>
      <c r="Q37" s="68">
        <f t="shared" si="6"/>
        <v>33.41317365269461</v>
      </c>
      <c r="R37" s="54">
        <v>-412943</v>
      </c>
      <c r="S37" s="69">
        <f t="shared" si="7"/>
        <v>-12358.688351254481</v>
      </c>
    </row>
    <row r="38" spans="1:20" x14ac:dyDescent="0.25">
      <c r="A38" s="58">
        <v>12</v>
      </c>
      <c r="B38" s="68">
        <f t="shared" si="0"/>
        <v>30.326086956521738</v>
      </c>
      <c r="C38" s="54">
        <v>-753136</v>
      </c>
      <c r="D38" s="69">
        <f t="shared" si="1"/>
        <v>-24834.592114695341</v>
      </c>
      <c r="F38" s="95">
        <v>15</v>
      </c>
      <c r="G38" s="96">
        <f t="shared" si="2"/>
        <v>33.41317365269461</v>
      </c>
      <c r="H38" s="97">
        <v>-737370</v>
      </c>
      <c r="I38" s="98">
        <f t="shared" si="3"/>
        <v>-22068.241935483871</v>
      </c>
      <c r="J38">
        <v>0</v>
      </c>
      <c r="K38" s="58">
        <v>78</v>
      </c>
      <c r="L38" s="68">
        <f t="shared" si="4"/>
        <v>30.326086956521738</v>
      </c>
      <c r="M38" s="54">
        <v>-450754</v>
      </c>
      <c r="N38" s="69">
        <f t="shared" si="5"/>
        <v>-14863.572759856632</v>
      </c>
      <c r="P38" s="95">
        <v>22</v>
      </c>
      <c r="Q38" s="96">
        <f t="shared" si="6"/>
        <v>33.41317365269461</v>
      </c>
      <c r="R38" s="97">
        <v>-443480</v>
      </c>
      <c r="S38" s="98">
        <f t="shared" si="7"/>
        <v>-13272.609318996416</v>
      </c>
      <c r="T38">
        <v>0</v>
      </c>
    </row>
    <row r="39" spans="1:20" x14ac:dyDescent="0.25">
      <c r="A39" s="58">
        <v>58</v>
      </c>
      <c r="B39" s="68">
        <f t="shared" si="0"/>
        <v>30.326086956521738</v>
      </c>
      <c r="C39" s="54">
        <v>-793953</v>
      </c>
      <c r="D39" s="69">
        <f t="shared" si="1"/>
        <v>-26180.529032258066</v>
      </c>
      <c r="F39" s="58">
        <v>6</v>
      </c>
      <c r="G39" s="68">
        <f t="shared" si="2"/>
        <v>33.41317365269461</v>
      </c>
      <c r="H39" s="54">
        <v>-760719</v>
      </c>
      <c r="I39" s="69">
        <f t="shared" si="3"/>
        <v>-22767.038172043012</v>
      </c>
      <c r="K39" s="58">
        <v>81</v>
      </c>
      <c r="L39" s="68">
        <f t="shared" si="4"/>
        <v>30.326086956521738</v>
      </c>
      <c r="M39" s="54">
        <v>-460974</v>
      </c>
      <c r="N39" s="69">
        <f t="shared" si="5"/>
        <v>-15200.576344086023</v>
      </c>
      <c r="P39" s="58">
        <v>97</v>
      </c>
      <c r="Q39" s="68">
        <f t="shared" si="6"/>
        <v>33.41317365269461</v>
      </c>
      <c r="R39" s="54">
        <v>-474669</v>
      </c>
      <c r="S39" s="69">
        <f t="shared" si="7"/>
        <v>-14206.043548387097</v>
      </c>
    </row>
    <row r="40" spans="1:20" x14ac:dyDescent="0.25">
      <c r="A40" s="58">
        <v>68</v>
      </c>
      <c r="B40" s="68">
        <f t="shared" si="0"/>
        <v>30.326086956521738</v>
      </c>
      <c r="C40" s="54">
        <v>-803861</v>
      </c>
      <c r="D40" s="69">
        <f t="shared" si="1"/>
        <v>-26507.244444444445</v>
      </c>
      <c r="F40" s="58">
        <v>18</v>
      </c>
      <c r="G40" s="68">
        <f t="shared" si="2"/>
        <v>33.41317365269461</v>
      </c>
      <c r="H40" s="54">
        <v>-824942</v>
      </c>
      <c r="I40" s="69">
        <f t="shared" si="3"/>
        <v>-24689.124372759856</v>
      </c>
      <c r="K40" s="58">
        <v>48</v>
      </c>
      <c r="L40" s="68">
        <f t="shared" si="4"/>
        <v>30.326086956521738</v>
      </c>
      <c r="M40" s="54">
        <v>-522318</v>
      </c>
      <c r="N40" s="69">
        <f t="shared" si="5"/>
        <v>-17223.389247311829</v>
      </c>
      <c r="P40" s="58">
        <v>57</v>
      </c>
      <c r="Q40" s="68">
        <f t="shared" si="6"/>
        <v>33.41317365269461</v>
      </c>
      <c r="R40" s="54">
        <v>-519769</v>
      </c>
      <c r="S40" s="69">
        <f t="shared" si="7"/>
        <v>-15555.810573476703</v>
      </c>
    </row>
    <row r="41" spans="1:20" x14ac:dyDescent="0.25">
      <c r="A41" s="58">
        <v>60</v>
      </c>
      <c r="B41" s="68">
        <f t="shared" si="0"/>
        <v>30.326086956521738</v>
      </c>
      <c r="C41" s="54">
        <v>-850901</v>
      </c>
      <c r="D41" s="69">
        <f t="shared" si="1"/>
        <v>-28058.384229390682</v>
      </c>
      <c r="F41" s="58">
        <v>11</v>
      </c>
      <c r="G41" s="68">
        <f t="shared" si="2"/>
        <v>33.41317365269461</v>
      </c>
      <c r="H41" s="54">
        <v>-906527</v>
      </c>
      <c r="I41" s="69">
        <f t="shared" si="3"/>
        <v>-27130.825985663083</v>
      </c>
      <c r="K41" s="58">
        <v>87</v>
      </c>
      <c r="L41" s="68">
        <f t="shared" si="4"/>
        <v>30.326086956521738</v>
      </c>
      <c r="M41" s="54">
        <v>-542332</v>
      </c>
      <c r="N41" s="69">
        <f t="shared" si="5"/>
        <v>-17883.349103942652</v>
      </c>
      <c r="P41" s="58">
        <v>35</v>
      </c>
      <c r="Q41" s="68">
        <f t="shared" si="6"/>
        <v>33.41317365269461</v>
      </c>
      <c r="R41" s="54">
        <v>-552149</v>
      </c>
      <c r="S41" s="69">
        <f t="shared" si="7"/>
        <v>-16524.889426523299</v>
      </c>
    </row>
    <row r="42" spans="1:20" x14ac:dyDescent="0.25">
      <c r="A42" s="58">
        <v>74</v>
      </c>
      <c r="B42" s="68">
        <f t="shared" si="0"/>
        <v>30.326086956521738</v>
      </c>
      <c r="C42" s="54">
        <v>-871942</v>
      </c>
      <c r="D42" s="69">
        <f t="shared" si="1"/>
        <v>-28752.209318996418</v>
      </c>
      <c r="F42" s="58">
        <v>14</v>
      </c>
      <c r="G42" s="68">
        <f t="shared" si="2"/>
        <v>33.41317365269461</v>
      </c>
      <c r="H42" s="54">
        <v>-923878</v>
      </c>
      <c r="I42" s="69">
        <f t="shared" si="3"/>
        <v>-27650.112186379931</v>
      </c>
      <c r="K42" s="58">
        <v>41</v>
      </c>
      <c r="L42" s="68">
        <f t="shared" si="4"/>
        <v>30.326086956521738</v>
      </c>
      <c r="M42" s="54">
        <v>-545075</v>
      </c>
      <c r="N42" s="69">
        <f t="shared" si="5"/>
        <v>-17973.799283154123</v>
      </c>
      <c r="P42" s="58">
        <v>81</v>
      </c>
      <c r="Q42" s="68">
        <f t="shared" si="6"/>
        <v>33.41317365269461</v>
      </c>
      <c r="R42" s="54">
        <v>-553719</v>
      </c>
      <c r="S42" s="69">
        <f t="shared" si="7"/>
        <v>-16571.876881720429</v>
      </c>
    </row>
    <row r="43" spans="1:20" x14ac:dyDescent="0.25">
      <c r="A43" s="58">
        <v>71</v>
      </c>
      <c r="B43" s="68">
        <f t="shared" si="0"/>
        <v>30.326086956521738</v>
      </c>
      <c r="C43" s="54">
        <v>-879757</v>
      </c>
      <c r="D43" s="69">
        <f t="shared" si="1"/>
        <v>-29009.908243727601</v>
      </c>
      <c r="F43" s="58">
        <v>90</v>
      </c>
      <c r="G43" s="68">
        <f t="shared" si="2"/>
        <v>33.41317365269461</v>
      </c>
      <c r="H43" s="54">
        <v>-944796</v>
      </c>
      <c r="I43" s="69">
        <f t="shared" si="3"/>
        <v>-28276.152688172042</v>
      </c>
      <c r="K43" s="58">
        <v>23</v>
      </c>
      <c r="L43" s="68">
        <f t="shared" si="4"/>
        <v>30.326086956521738</v>
      </c>
      <c r="M43" s="54">
        <v>-550483</v>
      </c>
      <c r="N43" s="69">
        <f t="shared" si="5"/>
        <v>-18152.127598566309</v>
      </c>
      <c r="P43" s="58">
        <v>25</v>
      </c>
      <c r="Q43" s="68">
        <f t="shared" si="6"/>
        <v>33.41317365269461</v>
      </c>
      <c r="R43" s="54">
        <v>-602771</v>
      </c>
      <c r="S43" s="69">
        <f t="shared" si="7"/>
        <v>-18039.920609318997</v>
      </c>
    </row>
    <row r="44" spans="1:20" x14ac:dyDescent="0.25">
      <c r="A44" s="58">
        <v>13</v>
      </c>
      <c r="B44" s="68">
        <f t="shared" si="0"/>
        <v>30.326086956521738</v>
      </c>
      <c r="C44" s="54">
        <v>-1072053</v>
      </c>
      <c r="D44" s="69">
        <f t="shared" si="1"/>
        <v>-35350.851612903229</v>
      </c>
      <c r="F44" s="58">
        <v>88</v>
      </c>
      <c r="G44" s="68">
        <f t="shared" si="2"/>
        <v>33.41317365269461</v>
      </c>
      <c r="H44" s="54">
        <v>-964689</v>
      </c>
      <c r="I44" s="69">
        <f t="shared" si="3"/>
        <v>-28871.516666666666</v>
      </c>
      <c r="K44" s="58">
        <v>55</v>
      </c>
      <c r="L44" s="68">
        <f t="shared" si="4"/>
        <v>30.326086956521738</v>
      </c>
      <c r="M44" s="54">
        <v>-592287</v>
      </c>
      <c r="N44" s="69">
        <f t="shared" si="5"/>
        <v>-19530.610752688171</v>
      </c>
      <c r="P44" s="58">
        <v>23</v>
      </c>
      <c r="Q44" s="68">
        <f t="shared" si="6"/>
        <v>33.41317365269461</v>
      </c>
      <c r="R44" s="54">
        <v>-625997</v>
      </c>
      <c r="S44" s="69">
        <f t="shared" si="7"/>
        <v>-18735.035663082439</v>
      </c>
    </row>
    <row r="45" spans="1:20" x14ac:dyDescent="0.25">
      <c r="A45" s="58">
        <v>92</v>
      </c>
      <c r="B45" s="68">
        <f t="shared" si="0"/>
        <v>30.326086956521738</v>
      </c>
      <c r="C45" s="54">
        <v>-1105120</v>
      </c>
      <c r="D45" s="69">
        <f t="shared" si="1"/>
        <v>-36441.232974910396</v>
      </c>
      <c r="F45" s="58">
        <v>10</v>
      </c>
      <c r="G45" s="68">
        <f t="shared" si="2"/>
        <v>33.41317365269461</v>
      </c>
      <c r="H45" s="54">
        <v>-1019506</v>
      </c>
      <c r="I45" s="69">
        <f t="shared" si="3"/>
        <v>-30512.097132616487</v>
      </c>
      <c r="K45" s="95">
        <v>31</v>
      </c>
      <c r="L45" s="96">
        <f t="shared" si="4"/>
        <v>30.326086956521738</v>
      </c>
      <c r="M45" s="97">
        <v>-620072</v>
      </c>
      <c r="N45" s="98">
        <f t="shared" si="5"/>
        <v>-20446.818637992834</v>
      </c>
      <c r="O45">
        <v>0</v>
      </c>
      <c r="P45" s="58">
        <v>78</v>
      </c>
      <c r="Q45" s="68">
        <f t="shared" si="6"/>
        <v>33.41317365269461</v>
      </c>
      <c r="R45" s="54">
        <v>-732192</v>
      </c>
      <c r="S45" s="69">
        <f t="shared" si="7"/>
        <v>-21913.273118279569</v>
      </c>
    </row>
    <row r="46" spans="1:20" x14ac:dyDescent="0.25">
      <c r="A46" s="58">
        <v>21</v>
      </c>
      <c r="B46" s="68">
        <f t="shared" si="0"/>
        <v>30.326086956521738</v>
      </c>
      <c r="C46" s="54">
        <v>-1124143</v>
      </c>
      <c r="D46" s="69">
        <f t="shared" si="1"/>
        <v>-37068.514695340506</v>
      </c>
      <c r="F46" s="95">
        <v>2</v>
      </c>
      <c r="G46" s="96">
        <f t="shared" si="2"/>
        <v>33.41317365269461</v>
      </c>
      <c r="H46" s="97">
        <v>-1048073</v>
      </c>
      <c r="I46" s="98">
        <f t="shared" si="3"/>
        <v>-31367.059318996417</v>
      </c>
      <c r="J46">
        <v>0</v>
      </c>
      <c r="K46" s="58">
        <v>40</v>
      </c>
      <c r="L46" s="68">
        <f t="shared" si="4"/>
        <v>30.326086956521738</v>
      </c>
      <c r="M46" s="54">
        <v>-658386</v>
      </c>
      <c r="N46" s="69">
        <f t="shared" si="5"/>
        <v>-21710.219354838711</v>
      </c>
      <c r="P46" s="58">
        <v>41</v>
      </c>
      <c r="Q46" s="68">
        <f t="shared" si="6"/>
        <v>33.41317365269461</v>
      </c>
      <c r="R46" s="54">
        <v>-890843</v>
      </c>
      <c r="S46" s="69">
        <f t="shared" si="7"/>
        <v>-26661.430286738352</v>
      </c>
    </row>
    <row r="47" spans="1:20" x14ac:dyDescent="0.25">
      <c r="A47" s="58">
        <v>64</v>
      </c>
      <c r="B47" s="68">
        <f t="shared" si="0"/>
        <v>30.326086956521738</v>
      </c>
      <c r="C47" s="54">
        <v>-1198677</v>
      </c>
      <c r="D47" s="69">
        <f t="shared" si="1"/>
        <v>-39526.26666666667</v>
      </c>
      <c r="F47" s="58">
        <v>12</v>
      </c>
      <c r="G47" s="68">
        <f t="shared" si="2"/>
        <v>33.41317365269461</v>
      </c>
      <c r="H47" s="54">
        <v>-1098022</v>
      </c>
      <c r="I47" s="69">
        <f t="shared" si="3"/>
        <v>-32861.948745519716</v>
      </c>
      <c r="K47" s="58">
        <v>97</v>
      </c>
      <c r="L47" s="68">
        <f t="shared" si="4"/>
        <v>30.326086956521738</v>
      </c>
      <c r="M47" s="54">
        <v>-661431</v>
      </c>
      <c r="N47" s="69">
        <f t="shared" si="5"/>
        <v>-21810.627956989247</v>
      </c>
      <c r="P47" s="58">
        <v>48</v>
      </c>
      <c r="Q47" s="68">
        <f t="shared" si="6"/>
        <v>33.41317365269461</v>
      </c>
      <c r="R47" s="54">
        <v>-914243</v>
      </c>
      <c r="S47" s="69">
        <f t="shared" si="7"/>
        <v>-27361.752867383515</v>
      </c>
    </row>
    <row r="48" spans="1:20" x14ac:dyDescent="0.25">
      <c r="A48" s="58">
        <v>3</v>
      </c>
      <c r="B48" s="68">
        <f t="shared" si="0"/>
        <v>30.326086956521738</v>
      </c>
      <c r="C48" s="54">
        <v>-1231829</v>
      </c>
      <c r="D48" s="69">
        <f t="shared" si="1"/>
        <v>-40619.450896057351</v>
      </c>
      <c r="F48" s="58">
        <v>72</v>
      </c>
      <c r="G48" s="68">
        <f t="shared" si="2"/>
        <v>33.41317365269461</v>
      </c>
      <c r="H48" s="54">
        <v>-1168137</v>
      </c>
      <c r="I48" s="69">
        <f t="shared" si="3"/>
        <v>-34960.372580645162</v>
      </c>
      <c r="K48" s="58">
        <v>56</v>
      </c>
      <c r="L48" s="68">
        <f t="shared" si="4"/>
        <v>30.326086956521738</v>
      </c>
      <c r="M48" s="54">
        <v>-736742</v>
      </c>
      <c r="N48" s="69">
        <f t="shared" si="5"/>
        <v>-24294.001433691756</v>
      </c>
      <c r="P48" s="58">
        <v>96</v>
      </c>
      <c r="Q48" s="68">
        <f t="shared" si="6"/>
        <v>33.41317365269461</v>
      </c>
      <c r="R48" s="54">
        <v>-944950</v>
      </c>
      <c r="S48" s="69">
        <f t="shared" si="7"/>
        <v>-28280.76164874552</v>
      </c>
    </row>
    <row r="49" spans="1:20" x14ac:dyDescent="0.25">
      <c r="A49" s="58">
        <v>70</v>
      </c>
      <c r="B49" s="68">
        <f t="shared" si="0"/>
        <v>30.326086956521738</v>
      </c>
      <c r="C49" s="54">
        <v>-1290356</v>
      </c>
      <c r="D49" s="69">
        <f t="shared" si="1"/>
        <v>-42549.373476702509</v>
      </c>
      <c r="F49" s="58">
        <v>62</v>
      </c>
      <c r="G49" s="68">
        <f t="shared" si="2"/>
        <v>33.41317365269461</v>
      </c>
      <c r="H49" s="54">
        <v>-1177761</v>
      </c>
      <c r="I49" s="69">
        <f t="shared" si="3"/>
        <v>-35248.402688172042</v>
      </c>
      <c r="K49" s="58">
        <v>85</v>
      </c>
      <c r="L49" s="68">
        <f t="shared" si="4"/>
        <v>30.326086956521738</v>
      </c>
      <c r="M49" s="54">
        <v>-789944</v>
      </c>
      <c r="N49" s="69">
        <f t="shared" si="5"/>
        <v>-26048.332616487456</v>
      </c>
      <c r="P49" s="58">
        <v>82</v>
      </c>
      <c r="Q49" s="68">
        <f t="shared" si="6"/>
        <v>33.41317365269461</v>
      </c>
      <c r="R49" s="54">
        <v>-954865</v>
      </c>
      <c r="S49" s="69">
        <f t="shared" si="7"/>
        <v>-28577.500896057347</v>
      </c>
    </row>
    <row r="50" spans="1:20" x14ac:dyDescent="0.25">
      <c r="A50" s="58">
        <v>65</v>
      </c>
      <c r="B50" s="68">
        <f t="shared" si="0"/>
        <v>30.326086956521738</v>
      </c>
      <c r="C50" s="54">
        <v>-1335361</v>
      </c>
      <c r="D50" s="69">
        <f t="shared" si="1"/>
        <v>-44033.409318996419</v>
      </c>
      <c r="F50" s="58">
        <v>19</v>
      </c>
      <c r="G50" s="68">
        <f t="shared" si="2"/>
        <v>33.41317365269461</v>
      </c>
      <c r="H50" s="54">
        <v>-1251057</v>
      </c>
      <c r="I50" s="69">
        <f t="shared" si="3"/>
        <v>-37442.028494623657</v>
      </c>
      <c r="K50" s="58">
        <v>26</v>
      </c>
      <c r="L50" s="68">
        <f t="shared" si="4"/>
        <v>30.326086956521738</v>
      </c>
      <c r="M50" s="54">
        <v>-946136</v>
      </c>
      <c r="N50" s="69">
        <f t="shared" si="5"/>
        <v>-31198.749820788533</v>
      </c>
      <c r="P50" s="58">
        <v>50</v>
      </c>
      <c r="Q50" s="68">
        <f t="shared" si="6"/>
        <v>33.41317365269461</v>
      </c>
      <c r="R50" s="54">
        <v>-1011749</v>
      </c>
      <c r="S50" s="69">
        <f t="shared" si="7"/>
        <v>-30279.943189964157</v>
      </c>
    </row>
    <row r="51" spans="1:20" x14ac:dyDescent="0.25">
      <c r="A51" s="58">
        <v>18</v>
      </c>
      <c r="B51" s="68">
        <f t="shared" si="0"/>
        <v>30.326086956521738</v>
      </c>
      <c r="C51" s="54">
        <v>-1388548</v>
      </c>
      <c r="D51" s="69">
        <f t="shared" si="1"/>
        <v>-45787.2458781362</v>
      </c>
      <c r="F51" s="58">
        <v>68</v>
      </c>
      <c r="G51" s="68">
        <f t="shared" si="2"/>
        <v>33.41317365269461</v>
      </c>
      <c r="H51" s="54">
        <v>-1292553</v>
      </c>
      <c r="I51" s="69">
        <f t="shared" si="3"/>
        <v>-38683.933870967739</v>
      </c>
      <c r="K51" s="58">
        <v>84</v>
      </c>
      <c r="L51" s="68">
        <f t="shared" si="4"/>
        <v>30.326086956521738</v>
      </c>
      <c r="M51" s="54">
        <v>-948146</v>
      </c>
      <c r="N51" s="69">
        <f t="shared" si="5"/>
        <v>-31265.029390681004</v>
      </c>
      <c r="P51" s="58">
        <v>40</v>
      </c>
      <c r="Q51" s="68">
        <f t="shared" si="6"/>
        <v>33.41317365269461</v>
      </c>
      <c r="R51" s="54">
        <v>-1028317</v>
      </c>
      <c r="S51" s="69">
        <f t="shared" si="7"/>
        <v>-30775.795519713261</v>
      </c>
    </row>
    <row r="52" spans="1:20" x14ac:dyDescent="0.25">
      <c r="A52" s="58">
        <v>91</v>
      </c>
      <c r="B52" s="68">
        <f t="shared" si="0"/>
        <v>30.326086956521738</v>
      </c>
      <c r="C52" s="54">
        <v>-1477388</v>
      </c>
      <c r="D52" s="69">
        <f t="shared" si="1"/>
        <v>-48716.736917562725</v>
      </c>
      <c r="F52" s="58">
        <v>60</v>
      </c>
      <c r="G52" s="68">
        <f t="shared" si="2"/>
        <v>33.41317365269461</v>
      </c>
      <c r="H52" s="54">
        <v>-1363928</v>
      </c>
      <c r="I52" s="69">
        <f t="shared" si="3"/>
        <v>-40820.067383512549</v>
      </c>
      <c r="K52" s="58">
        <v>37</v>
      </c>
      <c r="L52" s="68">
        <f t="shared" si="4"/>
        <v>30.326086956521738</v>
      </c>
      <c r="M52" s="54">
        <v>-1123636</v>
      </c>
      <c r="N52" s="69">
        <f t="shared" si="5"/>
        <v>-37051.796415770608</v>
      </c>
      <c r="P52" s="58">
        <v>45</v>
      </c>
      <c r="Q52" s="68">
        <f t="shared" si="6"/>
        <v>33.41317365269461</v>
      </c>
      <c r="R52" s="54">
        <v>-1108132</v>
      </c>
      <c r="S52" s="69">
        <f t="shared" si="7"/>
        <v>-33164.524014336916</v>
      </c>
    </row>
    <row r="53" spans="1:20" x14ac:dyDescent="0.25">
      <c r="A53" s="58">
        <v>67</v>
      </c>
      <c r="B53" s="68">
        <f t="shared" si="0"/>
        <v>30.326086956521738</v>
      </c>
      <c r="C53" s="54">
        <v>-1558535</v>
      </c>
      <c r="D53" s="69">
        <f t="shared" si="1"/>
        <v>-51392.551971326167</v>
      </c>
      <c r="F53" s="58">
        <v>66</v>
      </c>
      <c r="G53" s="68">
        <f t="shared" si="2"/>
        <v>33.41317365269461</v>
      </c>
      <c r="H53" s="54">
        <v>-1541082</v>
      </c>
      <c r="I53" s="69">
        <f t="shared" si="3"/>
        <v>-46121.988172043013</v>
      </c>
      <c r="K53" s="58">
        <v>77</v>
      </c>
      <c r="L53" s="68">
        <f t="shared" si="4"/>
        <v>30.326086956521738</v>
      </c>
      <c r="M53" s="54">
        <v>-1136517</v>
      </c>
      <c r="N53" s="69">
        <f t="shared" si="5"/>
        <v>-37476.546236559137</v>
      </c>
      <c r="P53" s="58">
        <v>37</v>
      </c>
      <c r="Q53" s="68">
        <f t="shared" si="6"/>
        <v>33.41317365269461</v>
      </c>
      <c r="R53" s="54">
        <v>-1231599</v>
      </c>
      <c r="S53" s="69">
        <f t="shared" si="7"/>
        <v>-36859.683333333334</v>
      </c>
    </row>
    <row r="54" spans="1:20" x14ac:dyDescent="0.25">
      <c r="A54" s="58">
        <v>93</v>
      </c>
      <c r="B54" s="68">
        <f t="shared" si="0"/>
        <v>30.326086956521738</v>
      </c>
      <c r="C54" s="54">
        <v>-1560391</v>
      </c>
      <c r="D54" s="69">
        <f t="shared" si="1"/>
        <v>-51453.753405017924</v>
      </c>
      <c r="F54" s="58">
        <v>13</v>
      </c>
      <c r="G54" s="68">
        <f t="shared" si="2"/>
        <v>33.41317365269461</v>
      </c>
      <c r="H54" s="54">
        <v>-1570807</v>
      </c>
      <c r="I54" s="69">
        <f t="shared" si="3"/>
        <v>-47011.607347670251</v>
      </c>
      <c r="K54" s="58">
        <v>94</v>
      </c>
      <c r="L54" s="68">
        <f t="shared" si="4"/>
        <v>30.326086956521738</v>
      </c>
      <c r="M54" s="54">
        <v>-1189690</v>
      </c>
      <c r="N54" s="69">
        <f t="shared" si="5"/>
        <v>-39229.921146953406</v>
      </c>
      <c r="P54" s="58">
        <v>80</v>
      </c>
      <c r="Q54" s="68">
        <f t="shared" si="6"/>
        <v>33.41317365269461</v>
      </c>
      <c r="R54" s="54">
        <v>-1261366</v>
      </c>
      <c r="S54" s="69">
        <f t="shared" si="7"/>
        <v>-37750.559498207884</v>
      </c>
    </row>
    <row r="55" spans="1:20" x14ac:dyDescent="0.25">
      <c r="A55" s="58"/>
      <c r="B55" s="59"/>
      <c r="C55" s="54"/>
      <c r="D55" s="55"/>
      <c r="F55" s="58"/>
      <c r="G55" s="59"/>
      <c r="H55" s="54"/>
      <c r="I55" s="55"/>
      <c r="K55" s="58">
        <v>32</v>
      </c>
      <c r="L55" s="68">
        <f t="shared" si="4"/>
        <v>30.326086956521738</v>
      </c>
      <c r="M55" s="54">
        <v>-1238968</v>
      </c>
      <c r="N55" s="69">
        <f t="shared" si="5"/>
        <v>-40854.858781362011</v>
      </c>
      <c r="P55" s="58">
        <v>52</v>
      </c>
      <c r="Q55" s="68">
        <f t="shared" si="6"/>
        <v>33.41317365269461</v>
      </c>
      <c r="R55" s="54">
        <v>-1306284</v>
      </c>
      <c r="S55" s="69">
        <f t="shared" si="7"/>
        <v>-39094.879569892473</v>
      </c>
    </row>
    <row r="56" spans="1:20" x14ac:dyDescent="0.25">
      <c r="A56" s="58"/>
      <c r="B56" s="59"/>
      <c r="C56" s="54"/>
      <c r="D56" s="55"/>
      <c r="F56" s="58"/>
      <c r="G56" s="59"/>
      <c r="H56" s="54"/>
      <c r="I56" s="55"/>
      <c r="K56" s="58">
        <v>36</v>
      </c>
      <c r="L56" s="68">
        <f t="shared" si="4"/>
        <v>30.326086956521738</v>
      </c>
      <c r="M56" s="54">
        <v>-1281241</v>
      </c>
      <c r="N56" s="69">
        <f t="shared" si="5"/>
        <v>-42248.807168458785</v>
      </c>
      <c r="P56" s="58">
        <v>38</v>
      </c>
      <c r="Q56" s="68">
        <f t="shared" si="6"/>
        <v>33.41317365269461</v>
      </c>
      <c r="R56" s="54">
        <v>-1308829</v>
      </c>
      <c r="S56" s="69">
        <f t="shared" si="7"/>
        <v>-39171.047132616492</v>
      </c>
    </row>
    <row r="57" spans="1:20" x14ac:dyDescent="0.25">
      <c r="A57" s="58"/>
      <c r="B57" s="59"/>
      <c r="C57" s="54"/>
      <c r="D57" s="55"/>
      <c r="F57" s="58"/>
      <c r="G57" s="59"/>
      <c r="H57" s="54"/>
      <c r="I57" s="55"/>
      <c r="K57" s="58">
        <v>29</v>
      </c>
      <c r="L57" s="68">
        <f t="shared" si="4"/>
        <v>30.326086956521738</v>
      </c>
      <c r="M57" s="54">
        <v>-1329121</v>
      </c>
      <c r="N57" s="69">
        <f t="shared" si="5"/>
        <v>-43827.645878136202</v>
      </c>
      <c r="P57" s="58">
        <v>46</v>
      </c>
      <c r="Q57" s="68">
        <f t="shared" si="6"/>
        <v>33.41317365269461</v>
      </c>
      <c r="R57" s="54">
        <v>-1311822</v>
      </c>
      <c r="S57" s="69">
        <f t="shared" si="7"/>
        <v>-39260.622580645162</v>
      </c>
    </row>
    <row r="58" spans="1:20" x14ac:dyDescent="0.25">
      <c r="A58" s="58"/>
      <c r="B58" s="59"/>
      <c r="C58" s="54"/>
      <c r="D58" s="55"/>
      <c r="F58" s="58"/>
      <c r="G58" s="59"/>
      <c r="H58" s="54"/>
      <c r="I58" s="55"/>
      <c r="K58" s="58">
        <v>80</v>
      </c>
      <c r="L58" s="68">
        <f t="shared" si="4"/>
        <v>30.326086956521738</v>
      </c>
      <c r="M58" s="54">
        <v>-1382584</v>
      </c>
      <c r="N58" s="69">
        <f t="shared" si="5"/>
        <v>-45590.583512544807</v>
      </c>
      <c r="P58" s="58">
        <v>53</v>
      </c>
      <c r="Q58" s="68">
        <f t="shared" si="6"/>
        <v>33.41317365269461</v>
      </c>
      <c r="R58" s="54">
        <v>-1316172</v>
      </c>
      <c r="S58" s="69">
        <f t="shared" si="7"/>
        <v>-39390.810752688172</v>
      </c>
    </row>
    <row r="59" spans="1:20" x14ac:dyDescent="0.25">
      <c r="A59" s="58"/>
      <c r="B59" s="59"/>
      <c r="C59" s="54"/>
      <c r="D59" s="55"/>
      <c r="F59" s="58"/>
      <c r="G59" s="59"/>
      <c r="H59" s="54"/>
      <c r="I59" s="55"/>
      <c r="K59" s="58">
        <v>38</v>
      </c>
      <c r="L59" s="68">
        <f t="shared" si="4"/>
        <v>30.326086956521738</v>
      </c>
      <c r="M59" s="54">
        <v>-1454904</v>
      </c>
      <c r="N59" s="69">
        <f t="shared" si="5"/>
        <v>-47975.329032258065</v>
      </c>
      <c r="P59" s="58">
        <v>87</v>
      </c>
      <c r="Q59" s="68">
        <f t="shared" si="6"/>
        <v>33.41317365269461</v>
      </c>
      <c r="R59" s="54">
        <v>-1394051</v>
      </c>
      <c r="S59" s="69">
        <f t="shared" si="7"/>
        <v>-41721.598028673834</v>
      </c>
    </row>
    <row r="60" spans="1:20" x14ac:dyDescent="0.25">
      <c r="A60" s="58"/>
      <c r="B60" s="59"/>
      <c r="C60" s="54"/>
      <c r="D60" s="55"/>
      <c r="F60" s="58"/>
      <c r="G60" s="59"/>
      <c r="H60" s="54"/>
      <c r="I60" s="55"/>
      <c r="K60" s="58">
        <v>96</v>
      </c>
      <c r="L60" s="68">
        <f t="shared" si="4"/>
        <v>30.326086956521738</v>
      </c>
      <c r="M60" s="54">
        <v>-1495940</v>
      </c>
      <c r="N60" s="69">
        <f t="shared" si="5"/>
        <v>-49328.487455197137</v>
      </c>
      <c r="P60" s="58">
        <v>36</v>
      </c>
      <c r="Q60" s="68">
        <f t="shared" si="6"/>
        <v>33.41317365269461</v>
      </c>
      <c r="R60" s="54">
        <v>-1395762</v>
      </c>
      <c r="S60" s="69">
        <f t="shared" si="7"/>
        <v>-41772.805376344084</v>
      </c>
    </row>
    <row r="61" spans="1:20" x14ac:dyDescent="0.25">
      <c r="A61" s="58"/>
      <c r="B61" s="59"/>
      <c r="C61" s="54"/>
      <c r="D61" s="55"/>
      <c r="F61" s="58"/>
      <c r="G61" s="59"/>
      <c r="H61" s="54"/>
      <c r="I61" s="55"/>
      <c r="K61" s="58">
        <v>76</v>
      </c>
      <c r="L61" s="68">
        <f t="shared" si="4"/>
        <v>30.326086956521738</v>
      </c>
      <c r="M61" s="54">
        <v>-1505954</v>
      </c>
      <c r="N61" s="69">
        <f t="shared" si="5"/>
        <v>-49658.698207885303</v>
      </c>
      <c r="P61" s="58">
        <v>42</v>
      </c>
      <c r="Q61" s="68">
        <f t="shared" si="6"/>
        <v>33.41317365269461</v>
      </c>
      <c r="R61" s="54">
        <v>-1449513</v>
      </c>
      <c r="S61" s="69">
        <f t="shared" si="7"/>
        <v>-43381.48225806452</v>
      </c>
    </row>
    <row r="62" spans="1:20" x14ac:dyDescent="0.25">
      <c r="A62" s="58"/>
      <c r="B62" s="59"/>
      <c r="C62" s="54"/>
      <c r="D62" s="55"/>
      <c r="F62" s="58"/>
      <c r="G62" s="59"/>
      <c r="H62" s="54"/>
      <c r="I62" s="55"/>
      <c r="K62" s="58">
        <v>52</v>
      </c>
      <c r="L62" s="68">
        <f t="shared" si="4"/>
        <v>30.326086956521738</v>
      </c>
      <c r="M62" s="54">
        <v>-1572435</v>
      </c>
      <c r="N62" s="69">
        <f t="shared" si="5"/>
        <v>-51850.903225806454</v>
      </c>
      <c r="P62" s="58">
        <v>28</v>
      </c>
      <c r="Q62" s="68">
        <f t="shared" si="6"/>
        <v>33.41317365269461</v>
      </c>
      <c r="R62" s="54">
        <v>-1475625</v>
      </c>
      <c r="S62" s="69">
        <f t="shared" si="7"/>
        <v>-44162.970430107525</v>
      </c>
    </row>
    <row r="63" spans="1:20" x14ac:dyDescent="0.25">
      <c r="A63" s="58"/>
      <c r="B63" s="59"/>
      <c r="C63" s="54"/>
      <c r="D63" s="55"/>
      <c r="F63" s="58"/>
      <c r="G63" s="59"/>
      <c r="H63" s="54"/>
      <c r="I63" s="55"/>
      <c r="K63" s="58">
        <v>100</v>
      </c>
      <c r="L63" s="68">
        <f t="shared" si="4"/>
        <v>30.326086956521738</v>
      </c>
      <c r="M63" s="54">
        <v>-1597710</v>
      </c>
      <c r="N63" s="69">
        <f t="shared" si="5"/>
        <v>-52684.344086021505</v>
      </c>
      <c r="P63" s="95">
        <v>83</v>
      </c>
      <c r="Q63" s="96">
        <f t="shared" si="6"/>
        <v>33.41317365269461</v>
      </c>
      <c r="R63" s="97">
        <v>-1533913</v>
      </c>
      <c r="S63" s="98">
        <f t="shared" si="7"/>
        <v>-45907.432078853046</v>
      </c>
      <c r="T63">
        <v>0</v>
      </c>
    </row>
    <row r="64" spans="1:20" x14ac:dyDescent="0.25">
      <c r="A64" s="58"/>
      <c r="B64" s="59"/>
      <c r="C64" s="54"/>
      <c r="D64" s="55"/>
      <c r="F64" s="58"/>
      <c r="G64" s="59"/>
      <c r="H64" s="54"/>
      <c r="I64" s="55"/>
      <c r="K64" s="58">
        <v>51</v>
      </c>
      <c r="L64" s="68">
        <f t="shared" si="4"/>
        <v>30.326086956521738</v>
      </c>
      <c r="M64" s="54">
        <v>-1602000</v>
      </c>
      <c r="N64" s="69">
        <f t="shared" si="5"/>
        <v>-52825.806451612902</v>
      </c>
      <c r="P64" s="58">
        <v>77</v>
      </c>
      <c r="Q64" s="68">
        <f t="shared" si="6"/>
        <v>33.41317365269461</v>
      </c>
      <c r="R64" s="54">
        <v>-1545855</v>
      </c>
      <c r="S64" s="69">
        <f t="shared" si="7"/>
        <v>-46264.836021505376</v>
      </c>
    </row>
    <row r="65" spans="1:19" x14ac:dyDescent="0.25">
      <c r="A65" s="58"/>
      <c r="B65" s="59"/>
      <c r="C65" s="54"/>
      <c r="D65" s="55"/>
      <c r="F65" s="58"/>
      <c r="G65" s="59"/>
      <c r="H65" s="54"/>
      <c r="I65" s="55"/>
      <c r="K65" s="58"/>
      <c r="L65" s="59"/>
      <c r="M65" s="54"/>
      <c r="N65" s="55"/>
      <c r="P65" s="58"/>
      <c r="Q65" s="59"/>
      <c r="R65" s="54"/>
      <c r="S65" s="55"/>
    </row>
    <row r="66" spans="1:19" x14ac:dyDescent="0.25">
      <c r="A66" s="58"/>
      <c r="B66" s="59"/>
      <c r="C66" s="54"/>
      <c r="D66" s="55"/>
      <c r="F66" s="58"/>
      <c r="G66" s="59"/>
      <c r="H66" s="54"/>
      <c r="I66" s="55"/>
      <c r="K66" s="58"/>
      <c r="L66" s="59"/>
      <c r="M66" s="54"/>
      <c r="N66" s="55"/>
      <c r="P66" s="58"/>
      <c r="Q66" s="59"/>
      <c r="R66" s="54"/>
      <c r="S66" s="55"/>
    </row>
    <row r="67" spans="1:19" x14ac:dyDescent="0.25">
      <c r="A67" s="58"/>
      <c r="B67" s="59"/>
      <c r="C67" s="54"/>
      <c r="D67" s="55"/>
      <c r="F67" s="58"/>
      <c r="G67" s="59"/>
      <c r="H67" s="54"/>
      <c r="I67" s="55"/>
      <c r="K67" s="58"/>
      <c r="L67" s="59"/>
      <c r="M67" s="54"/>
      <c r="N67" s="55"/>
      <c r="P67" s="58"/>
      <c r="Q67" s="59"/>
      <c r="R67" s="54"/>
      <c r="S67" s="55"/>
    </row>
    <row r="68" spans="1:19" x14ac:dyDescent="0.25">
      <c r="A68" s="58"/>
      <c r="B68" s="59"/>
      <c r="C68" s="54"/>
      <c r="D68" s="55"/>
      <c r="F68" s="58"/>
      <c r="G68" s="59"/>
      <c r="H68" s="54"/>
      <c r="I68" s="55"/>
      <c r="K68" s="58"/>
      <c r="L68" s="59"/>
      <c r="M68" s="54"/>
      <c r="N68" s="55"/>
      <c r="P68" s="58"/>
      <c r="Q68" s="59"/>
      <c r="R68" s="54"/>
      <c r="S68" s="55"/>
    </row>
    <row r="69" spans="1:19" x14ac:dyDescent="0.25">
      <c r="A69" s="58"/>
      <c r="B69" s="59"/>
      <c r="C69" s="54"/>
      <c r="D69" s="55"/>
      <c r="F69" s="58"/>
      <c r="G69" s="59"/>
      <c r="H69" s="54"/>
      <c r="I69" s="55"/>
      <c r="K69" s="58"/>
      <c r="L69" s="59"/>
      <c r="M69" s="54"/>
      <c r="N69" s="55"/>
      <c r="P69" s="58"/>
      <c r="Q69" s="59"/>
      <c r="R69" s="54"/>
      <c r="S69" s="55"/>
    </row>
    <row r="70" spans="1:19" x14ac:dyDescent="0.25">
      <c r="A70" s="58"/>
      <c r="B70" s="59"/>
      <c r="C70" s="54"/>
      <c r="D70" s="55"/>
      <c r="F70" s="58"/>
      <c r="G70" s="59"/>
      <c r="H70" s="54"/>
      <c r="I70" s="55"/>
      <c r="K70" s="58"/>
      <c r="L70" s="59"/>
      <c r="M70" s="54"/>
      <c r="N70" s="55"/>
      <c r="P70" s="58"/>
      <c r="Q70" s="59"/>
      <c r="R70" s="54"/>
      <c r="S70" s="55"/>
    </row>
    <row r="71" spans="1:19" x14ac:dyDescent="0.25">
      <c r="A71" s="58"/>
      <c r="B71" s="59"/>
      <c r="C71" s="54"/>
      <c r="D71" s="55"/>
      <c r="F71" s="58"/>
      <c r="G71" s="59"/>
      <c r="H71" s="54"/>
      <c r="I71" s="55"/>
      <c r="K71" s="58"/>
      <c r="L71" s="59"/>
      <c r="M71" s="54"/>
      <c r="N71" s="55"/>
      <c r="P71" s="58"/>
      <c r="Q71" s="59"/>
      <c r="R71" s="54"/>
      <c r="S71" s="55"/>
    </row>
    <row r="72" spans="1:19" x14ac:dyDescent="0.25">
      <c r="A72" s="58"/>
      <c r="B72" s="59"/>
      <c r="C72" s="54"/>
      <c r="D72" s="55"/>
      <c r="F72" s="58"/>
      <c r="G72" s="59"/>
      <c r="H72" s="54"/>
      <c r="I72" s="55"/>
      <c r="K72" s="58"/>
      <c r="L72" s="59"/>
      <c r="M72" s="54"/>
      <c r="N72" s="55"/>
      <c r="P72" s="58"/>
      <c r="Q72" s="59"/>
      <c r="R72" s="54"/>
      <c r="S72" s="55"/>
    </row>
    <row r="73" spans="1:19" x14ac:dyDescent="0.25">
      <c r="A73" s="58"/>
      <c r="B73" s="59"/>
      <c r="C73" s="54"/>
      <c r="D73" s="55"/>
      <c r="F73" s="58"/>
      <c r="G73" s="59"/>
      <c r="H73" s="54"/>
      <c r="I73" s="55"/>
      <c r="K73" s="58"/>
      <c r="L73" s="59"/>
      <c r="M73" s="54"/>
      <c r="N73" s="55"/>
      <c r="P73" s="58"/>
      <c r="Q73" s="59"/>
      <c r="R73" s="54"/>
      <c r="S73" s="55"/>
    </row>
    <row r="74" spans="1:19" x14ac:dyDescent="0.25">
      <c r="A74" s="58"/>
      <c r="B74" s="59"/>
      <c r="C74" s="54"/>
      <c r="D74" s="55"/>
      <c r="F74" s="58"/>
      <c r="G74" s="59"/>
      <c r="H74" s="54"/>
      <c r="I74" s="55"/>
      <c r="K74" s="58"/>
      <c r="L74" s="59"/>
      <c r="M74" s="54"/>
      <c r="N74" s="55"/>
      <c r="P74" s="58"/>
      <c r="Q74" s="59"/>
      <c r="R74" s="54"/>
      <c r="S74" s="55"/>
    </row>
    <row r="75" spans="1:19" x14ac:dyDescent="0.25">
      <c r="A75" s="58"/>
      <c r="B75" s="59"/>
      <c r="C75" s="54"/>
      <c r="D75" s="55"/>
      <c r="F75" s="58"/>
      <c r="G75" s="59"/>
      <c r="H75" s="54"/>
      <c r="I75" s="55"/>
      <c r="K75" s="58"/>
      <c r="L75" s="59"/>
      <c r="M75" s="54"/>
      <c r="N75" s="55"/>
      <c r="P75" s="58"/>
      <c r="Q75" s="59"/>
      <c r="R75" s="54"/>
      <c r="S75" s="55"/>
    </row>
    <row r="76" spans="1:19" x14ac:dyDescent="0.25">
      <c r="A76" s="58"/>
      <c r="B76" s="59"/>
      <c r="C76" s="54"/>
      <c r="D76" s="55"/>
      <c r="F76" s="58"/>
      <c r="G76" s="59"/>
      <c r="H76" s="54"/>
      <c r="I76" s="55"/>
      <c r="K76" s="58"/>
      <c r="L76" s="59"/>
      <c r="M76" s="54"/>
      <c r="N76" s="55"/>
      <c r="P76" s="58"/>
      <c r="Q76" s="59"/>
      <c r="R76" s="54"/>
      <c r="S76" s="55"/>
    </row>
    <row r="77" spans="1:19" x14ac:dyDescent="0.25">
      <c r="A77" s="58"/>
      <c r="B77" s="59"/>
      <c r="C77" s="54"/>
      <c r="D77" s="55"/>
      <c r="F77" s="58"/>
      <c r="G77" s="59"/>
      <c r="H77" s="54"/>
      <c r="I77" s="55"/>
      <c r="K77" s="58"/>
      <c r="L77" s="59"/>
      <c r="M77" s="54"/>
      <c r="N77" s="55"/>
      <c r="P77" s="58"/>
      <c r="Q77" s="59"/>
      <c r="R77" s="54"/>
      <c r="S77" s="55"/>
    </row>
    <row r="78" spans="1:19" x14ac:dyDescent="0.25">
      <c r="A78" s="58"/>
      <c r="B78" s="59"/>
      <c r="C78" s="54"/>
      <c r="D78" s="55"/>
      <c r="F78" s="58"/>
      <c r="G78" s="59"/>
      <c r="H78" s="54"/>
      <c r="I78" s="55"/>
      <c r="K78" s="58"/>
      <c r="L78" s="59"/>
      <c r="M78" s="54"/>
      <c r="N78" s="55"/>
      <c r="P78" s="58"/>
      <c r="Q78" s="59"/>
      <c r="R78" s="54"/>
      <c r="S78" s="55"/>
    </row>
    <row r="79" spans="1:19" x14ac:dyDescent="0.25">
      <c r="A79" s="58"/>
      <c r="B79" s="59"/>
      <c r="C79" s="54"/>
      <c r="D79" s="55"/>
      <c r="F79" s="58"/>
      <c r="G79" s="59"/>
      <c r="H79" s="54"/>
      <c r="I79" s="55"/>
      <c r="K79" s="58"/>
      <c r="L79" s="59"/>
      <c r="M79" s="54"/>
      <c r="N79" s="55"/>
      <c r="P79" s="58"/>
      <c r="Q79" s="59"/>
      <c r="R79" s="54"/>
      <c r="S79" s="55"/>
    </row>
    <row r="80" spans="1:19" x14ac:dyDescent="0.25">
      <c r="A80" s="58"/>
      <c r="B80" s="59"/>
      <c r="C80" s="54"/>
      <c r="D80" s="55"/>
      <c r="F80" s="58"/>
      <c r="G80" s="59"/>
      <c r="H80" s="54"/>
      <c r="I80" s="55"/>
      <c r="K80" s="58"/>
      <c r="L80" s="59"/>
      <c r="M80" s="54"/>
      <c r="N80" s="55"/>
      <c r="P80" s="58"/>
      <c r="Q80" s="59"/>
      <c r="R80" s="54"/>
      <c r="S80" s="55"/>
    </row>
    <row r="81" spans="1:19" x14ac:dyDescent="0.25">
      <c r="A81" s="58"/>
      <c r="B81" s="59"/>
      <c r="C81" s="54"/>
      <c r="D81" s="55"/>
      <c r="F81" s="58"/>
      <c r="G81" s="59"/>
      <c r="H81" s="54"/>
      <c r="I81" s="55"/>
      <c r="K81" s="58"/>
      <c r="L81" s="59"/>
      <c r="M81" s="54"/>
      <c r="N81" s="55"/>
      <c r="P81" s="58"/>
      <c r="Q81" s="59"/>
      <c r="R81" s="54"/>
      <c r="S81" s="55"/>
    </row>
    <row r="82" spans="1:19" x14ac:dyDescent="0.25">
      <c r="A82" s="58"/>
      <c r="B82" s="59"/>
      <c r="C82" s="54"/>
      <c r="D82" s="55"/>
      <c r="F82" s="58"/>
      <c r="G82" s="59"/>
      <c r="H82" s="54"/>
      <c r="I82" s="55"/>
      <c r="K82" s="58"/>
      <c r="L82" s="59"/>
      <c r="M82" s="54"/>
      <c r="N82" s="55"/>
      <c r="P82" s="58"/>
      <c r="Q82" s="59"/>
      <c r="R82" s="54"/>
      <c r="S82" s="55"/>
    </row>
    <row r="83" spans="1:19" x14ac:dyDescent="0.25">
      <c r="A83" s="58"/>
      <c r="B83" s="59"/>
      <c r="C83" s="54"/>
      <c r="D83" s="55"/>
      <c r="F83" s="58"/>
      <c r="G83" s="59"/>
      <c r="H83" s="54"/>
      <c r="I83" s="55"/>
      <c r="K83" s="58"/>
      <c r="L83" s="59"/>
      <c r="M83" s="54"/>
      <c r="N83" s="55"/>
      <c r="P83" s="58"/>
      <c r="Q83" s="59"/>
      <c r="R83" s="54"/>
      <c r="S83" s="55"/>
    </row>
    <row r="84" spans="1:19" x14ac:dyDescent="0.25">
      <c r="A84" s="58"/>
      <c r="B84" s="59"/>
      <c r="C84" s="54"/>
      <c r="D84" s="55"/>
      <c r="F84" s="58"/>
      <c r="G84" s="59"/>
      <c r="H84" s="54"/>
      <c r="I84" s="55"/>
      <c r="K84" s="58"/>
      <c r="L84" s="59"/>
      <c r="M84" s="54"/>
      <c r="N84" s="55"/>
      <c r="P84" s="58"/>
      <c r="Q84" s="59"/>
      <c r="R84" s="54"/>
      <c r="S84" s="55"/>
    </row>
    <row r="85" spans="1:19" x14ac:dyDescent="0.25">
      <c r="A85" s="58"/>
      <c r="B85" s="59"/>
      <c r="C85" s="54"/>
      <c r="D85" s="55"/>
      <c r="F85" s="58"/>
      <c r="G85" s="59"/>
      <c r="H85" s="54"/>
      <c r="I85" s="55"/>
      <c r="K85" s="58"/>
      <c r="L85" s="59"/>
      <c r="M85" s="54"/>
      <c r="N85" s="55"/>
      <c r="P85" s="58"/>
      <c r="Q85" s="59"/>
      <c r="R85" s="54"/>
      <c r="S85" s="55"/>
    </row>
    <row r="86" spans="1:19" x14ac:dyDescent="0.25">
      <c r="A86" s="58"/>
      <c r="B86" s="59"/>
      <c r="C86" s="54"/>
      <c r="D86" s="55"/>
      <c r="F86" s="58"/>
      <c r="G86" s="59"/>
      <c r="H86" s="54"/>
      <c r="I86" s="55"/>
      <c r="K86" s="58"/>
      <c r="L86" s="59"/>
      <c r="M86" s="54"/>
      <c r="N86" s="55"/>
      <c r="P86" s="58"/>
      <c r="Q86" s="59"/>
      <c r="R86" s="54"/>
      <c r="S86" s="55"/>
    </row>
    <row r="87" spans="1:19" x14ac:dyDescent="0.25">
      <c r="A87" s="58"/>
      <c r="B87" s="59"/>
      <c r="C87" s="54"/>
      <c r="D87" s="55"/>
      <c r="F87" s="58"/>
      <c r="G87" s="59"/>
      <c r="H87" s="54"/>
      <c r="I87" s="55"/>
      <c r="K87" s="58"/>
      <c r="L87" s="59"/>
      <c r="M87" s="54"/>
      <c r="N87" s="55"/>
      <c r="P87" s="58"/>
      <c r="Q87" s="59"/>
      <c r="R87" s="54"/>
      <c r="S87" s="55"/>
    </row>
    <row r="88" spans="1:19" x14ac:dyDescent="0.25">
      <c r="A88" s="58"/>
      <c r="B88" s="59"/>
      <c r="C88" s="54"/>
      <c r="D88" s="55"/>
      <c r="F88" s="58"/>
      <c r="G88" s="59"/>
      <c r="H88" s="54"/>
      <c r="I88" s="55"/>
      <c r="K88" s="58"/>
      <c r="L88" s="59"/>
      <c r="M88" s="54"/>
      <c r="N88" s="55"/>
      <c r="P88" s="58"/>
      <c r="Q88" s="59"/>
      <c r="R88" s="54"/>
      <c r="S88" s="55"/>
    </row>
    <row r="89" spans="1:19" x14ac:dyDescent="0.25">
      <c r="A89" s="58"/>
      <c r="B89" s="59"/>
      <c r="C89" s="54"/>
      <c r="D89" s="55"/>
      <c r="F89" s="58"/>
      <c r="G89" s="59"/>
      <c r="H89" s="54"/>
      <c r="I89" s="55"/>
      <c r="K89" s="58"/>
      <c r="L89" s="59"/>
      <c r="M89" s="54"/>
      <c r="N89" s="55"/>
      <c r="P89" s="58"/>
      <c r="Q89" s="59"/>
      <c r="R89" s="54"/>
      <c r="S89" s="55"/>
    </row>
    <row r="90" spans="1:19" x14ac:dyDescent="0.25">
      <c r="A90" s="58"/>
      <c r="B90" s="59"/>
      <c r="C90" s="54"/>
      <c r="D90" s="55"/>
      <c r="F90" s="58"/>
      <c r="G90" s="59"/>
      <c r="H90" s="54"/>
      <c r="I90" s="55"/>
      <c r="K90" s="58"/>
      <c r="L90" s="59"/>
      <c r="M90" s="54"/>
      <c r="N90" s="55"/>
      <c r="P90" s="58"/>
      <c r="Q90" s="59"/>
      <c r="R90" s="54"/>
      <c r="S90" s="55"/>
    </row>
    <row r="91" spans="1:19" x14ac:dyDescent="0.25">
      <c r="A91" s="58"/>
      <c r="B91" s="59"/>
      <c r="C91" s="54"/>
      <c r="D91" s="55"/>
      <c r="F91" s="58"/>
      <c r="G91" s="59"/>
      <c r="H91" s="54"/>
      <c r="I91" s="55"/>
      <c r="K91" s="58"/>
      <c r="L91" s="59"/>
      <c r="M91" s="54"/>
      <c r="N91" s="55"/>
      <c r="P91" s="58"/>
      <c r="Q91" s="59"/>
      <c r="R91" s="54"/>
      <c r="S91" s="55"/>
    </row>
    <row r="92" spans="1:19" x14ac:dyDescent="0.25">
      <c r="A92" s="58"/>
      <c r="B92" s="59"/>
      <c r="C92" s="54"/>
      <c r="D92" s="55"/>
      <c r="F92" s="58"/>
      <c r="G92" s="59"/>
      <c r="H92" s="54"/>
      <c r="I92" s="55"/>
      <c r="K92" s="58"/>
      <c r="L92" s="59"/>
      <c r="M92" s="54"/>
      <c r="N92" s="55"/>
      <c r="P92" s="58"/>
      <c r="Q92" s="59"/>
      <c r="R92" s="54"/>
      <c r="S92" s="55"/>
    </row>
    <row r="93" spans="1:19" x14ac:dyDescent="0.25">
      <c r="A93" s="58"/>
      <c r="B93" s="59"/>
      <c r="C93" s="54"/>
      <c r="D93" s="55"/>
      <c r="F93" s="58"/>
      <c r="G93" s="59"/>
      <c r="H93" s="54"/>
      <c r="I93" s="55"/>
      <c r="K93" s="58"/>
      <c r="L93" s="59"/>
      <c r="M93" s="54"/>
      <c r="N93" s="55"/>
      <c r="P93" s="58"/>
      <c r="Q93" s="59"/>
      <c r="R93" s="54"/>
      <c r="S93" s="55"/>
    </row>
    <row r="94" spans="1:19" x14ac:dyDescent="0.25">
      <c r="A94" s="58"/>
      <c r="B94" s="59"/>
      <c r="C94" s="54"/>
      <c r="D94" s="55"/>
      <c r="F94" s="58"/>
      <c r="G94" s="59"/>
      <c r="H94" s="54"/>
      <c r="I94" s="55"/>
      <c r="K94" s="58"/>
      <c r="L94" s="59"/>
      <c r="M94" s="54"/>
      <c r="N94" s="55"/>
      <c r="P94" s="58"/>
      <c r="Q94" s="59"/>
      <c r="R94" s="54"/>
      <c r="S94" s="55"/>
    </row>
    <row r="95" spans="1:19" x14ac:dyDescent="0.25">
      <c r="A95" s="58"/>
      <c r="B95" s="59"/>
      <c r="C95" s="54"/>
      <c r="D95" s="55"/>
      <c r="F95" s="58"/>
      <c r="G95" s="59"/>
      <c r="H95" s="54"/>
      <c r="I95" s="55"/>
      <c r="K95" s="58"/>
      <c r="L95" s="59"/>
      <c r="M95" s="54"/>
      <c r="N95" s="55"/>
      <c r="P95" s="58"/>
      <c r="Q95" s="59"/>
      <c r="R95" s="54"/>
      <c r="S95" s="55"/>
    </row>
    <row r="96" spans="1:19" x14ac:dyDescent="0.25">
      <c r="A96" s="58"/>
      <c r="B96" s="59"/>
      <c r="C96" s="54"/>
      <c r="D96" s="55"/>
      <c r="F96" s="58"/>
      <c r="G96" s="59"/>
      <c r="H96" s="54"/>
      <c r="I96" s="55"/>
      <c r="K96" s="58"/>
      <c r="L96" s="59"/>
      <c r="M96" s="54"/>
      <c r="N96" s="55"/>
      <c r="P96" s="58"/>
      <c r="Q96" s="59"/>
      <c r="R96" s="54"/>
      <c r="S96" s="55"/>
    </row>
    <row r="97" spans="1:19" x14ac:dyDescent="0.25">
      <c r="A97" s="58"/>
      <c r="B97" s="59"/>
      <c r="C97" s="54"/>
      <c r="D97" s="55"/>
      <c r="F97" s="58"/>
      <c r="G97" s="59"/>
      <c r="H97" s="54"/>
      <c r="I97" s="55"/>
      <c r="K97" s="58"/>
      <c r="L97" s="59"/>
      <c r="M97" s="54"/>
      <c r="N97" s="55"/>
      <c r="P97" s="58"/>
      <c r="Q97" s="59"/>
      <c r="R97" s="54"/>
      <c r="S97" s="55"/>
    </row>
    <row r="98" spans="1:19" x14ac:dyDescent="0.25">
      <c r="A98" s="58"/>
      <c r="B98" s="59"/>
      <c r="C98" s="54"/>
      <c r="D98" s="55"/>
      <c r="F98" s="58"/>
      <c r="G98" s="59"/>
      <c r="H98" s="54"/>
      <c r="I98" s="55"/>
      <c r="K98" s="58"/>
      <c r="L98" s="59"/>
      <c r="M98" s="54"/>
      <c r="N98" s="55"/>
      <c r="P98" s="58"/>
      <c r="Q98" s="59"/>
      <c r="R98" s="54"/>
      <c r="S98" s="55"/>
    </row>
    <row r="99" spans="1:19" x14ac:dyDescent="0.25">
      <c r="A99" s="58"/>
      <c r="B99" s="59"/>
      <c r="C99" s="54"/>
      <c r="D99" s="55"/>
      <c r="F99" s="58"/>
      <c r="G99" s="59"/>
      <c r="H99" s="54"/>
      <c r="I99" s="55"/>
      <c r="K99" s="58"/>
      <c r="L99" s="59"/>
      <c r="M99" s="54"/>
      <c r="N99" s="55"/>
      <c r="P99" s="58"/>
      <c r="Q99" s="59"/>
      <c r="R99" s="54"/>
      <c r="S99" s="55"/>
    </row>
    <row r="100" spans="1:19" x14ac:dyDescent="0.25">
      <c r="A100" s="58"/>
      <c r="B100" s="59"/>
      <c r="C100" s="54"/>
      <c r="D100" s="55"/>
      <c r="F100" s="58"/>
      <c r="G100" s="59"/>
      <c r="H100" s="54"/>
      <c r="I100" s="55"/>
      <c r="K100" s="58"/>
      <c r="L100" s="59"/>
      <c r="M100" s="54"/>
      <c r="N100" s="55"/>
      <c r="P100" s="58"/>
      <c r="Q100" s="59"/>
      <c r="R100" s="54"/>
      <c r="S100" s="55"/>
    </row>
    <row r="101" spans="1:19" x14ac:dyDescent="0.25">
      <c r="A101" s="58"/>
      <c r="B101" s="59"/>
      <c r="C101" s="54"/>
      <c r="D101" s="55"/>
      <c r="F101" s="58"/>
      <c r="G101" s="59"/>
      <c r="H101" s="54"/>
      <c r="I101" s="55"/>
      <c r="K101" s="58"/>
      <c r="L101" s="59"/>
      <c r="M101" s="54"/>
      <c r="N101" s="55"/>
      <c r="P101" s="58"/>
      <c r="Q101" s="59"/>
      <c r="R101" s="54"/>
      <c r="S101" s="55"/>
    </row>
    <row r="102" spans="1:19" x14ac:dyDescent="0.25">
      <c r="A102" s="58"/>
      <c r="B102" s="59"/>
      <c r="C102" s="54"/>
      <c r="D102" s="55"/>
      <c r="F102" s="58"/>
      <c r="G102" s="59"/>
      <c r="H102" s="54"/>
      <c r="I102" s="55"/>
      <c r="K102" s="58"/>
      <c r="L102" s="59"/>
      <c r="M102" s="54"/>
      <c r="N102" s="55"/>
      <c r="P102" s="58"/>
      <c r="Q102" s="59"/>
      <c r="R102" s="54"/>
      <c r="S102" s="55"/>
    </row>
    <row r="103" spans="1:19" x14ac:dyDescent="0.25">
      <c r="A103" s="58"/>
      <c r="B103" s="59"/>
      <c r="C103" s="54"/>
      <c r="D103" s="55"/>
      <c r="F103" s="58"/>
      <c r="G103" s="59"/>
      <c r="H103" s="54"/>
      <c r="I103" s="55"/>
      <c r="K103" s="58"/>
      <c r="L103" s="59"/>
      <c r="M103" s="54"/>
      <c r="N103" s="55"/>
      <c r="P103" s="58"/>
      <c r="Q103" s="59"/>
      <c r="R103" s="54"/>
      <c r="S103" s="55"/>
    </row>
    <row r="104" spans="1:19" x14ac:dyDescent="0.25">
      <c r="A104" s="58"/>
      <c r="B104" s="59"/>
      <c r="C104" s="54"/>
      <c r="D104" s="55"/>
      <c r="F104" s="58"/>
      <c r="G104" s="59"/>
      <c r="H104" s="54"/>
      <c r="I104" s="55"/>
      <c r="K104" s="58"/>
      <c r="L104" s="59"/>
      <c r="M104" s="54"/>
      <c r="N104" s="55"/>
      <c r="P104" s="58"/>
      <c r="Q104" s="59"/>
      <c r="R104" s="54"/>
      <c r="S104" s="55"/>
    </row>
    <row r="105" spans="1:19" x14ac:dyDescent="0.25">
      <c r="A105" s="58"/>
      <c r="B105" s="59"/>
      <c r="C105" s="54"/>
      <c r="D105" s="55"/>
      <c r="F105" s="58"/>
      <c r="G105" s="59"/>
      <c r="H105" s="54"/>
      <c r="I105" s="55"/>
      <c r="K105" s="58"/>
      <c r="L105" s="59"/>
      <c r="M105" s="54"/>
      <c r="N105" s="55"/>
      <c r="P105" s="58"/>
      <c r="Q105" s="59"/>
      <c r="R105" s="54"/>
      <c r="S105" s="55"/>
    </row>
    <row r="106" spans="1:19" x14ac:dyDescent="0.25">
      <c r="A106" s="58"/>
      <c r="B106" s="59"/>
      <c r="C106" s="54"/>
      <c r="D106" s="55"/>
      <c r="F106" s="58"/>
      <c r="G106" s="59"/>
      <c r="H106" s="54"/>
      <c r="I106" s="55"/>
      <c r="K106" s="58"/>
      <c r="L106" s="59"/>
      <c r="M106" s="54"/>
      <c r="N106" s="55"/>
      <c r="P106" s="58"/>
      <c r="Q106" s="59"/>
      <c r="R106" s="54"/>
      <c r="S106" s="55"/>
    </row>
    <row r="107" spans="1:19" x14ac:dyDescent="0.25">
      <c r="A107" s="58"/>
      <c r="B107" s="59"/>
      <c r="C107" s="54"/>
      <c r="D107" s="55"/>
      <c r="F107" s="58"/>
      <c r="G107" s="59"/>
      <c r="H107" s="54"/>
      <c r="I107" s="55"/>
      <c r="K107" s="58"/>
      <c r="L107" s="59"/>
      <c r="M107" s="54"/>
      <c r="N107" s="55"/>
      <c r="P107" s="58"/>
      <c r="Q107" s="59"/>
      <c r="R107" s="54"/>
      <c r="S107" s="55"/>
    </row>
    <row r="108" spans="1:19" x14ac:dyDescent="0.25">
      <c r="A108" s="58"/>
      <c r="B108" s="59"/>
      <c r="C108" s="54"/>
      <c r="D108" s="55"/>
      <c r="F108" s="58"/>
      <c r="G108" s="59"/>
      <c r="H108" s="54"/>
      <c r="I108" s="55"/>
      <c r="K108" s="58"/>
      <c r="L108" s="59"/>
      <c r="M108" s="54"/>
      <c r="N108" s="55"/>
      <c r="P108" s="58"/>
      <c r="Q108" s="59"/>
      <c r="R108" s="54"/>
      <c r="S108" s="55"/>
    </row>
    <row r="109" spans="1:19" x14ac:dyDescent="0.25">
      <c r="A109" s="58"/>
      <c r="B109" s="59"/>
      <c r="C109" s="54"/>
      <c r="D109" s="55"/>
      <c r="F109" s="58"/>
      <c r="G109" s="59"/>
      <c r="H109" s="54"/>
      <c r="I109" s="55"/>
      <c r="K109" s="58"/>
      <c r="L109" s="59"/>
      <c r="M109" s="54"/>
      <c r="N109" s="55"/>
      <c r="P109" s="58"/>
      <c r="Q109" s="59"/>
      <c r="R109" s="54"/>
      <c r="S109" s="55"/>
    </row>
    <row r="110" spans="1:19" x14ac:dyDescent="0.25">
      <c r="A110" s="58"/>
      <c r="B110" s="59"/>
      <c r="C110" s="54"/>
      <c r="D110" s="55"/>
      <c r="F110" s="58"/>
      <c r="G110" s="59"/>
      <c r="H110" s="54"/>
      <c r="I110" s="55"/>
      <c r="K110" s="58"/>
      <c r="L110" s="59"/>
      <c r="M110" s="54"/>
      <c r="N110" s="55"/>
      <c r="P110" s="58"/>
      <c r="Q110" s="59"/>
      <c r="R110" s="54"/>
      <c r="S110" s="55"/>
    </row>
    <row r="111" spans="1:19" x14ac:dyDescent="0.25">
      <c r="A111" s="58"/>
      <c r="B111" s="59"/>
      <c r="C111" s="54"/>
      <c r="D111" s="55"/>
      <c r="F111" s="58"/>
      <c r="G111" s="59"/>
      <c r="H111" s="54"/>
      <c r="I111" s="55"/>
      <c r="K111" s="58"/>
      <c r="L111" s="59"/>
      <c r="M111" s="54"/>
      <c r="N111" s="55"/>
      <c r="P111" s="58"/>
      <c r="Q111" s="59"/>
      <c r="R111" s="54"/>
      <c r="S111" s="55"/>
    </row>
    <row r="112" spans="1:19" x14ac:dyDescent="0.25">
      <c r="A112" s="58"/>
      <c r="B112" s="59"/>
      <c r="C112" s="54"/>
      <c r="D112" s="55"/>
      <c r="F112" s="58"/>
      <c r="G112" s="59"/>
      <c r="H112" s="54"/>
      <c r="I112" s="55"/>
      <c r="K112" s="58"/>
      <c r="L112" s="59"/>
      <c r="M112" s="54"/>
      <c r="N112" s="55"/>
      <c r="P112" s="58"/>
      <c r="Q112" s="59"/>
      <c r="R112" s="54"/>
      <c r="S112" s="55"/>
    </row>
    <row r="113" spans="1:19" x14ac:dyDescent="0.25">
      <c r="A113" s="58"/>
      <c r="B113" s="59"/>
      <c r="C113" s="54"/>
      <c r="D113" s="55"/>
      <c r="F113" s="58"/>
      <c r="G113" s="59"/>
      <c r="H113" s="54"/>
      <c r="I113" s="55"/>
      <c r="K113" s="58"/>
      <c r="L113" s="59"/>
      <c r="M113" s="54"/>
      <c r="N113" s="55"/>
      <c r="P113" s="58"/>
      <c r="Q113" s="59"/>
      <c r="R113" s="54"/>
      <c r="S113" s="55"/>
    </row>
    <row r="114" spans="1:19" x14ac:dyDescent="0.25">
      <c r="A114" s="58"/>
      <c r="B114" s="59"/>
      <c r="C114" s="54"/>
      <c r="D114" s="55"/>
      <c r="F114" s="58"/>
      <c r="G114" s="59"/>
      <c r="H114" s="54"/>
      <c r="I114" s="55"/>
      <c r="K114" s="58"/>
      <c r="L114" s="59"/>
      <c r="M114" s="54"/>
      <c r="N114" s="55"/>
      <c r="P114" s="58"/>
      <c r="Q114" s="59"/>
      <c r="R114" s="54"/>
      <c r="S114" s="55"/>
    </row>
    <row r="115" spans="1:19" x14ac:dyDescent="0.25">
      <c r="A115" s="58"/>
      <c r="B115" s="59"/>
      <c r="C115" s="54"/>
      <c r="D115" s="55"/>
      <c r="F115" s="58"/>
      <c r="G115" s="59"/>
      <c r="H115" s="54"/>
      <c r="I115" s="55"/>
      <c r="K115" s="58"/>
      <c r="L115" s="59"/>
      <c r="M115" s="54"/>
      <c r="N115" s="55"/>
      <c r="P115" s="58"/>
      <c r="Q115" s="59"/>
      <c r="R115" s="54"/>
      <c r="S115" s="55"/>
    </row>
    <row r="116" spans="1:19" x14ac:dyDescent="0.25">
      <c r="A116" s="58"/>
      <c r="B116" s="59"/>
      <c r="C116" s="54"/>
      <c r="D116" s="55"/>
      <c r="F116" s="58"/>
      <c r="G116" s="59"/>
      <c r="H116" s="54"/>
      <c r="I116" s="55"/>
      <c r="K116" s="58"/>
      <c r="L116" s="59"/>
      <c r="M116" s="54"/>
      <c r="N116" s="55"/>
      <c r="P116" s="58"/>
      <c r="Q116" s="59"/>
      <c r="R116" s="54"/>
      <c r="S116" s="55"/>
    </row>
    <row r="117" spans="1:19" x14ac:dyDescent="0.25">
      <c r="A117" s="58"/>
      <c r="B117" s="59"/>
      <c r="C117" s="54"/>
      <c r="D117" s="55"/>
      <c r="F117" s="58"/>
      <c r="G117" s="59"/>
      <c r="H117" s="54"/>
      <c r="I117" s="55"/>
      <c r="K117" s="58"/>
      <c r="L117" s="59"/>
      <c r="M117" s="54"/>
      <c r="N117" s="55"/>
      <c r="P117" s="58"/>
      <c r="Q117" s="59"/>
      <c r="R117" s="54"/>
      <c r="S117" s="55"/>
    </row>
    <row r="118" spans="1:19" ht="15.75" thickBot="1" x14ac:dyDescent="0.3">
      <c r="A118" s="60"/>
      <c r="B118" s="61"/>
      <c r="C118" s="56"/>
      <c r="D118" s="57"/>
      <c r="F118" s="60"/>
      <c r="G118" s="61"/>
      <c r="H118" s="56"/>
      <c r="I118" s="57"/>
      <c r="K118" s="58"/>
      <c r="L118" s="59"/>
      <c r="M118" s="54"/>
      <c r="N118" s="55"/>
      <c r="P118" s="58"/>
      <c r="Q118" s="59"/>
      <c r="R118" s="54"/>
      <c r="S118" s="55"/>
    </row>
    <row r="119" spans="1:19" x14ac:dyDescent="0.25">
      <c r="K119" s="58"/>
      <c r="L119" s="59"/>
      <c r="M119" s="54"/>
      <c r="N119" s="55"/>
      <c r="P119" s="58"/>
      <c r="Q119" s="59"/>
      <c r="R119" s="54"/>
      <c r="S119" s="55"/>
    </row>
    <row r="120" spans="1:19" x14ac:dyDescent="0.25">
      <c r="K120" s="58"/>
      <c r="L120" s="59"/>
      <c r="M120" s="54"/>
      <c r="N120" s="55"/>
      <c r="P120" s="58"/>
      <c r="Q120" s="59"/>
      <c r="R120" s="54"/>
      <c r="S120" s="55"/>
    </row>
    <row r="121" spans="1:19" x14ac:dyDescent="0.25">
      <c r="K121" s="58"/>
      <c r="L121" s="59"/>
      <c r="M121" s="54"/>
      <c r="N121" s="55"/>
      <c r="P121" s="58"/>
      <c r="Q121" s="59"/>
      <c r="R121" s="54"/>
      <c r="S121" s="55"/>
    </row>
    <row r="122" spans="1:19" x14ac:dyDescent="0.25">
      <c r="K122" s="58"/>
      <c r="L122" s="59"/>
      <c r="M122" s="54"/>
      <c r="N122" s="55"/>
      <c r="P122" s="58"/>
      <c r="Q122" s="59"/>
      <c r="R122" s="54"/>
      <c r="S122" s="55"/>
    </row>
    <row r="123" spans="1:19" x14ac:dyDescent="0.25">
      <c r="K123" s="58"/>
      <c r="L123" s="59"/>
      <c r="M123" s="54"/>
      <c r="N123" s="55"/>
      <c r="P123" s="58"/>
      <c r="Q123" s="59"/>
      <c r="R123" s="54"/>
      <c r="S123" s="55"/>
    </row>
    <row r="124" spans="1:19" x14ac:dyDescent="0.25">
      <c r="K124" s="58"/>
      <c r="L124" s="59"/>
      <c r="M124" s="54"/>
      <c r="N124" s="55"/>
      <c r="P124" s="58"/>
      <c r="Q124" s="59"/>
      <c r="R124" s="54"/>
      <c r="S124" s="55"/>
    </row>
    <row r="125" spans="1:19" x14ac:dyDescent="0.25">
      <c r="K125" s="58"/>
      <c r="L125" s="59"/>
      <c r="M125" s="54"/>
      <c r="N125" s="55"/>
      <c r="P125" s="58"/>
      <c r="Q125" s="59"/>
      <c r="R125" s="54"/>
      <c r="S125" s="55"/>
    </row>
    <row r="126" spans="1:19" x14ac:dyDescent="0.25">
      <c r="K126" s="58"/>
      <c r="L126" s="59"/>
      <c r="M126" s="54"/>
      <c r="N126" s="55"/>
      <c r="P126" s="58"/>
      <c r="Q126" s="59"/>
      <c r="R126" s="54"/>
      <c r="S126" s="55"/>
    </row>
    <row r="127" spans="1:19" x14ac:dyDescent="0.25">
      <c r="K127" s="58"/>
      <c r="L127" s="59"/>
      <c r="M127" s="54"/>
      <c r="N127" s="55"/>
      <c r="P127" s="58"/>
      <c r="Q127" s="59"/>
      <c r="R127" s="54"/>
      <c r="S127" s="55"/>
    </row>
    <row r="128" spans="1:19" x14ac:dyDescent="0.25">
      <c r="K128" s="58"/>
      <c r="L128" s="59"/>
      <c r="M128" s="54"/>
      <c r="N128" s="55"/>
      <c r="P128" s="58"/>
      <c r="Q128" s="59"/>
      <c r="R128" s="54"/>
      <c r="S128" s="55"/>
    </row>
    <row r="129" spans="11:19" x14ac:dyDescent="0.25">
      <c r="K129" s="58"/>
      <c r="L129" s="59"/>
      <c r="M129" s="54"/>
      <c r="N129" s="55"/>
      <c r="P129" s="58"/>
      <c r="Q129" s="59"/>
      <c r="R129" s="54"/>
      <c r="S129" s="55"/>
    </row>
    <row r="130" spans="11:19" x14ac:dyDescent="0.25">
      <c r="K130" s="58"/>
      <c r="L130" s="59"/>
      <c r="M130" s="54"/>
      <c r="N130" s="55"/>
      <c r="P130" s="58"/>
      <c r="Q130" s="59"/>
      <c r="R130" s="54"/>
      <c r="S130" s="55"/>
    </row>
    <row r="131" spans="11:19" x14ac:dyDescent="0.25">
      <c r="K131" s="58"/>
      <c r="L131" s="59"/>
      <c r="M131" s="54"/>
      <c r="N131" s="55"/>
      <c r="P131" s="58"/>
      <c r="Q131" s="59"/>
      <c r="R131" s="54"/>
      <c r="S131" s="55"/>
    </row>
    <row r="132" spans="11:19" x14ac:dyDescent="0.25">
      <c r="K132" s="58"/>
      <c r="L132" s="59"/>
      <c r="M132" s="54"/>
      <c r="N132" s="55"/>
      <c r="P132" s="58"/>
      <c r="Q132" s="59"/>
      <c r="R132" s="54"/>
      <c r="S132" s="55"/>
    </row>
    <row r="133" spans="11:19" x14ac:dyDescent="0.25">
      <c r="K133" s="58"/>
      <c r="L133" s="59"/>
      <c r="M133" s="54"/>
      <c r="N133" s="55"/>
      <c r="P133" s="58"/>
      <c r="Q133" s="59"/>
      <c r="R133" s="54"/>
      <c r="S133" s="55"/>
    </row>
    <row r="134" spans="11:19" x14ac:dyDescent="0.25">
      <c r="K134" s="58"/>
      <c r="L134" s="59"/>
      <c r="M134" s="54"/>
      <c r="N134" s="55"/>
      <c r="P134" s="58"/>
      <c r="Q134" s="59"/>
      <c r="R134" s="54"/>
      <c r="S134" s="55"/>
    </row>
    <row r="135" spans="11:19" x14ac:dyDescent="0.25">
      <c r="K135" s="58"/>
      <c r="L135" s="59"/>
      <c r="M135" s="54"/>
      <c r="N135" s="55"/>
      <c r="P135" s="58"/>
      <c r="Q135" s="59"/>
      <c r="R135" s="54"/>
      <c r="S135" s="55"/>
    </row>
    <row r="136" spans="11:19" x14ac:dyDescent="0.25">
      <c r="K136" s="58"/>
      <c r="L136" s="59"/>
      <c r="M136" s="54"/>
      <c r="N136" s="55"/>
      <c r="P136" s="58"/>
      <c r="Q136" s="59"/>
      <c r="R136" s="54"/>
      <c r="S136" s="55"/>
    </row>
    <row r="137" spans="11:19" x14ac:dyDescent="0.25">
      <c r="K137" s="58"/>
      <c r="L137" s="59"/>
      <c r="M137" s="54"/>
      <c r="N137" s="55"/>
      <c r="P137" s="58"/>
      <c r="Q137" s="59"/>
      <c r="R137" s="54"/>
      <c r="S137" s="55"/>
    </row>
    <row r="138" spans="11:19" x14ac:dyDescent="0.25">
      <c r="K138" s="58"/>
      <c r="L138" s="59"/>
      <c r="M138" s="54"/>
      <c r="N138" s="55"/>
      <c r="P138" s="58"/>
      <c r="Q138" s="59"/>
      <c r="R138" s="54"/>
      <c r="S138" s="55"/>
    </row>
    <row r="139" spans="11:19" x14ac:dyDescent="0.25">
      <c r="K139" s="58"/>
      <c r="L139" s="59"/>
      <c r="M139" s="54"/>
      <c r="N139" s="55"/>
      <c r="P139" s="58"/>
      <c r="Q139" s="59"/>
      <c r="R139" s="54"/>
      <c r="S139" s="55"/>
    </row>
    <row r="140" spans="11:19" x14ac:dyDescent="0.25">
      <c r="K140" s="58"/>
      <c r="L140" s="59"/>
      <c r="M140" s="54"/>
      <c r="N140" s="55"/>
      <c r="P140" s="58"/>
      <c r="Q140" s="59"/>
      <c r="R140" s="54"/>
      <c r="S140" s="55"/>
    </row>
    <row r="141" spans="11:19" x14ac:dyDescent="0.25">
      <c r="K141" s="58"/>
      <c r="L141" s="59"/>
      <c r="M141" s="54"/>
      <c r="N141" s="55"/>
      <c r="P141" s="58"/>
      <c r="Q141" s="59"/>
      <c r="R141" s="54"/>
      <c r="S141" s="55"/>
    </row>
    <row r="142" spans="11:19" x14ac:dyDescent="0.25">
      <c r="K142" s="58"/>
      <c r="L142" s="59"/>
      <c r="M142" s="54"/>
      <c r="N142" s="55"/>
      <c r="P142" s="58"/>
      <c r="Q142" s="59"/>
      <c r="R142" s="54"/>
      <c r="S142" s="55"/>
    </row>
    <row r="143" spans="11:19" x14ac:dyDescent="0.25">
      <c r="K143" s="58"/>
      <c r="L143" s="59"/>
      <c r="M143" s="54"/>
      <c r="N143" s="55"/>
      <c r="P143" s="58"/>
      <c r="Q143" s="59"/>
      <c r="R143" s="54"/>
      <c r="S143" s="55"/>
    </row>
    <row r="144" spans="11:19" x14ac:dyDescent="0.25">
      <c r="K144" s="58"/>
      <c r="L144" s="59"/>
      <c r="M144" s="54"/>
      <c r="N144" s="55"/>
      <c r="P144" s="58"/>
      <c r="Q144" s="59"/>
      <c r="R144" s="54"/>
      <c r="S144" s="55"/>
    </row>
    <row r="145" spans="11:19" x14ac:dyDescent="0.25">
      <c r="K145" s="58"/>
      <c r="L145" s="59"/>
      <c r="M145" s="54"/>
      <c r="N145" s="55"/>
      <c r="P145" s="58"/>
      <c r="Q145" s="59"/>
      <c r="R145" s="54"/>
      <c r="S145" s="55"/>
    </row>
    <row r="146" spans="11:19" x14ac:dyDescent="0.25">
      <c r="K146" s="58"/>
      <c r="L146" s="59"/>
      <c r="M146" s="54"/>
      <c r="N146" s="55"/>
      <c r="P146" s="58"/>
      <c r="Q146" s="59"/>
      <c r="R146" s="54"/>
      <c r="S146" s="55"/>
    </row>
    <row r="147" spans="11:19" x14ac:dyDescent="0.25">
      <c r="K147" s="58"/>
      <c r="L147" s="59"/>
      <c r="M147" s="54"/>
      <c r="N147" s="55"/>
      <c r="P147" s="58"/>
      <c r="Q147" s="59"/>
      <c r="R147" s="54"/>
      <c r="S147" s="55"/>
    </row>
    <row r="148" spans="11:19" x14ac:dyDescent="0.25">
      <c r="K148" s="58"/>
      <c r="L148" s="59"/>
      <c r="M148" s="54"/>
      <c r="N148" s="55"/>
      <c r="P148" s="58"/>
      <c r="Q148" s="59"/>
      <c r="R148" s="54"/>
      <c r="S148" s="55"/>
    </row>
    <row r="149" spans="11:19" x14ac:dyDescent="0.25">
      <c r="K149" s="58"/>
      <c r="L149" s="59"/>
      <c r="M149" s="54"/>
      <c r="N149" s="55"/>
      <c r="P149" s="58"/>
      <c r="Q149" s="59"/>
      <c r="R149" s="54"/>
      <c r="S149" s="55"/>
    </row>
    <row r="150" spans="11:19" x14ac:dyDescent="0.25">
      <c r="K150" s="58"/>
      <c r="L150" s="59"/>
      <c r="M150" s="54"/>
      <c r="N150" s="55"/>
      <c r="P150" s="58"/>
      <c r="Q150" s="59"/>
      <c r="R150" s="54"/>
      <c r="S150" s="55"/>
    </row>
    <row r="151" spans="11:19" x14ac:dyDescent="0.25">
      <c r="K151" s="58"/>
      <c r="L151" s="59"/>
      <c r="M151" s="54"/>
      <c r="N151" s="55"/>
      <c r="P151" s="58"/>
      <c r="Q151" s="59"/>
      <c r="R151" s="54"/>
      <c r="S151" s="55"/>
    </row>
    <row r="152" spans="11:19" x14ac:dyDescent="0.25">
      <c r="K152" s="58"/>
      <c r="L152" s="59"/>
      <c r="M152" s="54"/>
      <c r="N152" s="55"/>
      <c r="P152" s="58"/>
      <c r="Q152" s="59"/>
      <c r="R152" s="54"/>
      <c r="S152" s="55"/>
    </row>
    <row r="153" spans="11:19" x14ac:dyDescent="0.25">
      <c r="K153" s="58"/>
      <c r="L153" s="59"/>
      <c r="M153" s="54"/>
      <c r="N153" s="55"/>
      <c r="P153" s="58"/>
      <c r="Q153" s="59"/>
      <c r="R153" s="54"/>
      <c r="S153" s="55"/>
    </row>
    <row r="154" spans="11:19" x14ac:dyDescent="0.25">
      <c r="K154" s="58"/>
      <c r="L154" s="59"/>
      <c r="M154" s="54"/>
      <c r="N154" s="55"/>
      <c r="P154" s="58"/>
      <c r="Q154" s="59"/>
      <c r="R154" s="54"/>
      <c r="S154" s="55"/>
    </row>
    <row r="155" spans="11:19" x14ac:dyDescent="0.25">
      <c r="K155" s="58"/>
      <c r="L155" s="59"/>
      <c r="M155" s="54"/>
      <c r="N155" s="55"/>
      <c r="P155" s="58"/>
      <c r="Q155" s="59"/>
      <c r="R155" s="54"/>
      <c r="S155" s="55"/>
    </row>
    <row r="156" spans="11:19" x14ac:dyDescent="0.25">
      <c r="K156" s="58"/>
      <c r="L156" s="59"/>
      <c r="M156" s="54"/>
      <c r="N156" s="55"/>
      <c r="P156" s="58"/>
      <c r="Q156" s="59"/>
      <c r="R156" s="54"/>
      <c r="S156" s="55"/>
    </row>
    <row r="157" spans="11:19" x14ac:dyDescent="0.25">
      <c r="K157" s="58"/>
      <c r="L157" s="59"/>
      <c r="M157" s="54"/>
      <c r="N157" s="55"/>
      <c r="P157" s="58"/>
      <c r="Q157" s="59"/>
      <c r="R157" s="54"/>
      <c r="S157" s="55"/>
    </row>
    <row r="158" spans="11:19" x14ac:dyDescent="0.25">
      <c r="K158" s="58"/>
      <c r="L158" s="59"/>
      <c r="M158" s="54"/>
      <c r="N158" s="55"/>
      <c r="P158" s="58"/>
      <c r="Q158" s="59"/>
      <c r="R158" s="54"/>
      <c r="S158" s="55"/>
    </row>
    <row r="159" spans="11:19" x14ac:dyDescent="0.25">
      <c r="K159" s="58"/>
      <c r="L159" s="59"/>
      <c r="M159" s="54"/>
      <c r="N159" s="55"/>
      <c r="P159" s="58"/>
      <c r="Q159" s="59"/>
      <c r="R159" s="54"/>
      <c r="S159" s="55"/>
    </row>
    <row r="160" spans="11:19" x14ac:dyDescent="0.25">
      <c r="K160" s="58"/>
      <c r="L160" s="59"/>
      <c r="M160" s="54"/>
      <c r="N160" s="55"/>
      <c r="P160" s="58"/>
      <c r="Q160" s="59"/>
      <c r="R160" s="54"/>
      <c r="S160" s="55"/>
    </row>
    <row r="161" spans="11:19" x14ac:dyDescent="0.25">
      <c r="K161" s="58"/>
      <c r="L161" s="59"/>
      <c r="M161" s="54"/>
      <c r="N161" s="55"/>
      <c r="P161" s="58"/>
      <c r="Q161" s="59"/>
      <c r="R161" s="54"/>
      <c r="S161" s="55"/>
    </row>
    <row r="162" spans="11:19" x14ac:dyDescent="0.25">
      <c r="K162" s="58"/>
      <c r="L162" s="59"/>
      <c r="M162" s="54"/>
      <c r="N162" s="55"/>
      <c r="P162" s="58"/>
      <c r="Q162" s="59"/>
      <c r="R162" s="54"/>
      <c r="S162" s="55"/>
    </row>
    <row r="163" spans="11:19" x14ac:dyDescent="0.25">
      <c r="K163" s="58"/>
      <c r="L163" s="59"/>
      <c r="M163" s="54"/>
      <c r="N163" s="55"/>
      <c r="P163" s="58"/>
      <c r="Q163" s="59"/>
      <c r="R163" s="54"/>
      <c r="S163" s="55"/>
    </row>
    <row r="164" spans="11:19" x14ac:dyDescent="0.25">
      <c r="K164" s="58"/>
      <c r="L164" s="59"/>
      <c r="M164" s="54"/>
      <c r="N164" s="55"/>
      <c r="P164" s="58"/>
      <c r="Q164" s="59"/>
      <c r="R164" s="54"/>
      <c r="S164" s="55"/>
    </row>
    <row r="165" spans="11:19" x14ac:dyDescent="0.25">
      <c r="K165" s="58"/>
      <c r="L165" s="59"/>
      <c r="M165" s="54"/>
      <c r="N165" s="55"/>
      <c r="P165" s="58"/>
      <c r="Q165" s="59"/>
      <c r="R165" s="54"/>
      <c r="S165" s="55"/>
    </row>
    <row r="166" spans="11:19" x14ac:dyDescent="0.25">
      <c r="K166" s="58"/>
      <c r="L166" s="59"/>
      <c r="M166" s="54"/>
      <c r="N166" s="55"/>
      <c r="P166" s="58"/>
      <c r="Q166" s="59"/>
      <c r="R166" s="54"/>
      <c r="S166" s="55"/>
    </row>
    <row r="167" spans="11:19" x14ac:dyDescent="0.25">
      <c r="K167" s="58"/>
      <c r="L167" s="59"/>
      <c r="M167" s="54"/>
      <c r="N167" s="55"/>
      <c r="P167" s="58"/>
      <c r="Q167" s="59"/>
      <c r="R167" s="54"/>
      <c r="S167" s="55"/>
    </row>
    <row r="168" spans="11:19" x14ac:dyDescent="0.25">
      <c r="K168" s="58"/>
      <c r="L168" s="59"/>
      <c r="M168" s="54"/>
      <c r="N168" s="55"/>
      <c r="P168" s="58"/>
      <c r="Q168" s="59"/>
      <c r="R168" s="54"/>
      <c r="S168" s="55"/>
    </row>
    <row r="169" spans="11:19" x14ac:dyDescent="0.25">
      <c r="K169" s="58"/>
      <c r="L169" s="59"/>
      <c r="M169" s="54"/>
      <c r="N169" s="55"/>
      <c r="P169" s="58"/>
      <c r="Q169" s="59"/>
      <c r="R169" s="54"/>
      <c r="S169" s="55"/>
    </row>
    <row r="170" spans="11:19" x14ac:dyDescent="0.25">
      <c r="K170" s="58"/>
      <c r="L170" s="59"/>
      <c r="M170" s="54"/>
      <c r="N170" s="55"/>
      <c r="P170" s="58"/>
      <c r="Q170" s="59"/>
      <c r="R170" s="54"/>
      <c r="S170" s="55"/>
    </row>
    <row r="171" spans="11:19" x14ac:dyDescent="0.25">
      <c r="K171" s="58"/>
      <c r="L171" s="59"/>
      <c r="M171" s="54"/>
      <c r="N171" s="55"/>
      <c r="P171" s="58"/>
      <c r="Q171" s="59"/>
      <c r="R171" s="54"/>
      <c r="S171" s="55"/>
    </row>
    <row r="172" spans="11:19" x14ac:dyDescent="0.25">
      <c r="K172" s="58"/>
      <c r="L172" s="59"/>
      <c r="M172" s="54"/>
      <c r="N172" s="55"/>
      <c r="P172" s="58"/>
      <c r="Q172" s="59"/>
      <c r="R172" s="54"/>
      <c r="S172" s="55"/>
    </row>
    <row r="173" spans="11:19" x14ac:dyDescent="0.25">
      <c r="K173" s="58"/>
      <c r="L173" s="59"/>
      <c r="M173" s="54"/>
      <c r="N173" s="55"/>
      <c r="P173" s="58"/>
      <c r="Q173" s="59"/>
      <c r="R173" s="54"/>
      <c r="S173" s="55"/>
    </row>
    <row r="174" spans="11:19" x14ac:dyDescent="0.25">
      <c r="K174" s="58"/>
      <c r="L174" s="59"/>
      <c r="M174" s="54"/>
      <c r="N174" s="55"/>
      <c r="P174" s="58"/>
      <c r="Q174" s="59"/>
      <c r="R174" s="54"/>
      <c r="S174" s="55"/>
    </row>
    <row r="175" spans="11:19" x14ac:dyDescent="0.25">
      <c r="K175" s="58"/>
      <c r="L175" s="59"/>
      <c r="M175" s="54"/>
      <c r="N175" s="55"/>
      <c r="P175" s="58"/>
      <c r="Q175" s="59"/>
      <c r="R175" s="54"/>
      <c r="S175" s="55"/>
    </row>
    <row r="176" spans="11:19" x14ac:dyDescent="0.25">
      <c r="K176" s="58"/>
      <c r="L176" s="59"/>
      <c r="M176" s="54"/>
      <c r="N176" s="55"/>
      <c r="P176" s="58"/>
      <c r="Q176" s="59"/>
      <c r="R176" s="54"/>
      <c r="S176" s="55"/>
    </row>
    <row r="177" spans="11:19" x14ac:dyDescent="0.25">
      <c r="K177" s="58"/>
      <c r="L177" s="59"/>
      <c r="M177" s="54"/>
      <c r="N177" s="55"/>
      <c r="P177" s="58"/>
      <c r="Q177" s="59"/>
      <c r="R177" s="54"/>
      <c r="S177" s="55"/>
    </row>
    <row r="178" spans="11:19" x14ac:dyDescent="0.25">
      <c r="K178" s="58"/>
      <c r="L178" s="59"/>
      <c r="M178" s="54"/>
      <c r="N178" s="55"/>
      <c r="P178" s="58"/>
      <c r="Q178" s="59"/>
      <c r="R178" s="54"/>
      <c r="S178" s="55"/>
    </row>
    <row r="179" spans="11:19" x14ac:dyDescent="0.25">
      <c r="K179" s="58"/>
      <c r="L179" s="59"/>
      <c r="M179" s="54"/>
      <c r="N179" s="55"/>
      <c r="P179" s="58"/>
      <c r="Q179" s="59"/>
      <c r="R179" s="54"/>
      <c r="S179" s="55"/>
    </row>
    <row r="180" spans="11:19" x14ac:dyDescent="0.25">
      <c r="K180" s="58"/>
      <c r="L180" s="59"/>
      <c r="M180" s="54"/>
      <c r="N180" s="55"/>
      <c r="P180" s="58"/>
      <c r="Q180" s="59"/>
      <c r="R180" s="54"/>
      <c r="S180" s="55"/>
    </row>
    <row r="181" spans="11:19" x14ac:dyDescent="0.25">
      <c r="K181" s="58"/>
      <c r="L181" s="59"/>
      <c r="M181" s="54"/>
      <c r="N181" s="55"/>
      <c r="P181" s="58"/>
      <c r="Q181" s="59"/>
      <c r="R181" s="54"/>
      <c r="S181" s="55"/>
    </row>
    <row r="182" spans="11:19" x14ac:dyDescent="0.25">
      <c r="K182" s="58"/>
      <c r="L182" s="59"/>
      <c r="M182" s="54"/>
      <c r="N182" s="55"/>
      <c r="P182" s="58"/>
      <c r="Q182" s="59"/>
      <c r="R182" s="54"/>
      <c r="S182" s="55"/>
    </row>
    <row r="183" spans="11:19" x14ac:dyDescent="0.25">
      <c r="K183" s="58"/>
      <c r="L183" s="59"/>
      <c r="M183" s="54"/>
      <c r="N183" s="55"/>
      <c r="P183" s="58"/>
      <c r="Q183" s="59"/>
      <c r="R183" s="54"/>
      <c r="S183" s="55"/>
    </row>
    <row r="184" spans="11:19" x14ac:dyDescent="0.25">
      <c r="K184" s="58"/>
      <c r="L184" s="59"/>
      <c r="M184" s="54"/>
      <c r="N184" s="55"/>
      <c r="P184" s="58"/>
      <c r="Q184" s="59"/>
      <c r="R184" s="54"/>
      <c r="S184" s="55"/>
    </row>
    <row r="185" spans="11:19" x14ac:dyDescent="0.25">
      <c r="K185" s="58"/>
      <c r="L185" s="59"/>
      <c r="M185" s="54"/>
      <c r="N185" s="55"/>
      <c r="P185" s="58"/>
      <c r="Q185" s="59"/>
      <c r="R185" s="54"/>
      <c r="S185" s="55"/>
    </row>
    <row r="186" spans="11:19" x14ac:dyDescent="0.25">
      <c r="K186" s="58"/>
      <c r="L186" s="59"/>
      <c r="M186" s="54"/>
      <c r="N186" s="55"/>
      <c r="P186" s="58"/>
      <c r="Q186" s="59"/>
      <c r="R186" s="54"/>
      <c r="S186" s="55"/>
    </row>
    <row r="187" spans="11:19" x14ac:dyDescent="0.25">
      <c r="K187" s="58"/>
      <c r="L187" s="59"/>
      <c r="M187" s="54"/>
      <c r="N187" s="55"/>
      <c r="P187" s="58"/>
      <c r="Q187" s="59"/>
      <c r="R187" s="54"/>
      <c r="S187" s="55"/>
    </row>
    <row r="188" spans="11:19" x14ac:dyDescent="0.25">
      <c r="K188" s="58"/>
      <c r="L188" s="59"/>
      <c r="M188" s="54"/>
      <c r="N188" s="55"/>
      <c r="P188" s="58"/>
      <c r="Q188" s="59"/>
      <c r="R188" s="54"/>
      <c r="S188" s="55"/>
    </row>
    <row r="189" spans="11:19" x14ac:dyDescent="0.25">
      <c r="K189" s="58"/>
      <c r="L189" s="59"/>
      <c r="M189" s="54"/>
      <c r="N189" s="55"/>
      <c r="P189" s="58"/>
      <c r="Q189" s="59"/>
      <c r="R189" s="54"/>
      <c r="S189" s="55"/>
    </row>
    <row r="190" spans="11:19" x14ac:dyDescent="0.25">
      <c r="K190" s="58"/>
      <c r="L190" s="59"/>
      <c r="M190" s="54"/>
      <c r="N190" s="55"/>
      <c r="P190" s="58"/>
      <c r="Q190" s="59"/>
      <c r="R190" s="54"/>
      <c r="S190" s="55"/>
    </row>
    <row r="191" spans="11:19" x14ac:dyDescent="0.25">
      <c r="K191" s="58"/>
      <c r="L191" s="59"/>
      <c r="M191" s="54"/>
      <c r="N191" s="55"/>
      <c r="P191" s="58"/>
      <c r="Q191" s="59"/>
      <c r="R191" s="54"/>
      <c r="S191" s="55"/>
    </row>
    <row r="192" spans="11:19" x14ac:dyDescent="0.25">
      <c r="K192" s="58"/>
      <c r="L192" s="59"/>
      <c r="M192" s="54"/>
      <c r="N192" s="55"/>
      <c r="P192" s="58"/>
      <c r="Q192" s="59"/>
      <c r="R192" s="54"/>
      <c r="S192" s="55"/>
    </row>
    <row r="193" spans="11:19" x14ac:dyDescent="0.25">
      <c r="K193" s="58"/>
      <c r="L193" s="59"/>
      <c r="M193" s="54"/>
      <c r="N193" s="55"/>
      <c r="P193" s="58"/>
      <c r="Q193" s="59"/>
      <c r="R193" s="54"/>
      <c r="S193" s="55"/>
    </row>
    <row r="194" spans="11:19" x14ac:dyDescent="0.25">
      <c r="K194" s="58"/>
      <c r="L194" s="59"/>
      <c r="M194" s="54"/>
      <c r="N194" s="55"/>
      <c r="P194" s="58"/>
      <c r="Q194" s="59"/>
      <c r="R194" s="54"/>
      <c r="S194" s="55"/>
    </row>
    <row r="195" spans="11:19" x14ac:dyDescent="0.25">
      <c r="K195" s="58"/>
      <c r="L195" s="59"/>
      <c r="M195" s="54"/>
      <c r="N195" s="55"/>
      <c r="P195" s="58"/>
      <c r="Q195" s="59"/>
      <c r="R195" s="54"/>
      <c r="S195" s="55"/>
    </row>
    <row r="196" spans="11:19" x14ac:dyDescent="0.25">
      <c r="K196" s="58"/>
      <c r="L196" s="59"/>
      <c r="M196" s="54"/>
      <c r="N196" s="55"/>
      <c r="P196" s="58"/>
      <c r="Q196" s="59"/>
      <c r="R196" s="54"/>
      <c r="S196" s="55"/>
    </row>
    <row r="197" spans="11:19" x14ac:dyDescent="0.25">
      <c r="K197" s="58"/>
      <c r="L197" s="59"/>
      <c r="M197" s="54"/>
      <c r="N197" s="55"/>
      <c r="P197" s="58"/>
      <c r="Q197" s="59"/>
      <c r="R197" s="54"/>
      <c r="S197" s="55"/>
    </row>
    <row r="198" spans="11:19" x14ac:dyDescent="0.25">
      <c r="K198" s="58"/>
      <c r="L198" s="59"/>
      <c r="M198" s="54"/>
      <c r="N198" s="55"/>
      <c r="P198" s="58"/>
      <c r="Q198" s="59"/>
      <c r="R198" s="54"/>
      <c r="S198" s="55"/>
    </row>
    <row r="199" spans="11:19" x14ac:dyDescent="0.25">
      <c r="K199" s="58"/>
      <c r="L199" s="59"/>
      <c r="M199" s="54"/>
      <c r="N199" s="55"/>
      <c r="P199" s="58"/>
      <c r="Q199" s="59"/>
      <c r="R199" s="54"/>
      <c r="S199" s="55"/>
    </row>
    <row r="200" spans="11:19" x14ac:dyDescent="0.25">
      <c r="K200" s="58"/>
      <c r="L200" s="59"/>
      <c r="M200" s="54"/>
      <c r="N200" s="55"/>
      <c r="P200" s="58"/>
      <c r="Q200" s="59"/>
      <c r="R200" s="54"/>
      <c r="S200" s="55"/>
    </row>
    <row r="201" spans="11:19" x14ac:dyDescent="0.25">
      <c r="K201" s="58"/>
      <c r="L201" s="59"/>
      <c r="M201" s="54"/>
      <c r="N201" s="55"/>
      <c r="P201" s="58"/>
      <c r="Q201" s="59"/>
      <c r="R201" s="54"/>
      <c r="S201" s="55"/>
    </row>
    <row r="202" spans="11:19" x14ac:dyDescent="0.25">
      <c r="K202" s="58"/>
      <c r="L202" s="59"/>
      <c r="M202" s="54"/>
      <c r="N202" s="55"/>
      <c r="P202" s="58"/>
      <c r="Q202" s="59"/>
      <c r="R202" s="54"/>
      <c r="S202" s="55"/>
    </row>
    <row r="203" spans="11:19" x14ac:dyDescent="0.25">
      <c r="K203" s="58"/>
      <c r="L203" s="59"/>
      <c r="M203" s="54"/>
      <c r="N203" s="55"/>
      <c r="P203" s="58"/>
      <c r="Q203" s="59"/>
      <c r="R203" s="54"/>
      <c r="S203" s="55"/>
    </row>
    <row r="204" spans="11:19" x14ac:dyDescent="0.25">
      <c r="K204" s="58"/>
      <c r="L204" s="59"/>
      <c r="M204" s="54"/>
      <c r="N204" s="55"/>
      <c r="P204" s="58"/>
      <c r="Q204" s="59"/>
      <c r="R204" s="54"/>
      <c r="S204" s="55"/>
    </row>
    <row r="205" spans="11:19" x14ac:dyDescent="0.25">
      <c r="K205" s="58"/>
      <c r="L205" s="59"/>
      <c r="M205" s="54"/>
      <c r="N205" s="55"/>
      <c r="P205" s="58"/>
      <c r="Q205" s="59"/>
      <c r="R205" s="54"/>
      <c r="S205" s="55"/>
    </row>
    <row r="206" spans="11:19" x14ac:dyDescent="0.25">
      <c r="K206" s="58"/>
      <c r="L206" s="59"/>
      <c r="M206" s="54"/>
      <c r="N206" s="55"/>
      <c r="P206" s="58"/>
      <c r="Q206" s="59"/>
      <c r="R206" s="54"/>
      <c r="S206" s="55"/>
    </row>
    <row r="207" spans="11:19" x14ac:dyDescent="0.25">
      <c r="K207" s="58"/>
      <c r="L207" s="59"/>
      <c r="M207" s="54"/>
      <c r="N207" s="55"/>
      <c r="P207" s="58"/>
      <c r="Q207" s="59"/>
      <c r="R207" s="54"/>
      <c r="S207" s="55"/>
    </row>
    <row r="208" spans="11:19" x14ac:dyDescent="0.25">
      <c r="K208" s="58"/>
      <c r="L208" s="59"/>
      <c r="M208" s="54"/>
      <c r="N208" s="55"/>
      <c r="P208" s="58"/>
      <c r="Q208" s="59"/>
      <c r="R208" s="54"/>
      <c r="S208" s="55"/>
    </row>
    <row r="209" spans="11:19" x14ac:dyDescent="0.25">
      <c r="K209" s="58"/>
      <c r="L209" s="59"/>
      <c r="M209" s="54"/>
      <c r="N209" s="55"/>
      <c r="P209" s="58"/>
      <c r="Q209" s="59"/>
      <c r="R209" s="54"/>
      <c r="S209" s="55"/>
    </row>
    <row r="210" spans="11:19" x14ac:dyDescent="0.25">
      <c r="K210" s="58"/>
      <c r="L210" s="59"/>
      <c r="M210" s="54"/>
      <c r="N210" s="55"/>
      <c r="P210" s="58"/>
      <c r="Q210" s="59"/>
      <c r="R210" s="54"/>
      <c r="S210" s="55"/>
    </row>
    <row r="211" spans="11:19" x14ac:dyDescent="0.25">
      <c r="K211" s="58"/>
      <c r="L211" s="59"/>
      <c r="M211" s="54"/>
      <c r="N211" s="55"/>
      <c r="P211" s="58"/>
      <c r="Q211" s="59"/>
      <c r="R211" s="54"/>
      <c r="S211" s="55"/>
    </row>
    <row r="212" spans="11:19" x14ac:dyDescent="0.25">
      <c r="K212" s="58"/>
      <c r="L212" s="59"/>
      <c r="M212" s="54"/>
      <c r="N212" s="55"/>
      <c r="P212" s="58"/>
      <c r="Q212" s="59"/>
      <c r="R212" s="54"/>
      <c r="S212" s="55"/>
    </row>
    <row r="213" spans="11:19" x14ac:dyDescent="0.25">
      <c r="K213" s="58"/>
      <c r="L213" s="59"/>
      <c r="M213" s="54"/>
      <c r="N213" s="55"/>
      <c r="P213" s="58"/>
      <c r="Q213" s="59"/>
      <c r="R213" s="54"/>
      <c r="S213" s="55"/>
    </row>
    <row r="214" spans="11:19" x14ac:dyDescent="0.25">
      <c r="K214" s="58"/>
      <c r="L214" s="59"/>
      <c r="M214" s="54"/>
      <c r="N214" s="55"/>
      <c r="P214" s="58"/>
      <c r="Q214" s="59"/>
      <c r="R214" s="54"/>
      <c r="S214" s="55"/>
    </row>
    <row r="215" spans="11:19" x14ac:dyDescent="0.25">
      <c r="K215" s="58"/>
      <c r="L215" s="59"/>
      <c r="M215" s="54"/>
      <c r="N215" s="55"/>
      <c r="P215" s="58"/>
      <c r="Q215" s="59"/>
      <c r="R215" s="54"/>
      <c r="S215" s="55"/>
    </row>
    <row r="216" spans="11:19" x14ac:dyDescent="0.25">
      <c r="K216" s="58"/>
      <c r="L216" s="59"/>
      <c r="M216" s="54"/>
      <c r="N216" s="55"/>
      <c r="P216" s="58"/>
      <c r="Q216" s="59"/>
      <c r="R216" s="54"/>
      <c r="S216" s="55"/>
    </row>
    <row r="217" spans="11:19" x14ac:dyDescent="0.25">
      <c r="K217" s="58"/>
      <c r="L217" s="59"/>
      <c r="M217" s="54"/>
      <c r="N217" s="55"/>
      <c r="P217" s="58"/>
      <c r="Q217" s="59"/>
      <c r="R217" s="54"/>
      <c r="S217" s="55"/>
    </row>
    <row r="218" spans="11:19" x14ac:dyDescent="0.25">
      <c r="K218" s="58"/>
      <c r="L218" s="59"/>
      <c r="M218" s="54"/>
      <c r="N218" s="55"/>
      <c r="P218" s="58"/>
      <c r="Q218" s="59"/>
      <c r="R218" s="54"/>
      <c r="S218" s="55"/>
    </row>
    <row r="219" spans="11:19" x14ac:dyDescent="0.25">
      <c r="K219" s="58"/>
      <c r="L219" s="59"/>
      <c r="M219" s="54"/>
      <c r="N219" s="55"/>
      <c r="P219" s="58"/>
      <c r="Q219" s="59"/>
      <c r="R219" s="54"/>
      <c r="S219" s="55"/>
    </row>
    <row r="220" spans="11:19" x14ac:dyDescent="0.25">
      <c r="K220" s="58"/>
      <c r="L220" s="59"/>
      <c r="M220" s="54"/>
      <c r="N220" s="55"/>
      <c r="P220" s="58"/>
      <c r="Q220" s="59"/>
      <c r="R220" s="54"/>
      <c r="S220" s="55"/>
    </row>
    <row r="221" spans="11:19" x14ac:dyDescent="0.25">
      <c r="K221" s="58"/>
      <c r="L221" s="59"/>
      <c r="M221" s="54"/>
      <c r="N221" s="55"/>
      <c r="P221" s="58"/>
      <c r="Q221" s="59"/>
      <c r="R221" s="54"/>
      <c r="S221" s="55"/>
    </row>
    <row r="222" spans="11:19" x14ac:dyDescent="0.25">
      <c r="K222" s="58"/>
      <c r="L222" s="59"/>
      <c r="M222" s="54"/>
      <c r="N222" s="55"/>
      <c r="P222" s="58"/>
      <c r="Q222" s="59"/>
      <c r="R222" s="54"/>
      <c r="S222" s="55"/>
    </row>
    <row r="223" spans="11:19" x14ac:dyDescent="0.25">
      <c r="K223" s="58"/>
      <c r="L223" s="59"/>
      <c r="M223" s="54"/>
      <c r="N223" s="55"/>
      <c r="P223" s="58"/>
      <c r="Q223" s="59"/>
      <c r="R223" s="54"/>
      <c r="S223" s="55"/>
    </row>
    <row r="224" spans="11:19" x14ac:dyDescent="0.25">
      <c r="K224" s="58"/>
      <c r="L224" s="59"/>
      <c r="M224" s="54"/>
      <c r="N224" s="55"/>
      <c r="P224" s="58"/>
      <c r="Q224" s="59"/>
      <c r="R224" s="54"/>
      <c r="S224" s="55"/>
    </row>
    <row r="225" spans="11:19" x14ac:dyDescent="0.25">
      <c r="K225" s="58"/>
      <c r="L225" s="59"/>
      <c r="M225" s="54"/>
      <c r="N225" s="55"/>
      <c r="P225" s="58"/>
      <c r="Q225" s="59"/>
      <c r="R225" s="54"/>
      <c r="S225" s="55"/>
    </row>
    <row r="226" spans="11:19" x14ac:dyDescent="0.25">
      <c r="K226" s="58"/>
      <c r="L226" s="59"/>
      <c r="M226" s="54"/>
      <c r="N226" s="55"/>
      <c r="P226" s="58"/>
      <c r="Q226" s="59"/>
      <c r="R226" s="54"/>
      <c r="S226" s="55"/>
    </row>
    <row r="227" spans="11:19" x14ac:dyDescent="0.25">
      <c r="K227" s="58"/>
      <c r="L227" s="59"/>
      <c r="M227" s="54"/>
      <c r="N227" s="55"/>
      <c r="P227" s="58"/>
      <c r="Q227" s="59"/>
      <c r="R227" s="54"/>
      <c r="S227" s="55"/>
    </row>
    <row r="228" spans="11:19" x14ac:dyDescent="0.25">
      <c r="K228" s="58"/>
      <c r="L228" s="59"/>
      <c r="M228" s="54"/>
      <c r="N228" s="55"/>
      <c r="P228" s="58"/>
      <c r="Q228" s="59"/>
      <c r="R228" s="54"/>
      <c r="S228" s="55"/>
    </row>
    <row r="229" spans="11:19" x14ac:dyDescent="0.25">
      <c r="K229" s="58"/>
      <c r="L229" s="59"/>
      <c r="M229" s="54"/>
      <c r="N229" s="55"/>
      <c r="P229" s="58"/>
      <c r="Q229" s="59"/>
      <c r="R229" s="54"/>
      <c r="S229" s="55"/>
    </row>
    <row r="230" spans="11:19" x14ac:dyDescent="0.25">
      <c r="K230" s="58"/>
      <c r="L230" s="59"/>
      <c r="M230" s="54"/>
      <c r="N230" s="55"/>
      <c r="P230" s="58"/>
      <c r="Q230" s="59"/>
      <c r="R230" s="54"/>
      <c r="S230" s="55"/>
    </row>
    <row r="231" spans="11:19" x14ac:dyDescent="0.25">
      <c r="K231" s="58"/>
      <c r="L231" s="59"/>
      <c r="M231" s="54"/>
      <c r="N231" s="55"/>
      <c r="P231" s="58"/>
      <c r="Q231" s="59"/>
      <c r="R231" s="54"/>
      <c r="S231" s="55"/>
    </row>
    <row r="232" spans="11:19" x14ac:dyDescent="0.25">
      <c r="K232" s="58"/>
      <c r="L232" s="59"/>
      <c r="M232" s="54"/>
      <c r="N232" s="55"/>
      <c r="P232" s="58"/>
      <c r="Q232" s="59"/>
      <c r="R232" s="54"/>
      <c r="S232" s="55"/>
    </row>
    <row r="233" spans="11:19" x14ac:dyDescent="0.25">
      <c r="K233" s="58"/>
      <c r="L233" s="59"/>
      <c r="M233" s="54"/>
      <c r="N233" s="55"/>
      <c r="P233" s="58"/>
      <c r="Q233" s="59"/>
      <c r="R233" s="54"/>
      <c r="S233" s="55"/>
    </row>
    <row r="234" spans="11:19" x14ac:dyDescent="0.25">
      <c r="K234" s="58"/>
      <c r="L234" s="59"/>
      <c r="M234" s="54"/>
      <c r="N234" s="55"/>
      <c r="P234" s="58"/>
      <c r="Q234" s="59"/>
      <c r="R234" s="54"/>
      <c r="S234" s="55"/>
    </row>
    <row r="235" spans="11:19" x14ac:dyDescent="0.25">
      <c r="K235" s="58"/>
      <c r="L235" s="59"/>
      <c r="M235" s="54"/>
      <c r="N235" s="55"/>
      <c r="P235" s="58"/>
      <c r="Q235" s="59"/>
      <c r="R235" s="54"/>
      <c r="S235" s="55"/>
    </row>
    <row r="236" spans="11:19" x14ac:dyDescent="0.25">
      <c r="K236" s="58"/>
      <c r="L236" s="59"/>
      <c r="M236" s="54"/>
      <c r="N236" s="55"/>
      <c r="P236" s="58"/>
      <c r="Q236" s="59"/>
      <c r="R236" s="54"/>
      <c r="S236" s="55"/>
    </row>
    <row r="237" spans="11:19" x14ac:dyDescent="0.25">
      <c r="K237" s="58"/>
      <c r="L237" s="59"/>
      <c r="M237" s="54"/>
      <c r="N237" s="55"/>
      <c r="P237" s="58"/>
      <c r="Q237" s="59"/>
      <c r="R237" s="54"/>
      <c r="S237" s="55"/>
    </row>
    <row r="238" spans="11:19" x14ac:dyDescent="0.25">
      <c r="K238" s="58"/>
      <c r="L238" s="59"/>
      <c r="M238" s="54"/>
      <c r="N238" s="55"/>
      <c r="P238" s="58"/>
      <c r="Q238" s="59"/>
      <c r="R238" s="54"/>
      <c r="S238" s="55"/>
    </row>
    <row r="239" spans="11:19" x14ac:dyDescent="0.25">
      <c r="K239" s="58"/>
      <c r="L239" s="59"/>
      <c r="M239" s="54"/>
      <c r="N239" s="55"/>
      <c r="P239" s="58"/>
      <c r="Q239" s="59"/>
      <c r="R239" s="54"/>
      <c r="S239" s="55"/>
    </row>
    <row r="240" spans="11:19" x14ac:dyDescent="0.25">
      <c r="K240" s="58"/>
      <c r="L240" s="59"/>
      <c r="M240" s="54"/>
      <c r="N240" s="55"/>
      <c r="P240" s="58"/>
      <c r="Q240" s="59"/>
      <c r="R240" s="54"/>
      <c r="S240" s="55"/>
    </row>
    <row r="241" spans="11:19" x14ac:dyDescent="0.25">
      <c r="K241" s="58"/>
      <c r="L241" s="59"/>
      <c r="M241" s="54"/>
      <c r="N241" s="55"/>
      <c r="P241" s="58"/>
      <c r="Q241" s="59"/>
      <c r="R241" s="54"/>
      <c r="S241" s="55"/>
    </row>
    <row r="242" spans="11:19" x14ac:dyDescent="0.25">
      <c r="K242" s="58"/>
      <c r="L242" s="59"/>
      <c r="M242" s="54"/>
      <c r="N242" s="55"/>
      <c r="P242" s="58"/>
      <c r="Q242" s="59"/>
      <c r="R242" s="54"/>
      <c r="S242" s="55"/>
    </row>
    <row r="243" spans="11:19" x14ac:dyDescent="0.25">
      <c r="K243" s="58"/>
      <c r="L243" s="59"/>
      <c r="M243" s="54"/>
      <c r="N243" s="55"/>
      <c r="P243" s="58"/>
      <c r="Q243" s="59"/>
      <c r="R243" s="54"/>
      <c r="S243" s="55"/>
    </row>
    <row r="244" spans="11:19" x14ac:dyDescent="0.25">
      <c r="K244" s="58"/>
      <c r="L244" s="59"/>
      <c r="M244" s="54"/>
      <c r="N244" s="55"/>
      <c r="P244" s="58"/>
      <c r="Q244" s="59"/>
      <c r="R244" s="54"/>
      <c r="S244" s="55"/>
    </row>
    <row r="245" spans="11:19" x14ac:dyDescent="0.25">
      <c r="K245" s="58"/>
      <c r="L245" s="59"/>
      <c r="M245" s="54"/>
      <c r="N245" s="55"/>
      <c r="P245" s="58"/>
      <c r="Q245" s="59"/>
      <c r="R245" s="54"/>
      <c r="S245" s="55"/>
    </row>
    <row r="246" spans="11:19" x14ac:dyDescent="0.25">
      <c r="K246" s="58"/>
      <c r="L246" s="59"/>
      <c r="M246" s="54"/>
      <c r="N246" s="55"/>
      <c r="P246" s="58"/>
      <c r="Q246" s="59"/>
      <c r="R246" s="54"/>
      <c r="S246" s="55"/>
    </row>
    <row r="247" spans="11:19" x14ac:dyDescent="0.25">
      <c r="K247" s="58"/>
      <c r="L247" s="59"/>
      <c r="M247" s="54"/>
      <c r="N247" s="55"/>
      <c r="P247" s="58"/>
      <c r="Q247" s="59"/>
      <c r="R247" s="54"/>
      <c r="S247" s="55"/>
    </row>
    <row r="248" spans="11:19" x14ac:dyDescent="0.25">
      <c r="K248" s="58"/>
      <c r="L248" s="59"/>
      <c r="M248" s="54"/>
      <c r="N248" s="55"/>
      <c r="P248" s="58"/>
      <c r="Q248" s="59"/>
      <c r="R248" s="54"/>
      <c r="S248" s="55"/>
    </row>
    <row r="249" spans="11:19" x14ac:dyDescent="0.25">
      <c r="K249" s="58"/>
      <c r="L249" s="59"/>
      <c r="M249" s="54"/>
      <c r="N249" s="55"/>
      <c r="P249" s="58"/>
      <c r="Q249" s="59"/>
      <c r="R249" s="54"/>
      <c r="S249" s="55"/>
    </row>
    <row r="250" spans="11:19" x14ac:dyDescent="0.25">
      <c r="K250" s="58"/>
      <c r="L250" s="59"/>
      <c r="M250" s="54"/>
      <c r="N250" s="55"/>
      <c r="P250" s="58"/>
      <c r="Q250" s="59"/>
      <c r="R250" s="54"/>
      <c r="S250" s="55"/>
    </row>
    <row r="251" spans="11:19" x14ac:dyDescent="0.25">
      <c r="K251" s="58"/>
      <c r="L251" s="59"/>
      <c r="M251" s="54"/>
      <c r="N251" s="55"/>
      <c r="P251" s="58"/>
      <c r="Q251" s="59"/>
      <c r="R251" s="54"/>
      <c r="S251" s="55"/>
    </row>
    <row r="252" spans="11:19" x14ac:dyDescent="0.25">
      <c r="K252" s="58"/>
      <c r="L252" s="59"/>
      <c r="M252" s="54"/>
      <c r="N252" s="55"/>
      <c r="P252" s="58"/>
      <c r="Q252" s="59"/>
      <c r="R252" s="54"/>
      <c r="S252" s="55"/>
    </row>
    <row r="253" spans="11:19" x14ac:dyDescent="0.25">
      <c r="K253" s="58"/>
      <c r="L253" s="59"/>
      <c r="M253" s="54"/>
      <c r="N253" s="55"/>
      <c r="P253" s="58"/>
      <c r="Q253" s="59"/>
      <c r="R253" s="54"/>
      <c r="S253" s="55"/>
    </row>
    <row r="254" spans="11:19" x14ac:dyDescent="0.25">
      <c r="K254" s="58"/>
      <c r="L254" s="59"/>
      <c r="M254" s="54"/>
      <c r="N254" s="55"/>
      <c r="P254" s="58"/>
      <c r="Q254" s="59"/>
      <c r="R254" s="54"/>
      <c r="S254" s="55"/>
    </row>
    <row r="255" spans="11:19" x14ac:dyDescent="0.25">
      <c r="K255" s="58"/>
      <c r="L255" s="59"/>
      <c r="M255" s="54"/>
      <c r="N255" s="55"/>
      <c r="P255" s="58"/>
      <c r="Q255" s="59"/>
      <c r="R255" s="54"/>
      <c r="S255" s="55"/>
    </row>
    <row r="256" spans="11:19" x14ac:dyDescent="0.25">
      <c r="K256" s="58"/>
      <c r="L256" s="59"/>
      <c r="M256" s="54"/>
      <c r="N256" s="55"/>
      <c r="P256" s="58"/>
      <c r="Q256" s="59"/>
      <c r="R256" s="54"/>
      <c r="S256" s="55"/>
    </row>
    <row r="257" spans="11:19" x14ac:dyDescent="0.25">
      <c r="K257" s="58"/>
      <c r="L257" s="59"/>
      <c r="M257" s="54"/>
      <c r="N257" s="55"/>
      <c r="P257" s="58"/>
      <c r="Q257" s="59"/>
      <c r="R257" s="54"/>
      <c r="S257" s="55"/>
    </row>
    <row r="258" spans="11:19" x14ac:dyDescent="0.25">
      <c r="K258" s="58"/>
      <c r="L258" s="59"/>
      <c r="M258" s="54"/>
      <c r="N258" s="55"/>
      <c r="P258" s="58"/>
      <c r="Q258" s="59"/>
      <c r="R258" s="54"/>
      <c r="S258" s="55"/>
    </row>
    <row r="259" spans="11:19" x14ac:dyDescent="0.25">
      <c r="K259" s="58"/>
      <c r="L259" s="59"/>
      <c r="M259" s="54"/>
      <c r="N259" s="55"/>
      <c r="P259" s="58"/>
      <c r="Q259" s="59"/>
      <c r="R259" s="54"/>
      <c r="S259" s="55"/>
    </row>
    <row r="260" spans="11:19" x14ac:dyDescent="0.25">
      <c r="K260" s="58"/>
      <c r="L260" s="59"/>
      <c r="M260" s="54"/>
      <c r="N260" s="55"/>
      <c r="P260" s="58"/>
      <c r="Q260" s="59"/>
      <c r="R260" s="54"/>
      <c r="S260" s="55"/>
    </row>
    <row r="261" spans="11:19" x14ac:dyDescent="0.25">
      <c r="K261" s="58"/>
      <c r="L261" s="59"/>
      <c r="M261" s="54"/>
      <c r="N261" s="55"/>
      <c r="P261" s="58"/>
      <c r="Q261" s="59"/>
      <c r="R261" s="54"/>
      <c r="S261" s="55"/>
    </row>
    <row r="262" spans="11:19" x14ac:dyDescent="0.25">
      <c r="K262" s="58"/>
      <c r="L262" s="59"/>
      <c r="M262" s="54"/>
      <c r="N262" s="55"/>
      <c r="P262" s="58"/>
      <c r="Q262" s="59"/>
      <c r="R262" s="54"/>
      <c r="S262" s="55"/>
    </row>
    <row r="263" spans="11:19" x14ac:dyDescent="0.25">
      <c r="K263" s="58"/>
      <c r="L263" s="59"/>
      <c r="M263" s="54"/>
      <c r="N263" s="55"/>
      <c r="P263" s="58"/>
      <c r="Q263" s="59"/>
      <c r="R263" s="54"/>
      <c r="S263" s="55"/>
    </row>
    <row r="264" spans="11:19" x14ac:dyDescent="0.25">
      <c r="K264" s="58"/>
      <c r="L264" s="59"/>
      <c r="M264" s="54"/>
      <c r="N264" s="55"/>
      <c r="P264" s="58"/>
      <c r="Q264" s="59"/>
      <c r="R264" s="54"/>
      <c r="S264" s="55"/>
    </row>
    <row r="265" spans="11:19" x14ac:dyDescent="0.25">
      <c r="K265" s="58"/>
      <c r="L265" s="59"/>
      <c r="M265" s="54"/>
      <c r="N265" s="55"/>
      <c r="P265" s="58"/>
      <c r="Q265" s="59"/>
      <c r="R265" s="54"/>
      <c r="S265" s="55"/>
    </row>
    <row r="266" spans="11:19" x14ac:dyDescent="0.25">
      <c r="K266" s="58"/>
      <c r="L266" s="59"/>
      <c r="M266" s="54"/>
      <c r="N266" s="55"/>
      <c r="P266" s="58"/>
      <c r="Q266" s="59"/>
      <c r="R266" s="54"/>
      <c r="S266" s="55"/>
    </row>
    <row r="267" spans="11:19" x14ac:dyDescent="0.25">
      <c r="K267" s="58"/>
      <c r="L267" s="59"/>
      <c r="M267" s="54"/>
      <c r="N267" s="55"/>
      <c r="P267" s="58"/>
      <c r="Q267" s="59"/>
      <c r="R267" s="54"/>
      <c r="S267" s="55"/>
    </row>
    <row r="268" spans="11:19" x14ac:dyDescent="0.25">
      <c r="K268" s="58"/>
      <c r="L268" s="59"/>
      <c r="M268" s="54"/>
      <c r="N268" s="55"/>
      <c r="P268" s="58"/>
      <c r="Q268" s="59"/>
      <c r="R268" s="54"/>
      <c r="S268" s="55"/>
    </row>
    <row r="269" spans="11:19" x14ac:dyDescent="0.25">
      <c r="K269" s="58"/>
      <c r="L269" s="59"/>
      <c r="M269" s="54"/>
      <c r="N269" s="55"/>
      <c r="P269" s="58"/>
      <c r="Q269" s="59"/>
      <c r="R269" s="54"/>
      <c r="S269" s="55"/>
    </row>
    <row r="270" spans="11:19" x14ac:dyDescent="0.25">
      <c r="K270" s="58"/>
      <c r="L270" s="59"/>
      <c r="M270" s="54"/>
      <c r="N270" s="55"/>
      <c r="P270" s="58"/>
      <c r="Q270" s="59"/>
      <c r="R270" s="54"/>
      <c r="S270" s="55"/>
    </row>
    <row r="271" spans="11:19" x14ac:dyDescent="0.25">
      <c r="K271" s="58"/>
      <c r="L271" s="59"/>
      <c r="M271" s="54"/>
      <c r="N271" s="55"/>
      <c r="P271" s="58"/>
      <c r="Q271" s="59"/>
      <c r="R271" s="54"/>
      <c r="S271" s="55"/>
    </row>
    <row r="272" spans="11:19" x14ac:dyDescent="0.25">
      <c r="K272" s="58"/>
      <c r="L272" s="59"/>
      <c r="M272" s="54"/>
      <c r="N272" s="55"/>
      <c r="P272" s="58"/>
      <c r="Q272" s="59"/>
      <c r="R272" s="54"/>
      <c r="S272" s="55"/>
    </row>
    <row r="273" spans="11:19" x14ac:dyDescent="0.25">
      <c r="K273" s="58"/>
      <c r="L273" s="59"/>
      <c r="M273" s="54"/>
      <c r="N273" s="55"/>
      <c r="P273" s="58"/>
      <c r="Q273" s="59"/>
      <c r="R273" s="54"/>
      <c r="S273" s="55"/>
    </row>
    <row r="274" spans="11:19" x14ac:dyDescent="0.25">
      <c r="K274" s="58"/>
      <c r="L274" s="59"/>
      <c r="M274" s="54"/>
      <c r="N274" s="55"/>
      <c r="P274" s="58"/>
      <c r="Q274" s="59"/>
      <c r="R274" s="54"/>
      <c r="S274" s="55"/>
    </row>
    <row r="275" spans="11:19" x14ac:dyDescent="0.25">
      <c r="K275" s="58"/>
      <c r="L275" s="59"/>
      <c r="M275" s="54"/>
      <c r="N275" s="55"/>
      <c r="P275" s="58"/>
      <c r="Q275" s="59"/>
      <c r="R275" s="54"/>
      <c r="S275" s="55"/>
    </row>
    <row r="276" spans="11:19" x14ac:dyDescent="0.25">
      <c r="K276" s="58"/>
      <c r="L276" s="59"/>
      <c r="M276" s="54"/>
      <c r="N276" s="55"/>
      <c r="P276" s="58"/>
      <c r="Q276" s="59"/>
      <c r="R276" s="54"/>
      <c r="S276" s="55"/>
    </row>
    <row r="277" spans="11:19" x14ac:dyDescent="0.25">
      <c r="K277" s="58"/>
      <c r="L277" s="59"/>
      <c r="M277" s="54"/>
      <c r="N277" s="55"/>
      <c r="P277" s="58"/>
      <c r="Q277" s="59"/>
      <c r="R277" s="54"/>
      <c r="S277" s="55"/>
    </row>
    <row r="278" spans="11:19" x14ac:dyDescent="0.25">
      <c r="K278" s="58"/>
      <c r="L278" s="59"/>
      <c r="M278" s="54"/>
      <c r="N278" s="55"/>
      <c r="P278" s="58"/>
      <c r="Q278" s="59"/>
      <c r="R278" s="54"/>
      <c r="S278" s="55"/>
    </row>
    <row r="279" spans="11:19" x14ac:dyDescent="0.25">
      <c r="K279" s="58"/>
      <c r="L279" s="59"/>
      <c r="M279" s="54"/>
      <c r="N279" s="55"/>
      <c r="P279" s="58"/>
      <c r="Q279" s="59"/>
      <c r="R279" s="54"/>
      <c r="S279" s="55"/>
    </row>
    <row r="280" spans="11:19" x14ac:dyDescent="0.25">
      <c r="K280" s="58"/>
      <c r="L280" s="59"/>
      <c r="M280" s="54"/>
      <c r="N280" s="55"/>
      <c r="P280" s="58"/>
      <c r="Q280" s="59"/>
      <c r="R280" s="54"/>
      <c r="S280" s="55"/>
    </row>
    <row r="281" spans="11:19" x14ac:dyDescent="0.25">
      <c r="K281" s="58"/>
      <c r="L281" s="59"/>
      <c r="M281" s="54"/>
      <c r="N281" s="55"/>
      <c r="P281" s="58"/>
      <c r="Q281" s="59"/>
      <c r="R281" s="54"/>
      <c r="S281" s="55"/>
    </row>
    <row r="282" spans="11:19" x14ac:dyDescent="0.25">
      <c r="K282" s="58"/>
      <c r="L282" s="59"/>
      <c r="M282" s="54"/>
      <c r="N282" s="55"/>
      <c r="P282" s="58"/>
      <c r="Q282" s="59"/>
      <c r="R282" s="54"/>
      <c r="S282" s="55"/>
    </row>
    <row r="283" spans="11:19" x14ac:dyDescent="0.25">
      <c r="K283" s="58"/>
      <c r="L283" s="59"/>
      <c r="M283" s="54"/>
      <c r="N283" s="55"/>
      <c r="P283" s="58"/>
      <c r="Q283" s="59"/>
      <c r="R283" s="54"/>
      <c r="S283" s="55"/>
    </row>
    <row r="284" spans="11:19" x14ac:dyDescent="0.25">
      <c r="K284" s="58"/>
      <c r="L284" s="59"/>
      <c r="M284" s="54"/>
      <c r="N284" s="55"/>
      <c r="P284" s="58"/>
      <c r="Q284" s="59"/>
      <c r="R284" s="54"/>
      <c r="S284" s="55"/>
    </row>
    <row r="285" spans="11:19" x14ac:dyDescent="0.25">
      <c r="K285" s="58"/>
      <c r="L285" s="59"/>
      <c r="M285" s="54"/>
      <c r="N285" s="55"/>
      <c r="P285" s="58"/>
      <c r="Q285" s="59"/>
      <c r="R285" s="54"/>
      <c r="S285" s="55"/>
    </row>
    <row r="286" spans="11:19" x14ac:dyDescent="0.25">
      <c r="K286" s="58"/>
      <c r="L286" s="59"/>
      <c r="M286" s="54"/>
      <c r="N286" s="55"/>
      <c r="P286" s="58"/>
      <c r="Q286" s="59"/>
      <c r="R286" s="54"/>
      <c r="S286" s="55"/>
    </row>
    <row r="287" spans="11:19" x14ac:dyDescent="0.25">
      <c r="K287" s="58"/>
      <c r="L287" s="59"/>
      <c r="M287" s="54"/>
      <c r="N287" s="55"/>
      <c r="P287" s="58"/>
      <c r="Q287" s="59"/>
      <c r="R287" s="54"/>
      <c r="S287" s="55"/>
    </row>
    <row r="288" spans="11:19" x14ac:dyDescent="0.25">
      <c r="K288" s="58"/>
      <c r="L288" s="59"/>
      <c r="M288" s="54"/>
      <c r="N288" s="55"/>
      <c r="P288" s="58"/>
      <c r="Q288" s="59"/>
      <c r="R288" s="54"/>
      <c r="S288" s="55"/>
    </row>
    <row r="289" spans="11:19" x14ac:dyDescent="0.25">
      <c r="K289" s="58"/>
      <c r="L289" s="59"/>
      <c r="M289" s="54"/>
      <c r="N289" s="55"/>
      <c r="P289" s="58"/>
      <c r="Q289" s="59"/>
      <c r="R289" s="54"/>
      <c r="S289" s="55"/>
    </row>
    <row r="290" spans="11:19" x14ac:dyDescent="0.25">
      <c r="K290" s="58"/>
      <c r="L290" s="59"/>
      <c r="M290" s="54"/>
      <c r="N290" s="55"/>
      <c r="P290" s="58"/>
      <c r="Q290" s="59"/>
      <c r="R290" s="54"/>
      <c r="S290" s="55"/>
    </row>
    <row r="291" spans="11:19" x14ac:dyDescent="0.25">
      <c r="K291" s="58"/>
      <c r="L291" s="59"/>
      <c r="M291" s="54"/>
      <c r="N291" s="55"/>
      <c r="P291" s="58"/>
      <c r="Q291" s="59"/>
      <c r="R291" s="54"/>
      <c r="S291" s="55"/>
    </row>
    <row r="292" spans="11:19" x14ac:dyDescent="0.25">
      <c r="K292" s="58"/>
      <c r="L292" s="59"/>
      <c r="M292" s="54"/>
      <c r="N292" s="55"/>
      <c r="P292" s="58"/>
      <c r="Q292" s="59"/>
      <c r="R292" s="54"/>
      <c r="S292" s="55"/>
    </row>
    <row r="293" spans="11:19" x14ac:dyDescent="0.25">
      <c r="K293" s="58"/>
      <c r="L293" s="59"/>
      <c r="M293" s="54"/>
      <c r="N293" s="55"/>
      <c r="P293" s="58"/>
      <c r="Q293" s="59"/>
      <c r="R293" s="54"/>
      <c r="S293" s="55"/>
    </row>
    <row r="294" spans="11:19" x14ac:dyDescent="0.25">
      <c r="K294" s="58"/>
      <c r="L294" s="59"/>
      <c r="M294" s="54"/>
      <c r="N294" s="55"/>
      <c r="P294" s="58"/>
      <c r="Q294" s="59"/>
      <c r="R294" s="54"/>
      <c r="S294" s="55"/>
    </row>
    <row r="295" spans="11:19" x14ac:dyDescent="0.25">
      <c r="K295" s="58"/>
      <c r="L295" s="59"/>
      <c r="M295" s="54"/>
      <c r="N295" s="55"/>
      <c r="P295" s="58"/>
      <c r="Q295" s="59"/>
      <c r="R295" s="54"/>
      <c r="S295" s="55"/>
    </row>
    <row r="296" spans="11:19" x14ac:dyDescent="0.25">
      <c r="K296" s="58"/>
      <c r="L296" s="59"/>
      <c r="M296" s="54"/>
      <c r="N296" s="55"/>
      <c r="P296" s="58"/>
      <c r="Q296" s="59"/>
      <c r="R296" s="54"/>
      <c r="S296" s="55"/>
    </row>
    <row r="297" spans="11:19" x14ac:dyDescent="0.25">
      <c r="K297" s="58"/>
      <c r="L297" s="59"/>
      <c r="M297" s="54"/>
      <c r="N297" s="55"/>
      <c r="P297" s="58"/>
      <c r="Q297" s="59"/>
      <c r="R297" s="54"/>
      <c r="S297" s="55"/>
    </row>
    <row r="298" spans="11:19" x14ac:dyDescent="0.25">
      <c r="K298" s="58"/>
      <c r="L298" s="59"/>
      <c r="M298" s="54"/>
      <c r="N298" s="55"/>
      <c r="P298" s="58"/>
      <c r="Q298" s="59"/>
      <c r="R298" s="54"/>
      <c r="S298" s="55"/>
    </row>
    <row r="299" spans="11:19" x14ac:dyDescent="0.25">
      <c r="K299" s="58"/>
      <c r="L299" s="59"/>
      <c r="M299" s="54"/>
      <c r="N299" s="55"/>
      <c r="P299" s="58"/>
      <c r="Q299" s="59"/>
      <c r="R299" s="54"/>
      <c r="S299" s="55"/>
    </row>
    <row r="300" spans="11:19" x14ac:dyDescent="0.25">
      <c r="K300" s="58"/>
      <c r="L300" s="59"/>
      <c r="M300" s="54"/>
      <c r="N300" s="55"/>
      <c r="P300" s="58"/>
      <c r="Q300" s="59"/>
      <c r="R300" s="54"/>
      <c r="S300" s="55"/>
    </row>
    <row r="301" spans="11:19" x14ac:dyDescent="0.25">
      <c r="K301" s="58"/>
      <c r="L301" s="59"/>
      <c r="M301" s="54"/>
      <c r="N301" s="55"/>
      <c r="P301" s="58"/>
      <c r="Q301" s="59"/>
      <c r="R301" s="54"/>
      <c r="S301" s="55"/>
    </row>
    <row r="302" spans="11:19" x14ac:dyDescent="0.25">
      <c r="K302" s="58"/>
      <c r="L302" s="59"/>
      <c r="M302" s="54"/>
      <c r="N302" s="55"/>
      <c r="P302" s="58"/>
      <c r="Q302" s="59"/>
      <c r="R302" s="54"/>
      <c r="S302" s="55"/>
    </row>
    <row r="303" spans="11:19" x14ac:dyDescent="0.25">
      <c r="K303" s="58"/>
      <c r="L303" s="59"/>
      <c r="M303" s="54"/>
      <c r="N303" s="55"/>
      <c r="P303" s="58"/>
      <c r="Q303" s="59"/>
      <c r="R303" s="54"/>
      <c r="S303" s="55"/>
    </row>
    <row r="304" spans="11:19" x14ac:dyDescent="0.25">
      <c r="K304" s="58"/>
      <c r="L304" s="59"/>
      <c r="M304" s="54"/>
      <c r="N304" s="55"/>
      <c r="P304" s="58"/>
      <c r="Q304" s="59"/>
      <c r="R304" s="54"/>
      <c r="S304" s="55"/>
    </row>
    <row r="305" spans="11:19" x14ac:dyDescent="0.25">
      <c r="K305" s="58"/>
      <c r="L305" s="59"/>
      <c r="M305" s="54"/>
      <c r="N305" s="55"/>
      <c r="P305" s="58"/>
      <c r="Q305" s="59"/>
      <c r="R305" s="54"/>
      <c r="S305" s="55"/>
    </row>
    <row r="306" spans="11:19" x14ac:dyDescent="0.25">
      <c r="K306" s="58"/>
      <c r="L306" s="59"/>
      <c r="M306" s="54"/>
      <c r="N306" s="55"/>
      <c r="P306" s="58"/>
      <c r="Q306" s="59"/>
      <c r="R306" s="54"/>
      <c r="S306" s="55"/>
    </row>
    <row r="307" spans="11:19" x14ac:dyDescent="0.25">
      <c r="K307" s="58"/>
      <c r="L307" s="59"/>
      <c r="M307" s="54"/>
      <c r="N307" s="55"/>
      <c r="P307" s="58"/>
      <c r="Q307" s="59"/>
      <c r="R307" s="54"/>
      <c r="S307" s="55"/>
    </row>
    <row r="308" spans="11:19" x14ac:dyDescent="0.25">
      <c r="K308" s="58"/>
      <c r="L308" s="59"/>
      <c r="M308" s="54"/>
      <c r="N308" s="55"/>
      <c r="P308" s="58"/>
      <c r="Q308" s="59"/>
      <c r="R308" s="54"/>
      <c r="S308" s="55"/>
    </row>
    <row r="309" spans="11:19" x14ac:dyDescent="0.25">
      <c r="K309" s="58"/>
      <c r="L309" s="59"/>
      <c r="M309" s="54"/>
      <c r="N309" s="55"/>
      <c r="P309" s="58"/>
      <c r="Q309" s="59"/>
      <c r="R309" s="54"/>
      <c r="S309" s="55"/>
    </row>
    <row r="310" spans="11:19" x14ac:dyDescent="0.25">
      <c r="K310" s="58"/>
      <c r="L310" s="59"/>
      <c r="M310" s="54"/>
      <c r="N310" s="55"/>
      <c r="P310" s="58"/>
      <c r="Q310" s="59"/>
      <c r="R310" s="54"/>
      <c r="S310" s="55"/>
    </row>
    <row r="311" spans="11:19" x14ac:dyDescent="0.25">
      <c r="K311" s="58"/>
      <c r="L311" s="59"/>
      <c r="M311" s="54"/>
      <c r="N311" s="55"/>
      <c r="P311" s="58"/>
      <c r="Q311" s="59"/>
      <c r="R311" s="54"/>
      <c r="S311" s="55"/>
    </row>
    <row r="312" spans="11:19" x14ac:dyDescent="0.25">
      <c r="K312" s="58"/>
      <c r="L312" s="59"/>
      <c r="M312" s="54"/>
      <c r="N312" s="55"/>
      <c r="P312" s="58"/>
      <c r="Q312" s="59"/>
      <c r="R312" s="54"/>
      <c r="S312" s="55"/>
    </row>
    <row r="313" spans="11:19" x14ac:dyDescent="0.25">
      <c r="K313" s="58"/>
      <c r="L313" s="59"/>
      <c r="M313" s="54"/>
      <c r="N313" s="55"/>
      <c r="P313" s="58"/>
      <c r="Q313" s="59"/>
      <c r="R313" s="54"/>
      <c r="S313" s="55"/>
    </row>
    <row r="314" spans="11:19" x14ac:dyDescent="0.25">
      <c r="K314" s="58"/>
      <c r="L314" s="59"/>
      <c r="M314" s="54"/>
      <c r="N314" s="55"/>
      <c r="P314" s="58"/>
      <c r="Q314" s="59"/>
      <c r="R314" s="54"/>
      <c r="S314" s="55"/>
    </row>
    <row r="315" spans="11:19" x14ac:dyDescent="0.25">
      <c r="K315" s="58"/>
      <c r="L315" s="59"/>
      <c r="M315" s="54"/>
      <c r="N315" s="55"/>
      <c r="P315" s="58"/>
      <c r="Q315" s="59"/>
      <c r="R315" s="54"/>
      <c r="S315" s="55"/>
    </row>
    <row r="316" spans="11:19" x14ac:dyDescent="0.25">
      <c r="K316" s="58"/>
      <c r="L316" s="59"/>
      <c r="M316" s="54"/>
      <c r="N316" s="55"/>
      <c r="P316" s="58"/>
      <c r="Q316" s="59"/>
      <c r="R316" s="54"/>
      <c r="S316" s="55"/>
    </row>
    <row r="317" spans="11:19" x14ac:dyDescent="0.25">
      <c r="K317" s="58"/>
      <c r="L317" s="59"/>
      <c r="M317" s="54"/>
      <c r="N317" s="55"/>
      <c r="P317" s="58"/>
      <c r="Q317" s="59"/>
      <c r="R317" s="54"/>
      <c r="S317" s="55"/>
    </row>
    <row r="318" spans="11:19" x14ac:dyDescent="0.25">
      <c r="K318" s="58"/>
      <c r="L318" s="59"/>
      <c r="M318" s="54"/>
      <c r="N318" s="55"/>
      <c r="P318" s="58"/>
      <c r="Q318" s="59"/>
      <c r="R318" s="54"/>
      <c r="S318" s="55"/>
    </row>
    <row r="319" spans="11:19" x14ac:dyDescent="0.25">
      <c r="K319" s="58"/>
      <c r="L319" s="59"/>
      <c r="M319" s="54"/>
      <c r="N319" s="55"/>
      <c r="P319" s="58"/>
      <c r="Q319" s="59"/>
      <c r="R319" s="54"/>
      <c r="S319" s="55"/>
    </row>
    <row r="320" spans="11:19" x14ac:dyDescent="0.25">
      <c r="K320" s="58"/>
      <c r="L320" s="59"/>
      <c r="M320" s="54"/>
      <c r="N320" s="55"/>
      <c r="P320" s="58"/>
      <c r="Q320" s="59"/>
      <c r="R320" s="54"/>
      <c r="S320" s="55"/>
    </row>
    <row r="321" spans="11:19" x14ac:dyDescent="0.25">
      <c r="K321" s="58"/>
      <c r="L321" s="59"/>
      <c r="M321" s="54"/>
      <c r="N321" s="55"/>
      <c r="P321" s="58"/>
      <c r="Q321" s="59"/>
      <c r="R321" s="54"/>
      <c r="S321" s="55"/>
    </row>
    <row r="322" spans="11:19" x14ac:dyDescent="0.25">
      <c r="K322" s="58"/>
      <c r="L322" s="59"/>
      <c r="M322" s="54"/>
      <c r="N322" s="55"/>
      <c r="P322" s="58"/>
      <c r="Q322" s="59"/>
      <c r="R322" s="54"/>
      <c r="S322" s="55"/>
    </row>
    <row r="323" spans="11:19" x14ac:dyDescent="0.25">
      <c r="K323" s="58"/>
      <c r="L323" s="59"/>
      <c r="M323" s="54"/>
      <c r="N323" s="55"/>
      <c r="P323" s="58"/>
      <c r="Q323" s="59"/>
      <c r="R323" s="54"/>
      <c r="S323" s="55"/>
    </row>
    <row r="324" spans="11:19" x14ac:dyDescent="0.25">
      <c r="K324" s="58"/>
      <c r="L324" s="59"/>
      <c r="M324" s="54"/>
      <c r="N324" s="55"/>
      <c r="P324" s="58"/>
      <c r="Q324" s="59"/>
      <c r="R324" s="54"/>
      <c r="S324" s="55"/>
    </row>
    <row r="325" spans="11:19" x14ac:dyDescent="0.25">
      <c r="K325" s="58"/>
      <c r="L325" s="59"/>
      <c r="M325" s="54"/>
      <c r="N325" s="55"/>
      <c r="P325" s="58"/>
      <c r="Q325" s="59"/>
      <c r="R325" s="54"/>
      <c r="S325" s="55"/>
    </row>
    <row r="326" spans="11:19" x14ac:dyDescent="0.25">
      <c r="K326" s="58"/>
      <c r="L326" s="59"/>
      <c r="M326" s="54"/>
      <c r="N326" s="55"/>
      <c r="P326" s="58"/>
      <c r="Q326" s="59"/>
      <c r="R326" s="54"/>
      <c r="S326" s="55"/>
    </row>
    <row r="327" spans="11:19" x14ac:dyDescent="0.25">
      <c r="K327" s="58"/>
      <c r="L327" s="59"/>
      <c r="M327" s="54"/>
      <c r="N327" s="55"/>
      <c r="P327" s="58"/>
      <c r="Q327" s="59"/>
      <c r="R327" s="54"/>
      <c r="S327" s="55"/>
    </row>
    <row r="328" spans="11:19" x14ac:dyDescent="0.25">
      <c r="K328" s="58"/>
      <c r="L328" s="59"/>
      <c r="M328" s="54"/>
      <c r="N328" s="55"/>
      <c r="P328" s="58"/>
      <c r="Q328" s="59"/>
      <c r="R328" s="54"/>
      <c r="S328" s="55"/>
    </row>
    <row r="329" spans="11:19" x14ac:dyDescent="0.25">
      <c r="K329" s="58"/>
      <c r="L329" s="59"/>
      <c r="M329" s="54"/>
      <c r="N329" s="55"/>
      <c r="P329" s="58"/>
      <c r="Q329" s="59"/>
      <c r="R329" s="54"/>
      <c r="S329" s="55"/>
    </row>
    <row r="330" spans="11:19" x14ac:dyDescent="0.25">
      <c r="K330" s="58"/>
      <c r="L330" s="59"/>
      <c r="M330" s="54"/>
      <c r="N330" s="55"/>
      <c r="P330" s="58"/>
      <c r="Q330" s="59"/>
      <c r="R330" s="54"/>
      <c r="S330" s="55"/>
    </row>
    <row r="331" spans="11:19" x14ac:dyDescent="0.25">
      <c r="K331" s="58"/>
      <c r="L331" s="59"/>
      <c r="M331" s="54"/>
      <c r="N331" s="55"/>
      <c r="P331" s="58"/>
      <c r="Q331" s="59"/>
      <c r="R331" s="54"/>
      <c r="S331" s="55"/>
    </row>
    <row r="332" spans="11:19" x14ac:dyDescent="0.25">
      <c r="K332" s="58"/>
      <c r="L332" s="59"/>
      <c r="M332" s="54"/>
      <c r="N332" s="55"/>
      <c r="P332" s="58"/>
      <c r="Q332" s="59"/>
      <c r="R332" s="54"/>
      <c r="S332" s="55"/>
    </row>
    <row r="333" spans="11:19" x14ac:dyDescent="0.25">
      <c r="K333" s="58"/>
      <c r="L333" s="59"/>
      <c r="M333" s="54"/>
      <c r="N333" s="55"/>
      <c r="P333" s="58"/>
      <c r="Q333" s="59"/>
      <c r="R333" s="54"/>
      <c r="S333" s="55"/>
    </row>
    <row r="334" spans="11:19" x14ac:dyDescent="0.25">
      <c r="K334" s="58"/>
      <c r="L334" s="59"/>
      <c r="M334" s="54"/>
      <c r="N334" s="55"/>
      <c r="P334" s="58"/>
      <c r="Q334" s="59"/>
      <c r="R334" s="54"/>
      <c r="S334" s="55"/>
    </row>
    <row r="335" spans="11:19" x14ac:dyDescent="0.25">
      <c r="K335" s="58"/>
      <c r="L335" s="59"/>
      <c r="M335" s="54"/>
      <c r="N335" s="55"/>
      <c r="P335" s="58"/>
      <c r="Q335" s="59"/>
      <c r="R335" s="54"/>
      <c r="S335" s="55"/>
    </row>
    <row r="336" spans="11:19" x14ac:dyDescent="0.25">
      <c r="K336" s="58"/>
      <c r="L336" s="59"/>
      <c r="M336" s="54"/>
      <c r="N336" s="55"/>
      <c r="P336" s="58"/>
      <c r="Q336" s="59"/>
      <c r="R336" s="54"/>
      <c r="S336" s="55"/>
    </row>
    <row r="337" spans="11:19" x14ac:dyDescent="0.25">
      <c r="K337" s="58"/>
      <c r="L337" s="59"/>
      <c r="M337" s="54"/>
      <c r="N337" s="55"/>
      <c r="P337" s="58"/>
      <c r="Q337" s="59"/>
      <c r="R337" s="54"/>
      <c r="S337" s="55"/>
    </row>
    <row r="338" spans="11:19" x14ac:dyDescent="0.25">
      <c r="K338" s="58"/>
      <c r="L338" s="59"/>
      <c r="M338" s="54"/>
      <c r="N338" s="55"/>
      <c r="P338" s="58"/>
      <c r="Q338" s="59"/>
      <c r="R338" s="54"/>
      <c r="S338" s="55"/>
    </row>
    <row r="339" spans="11:19" x14ac:dyDescent="0.25">
      <c r="K339" s="58"/>
      <c r="L339" s="59"/>
      <c r="M339" s="54"/>
      <c r="N339" s="55"/>
      <c r="P339" s="58"/>
      <c r="Q339" s="59"/>
      <c r="R339" s="54"/>
      <c r="S339" s="55"/>
    </row>
    <row r="340" spans="11:19" x14ac:dyDescent="0.25">
      <c r="K340" s="58"/>
      <c r="L340" s="59"/>
      <c r="M340" s="54"/>
      <c r="N340" s="55"/>
      <c r="P340" s="58"/>
      <c r="Q340" s="59"/>
      <c r="R340" s="54"/>
      <c r="S340" s="55"/>
    </row>
    <row r="341" spans="11:19" x14ac:dyDescent="0.25">
      <c r="K341" s="58"/>
      <c r="L341" s="59"/>
      <c r="M341" s="54"/>
      <c r="N341" s="55"/>
      <c r="P341" s="58"/>
      <c r="Q341" s="59"/>
      <c r="R341" s="54"/>
      <c r="S341" s="55"/>
    </row>
    <row r="342" spans="11:19" x14ac:dyDescent="0.25">
      <c r="K342" s="58"/>
      <c r="L342" s="59"/>
      <c r="M342" s="54"/>
      <c r="N342" s="55"/>
      <c r="P342" s="58"/>
      <c r="Q342" s="59"/>
      <c r="R342" s="54"/>
      <c r="S342" s="55"/>
    </row>
    <row r="343" spans="11:19" x14ac:dyDescent="0.25">
      <c r="K343" s="58"/>
      <c r="L343" s="59"/>
      <c r="M343" s="54"/>
      <c r="N343" s="55"/>
      <c r="P343" s="58"/>
      <c r="Q343" s="59"/>
      <c r="R343" s="54"/>
      <c r="S343" s="55"/>
    </row>
    <row r="344" spans="11:19" x14ac:dyDescent="0.25">
      <c r="K344" s="58"/>
      <c r="L344" s="59"/>
      <c r="M344" s="54"/>
      <c r="N344" s="55"/>
      <c r="P344" s="58"/>
      <c r="Q344" s="59"/>
      <c r="R344" s="54"/>
      <c r="S344" s="55"/>
    </row>
    <row r="345" spans="11:19" x14ac:dyDescent="0.25">
      <c r="K345" s="58"/>
      <c r="L345" s="59"/>
      <c r="M345" s="54"/>
      <c r="N345" s="55"/>
      <c r="P345" s="58"/>
      <c r="Q345" s="59"/>
      <c r="R345" s="54"/>
      <c r="S345" s="55"/>
    </row>
    <row r="346" spans="11:19" x14ac:dyDescent="0.25">
      <c r="K346" s="58"/>
      <c r="L346" s="59"/>
      <c r="M346" s="54"/>
      <c r="N346" s="55"/>
      <c r="P346" s="58"/>
      <c r="Q346" s="59"/>
      <c r="R346" s="54"/>
      <c r="S346" s="55"/>
    </row>
    <row r="347" spans="11:19" x14ac:dyDescent="0.25">
      <c r="K347" s="58"/>
      <c r="L347" s="59"/>
      <c r="M347" s="54"/>
      <c r="N347" s="55"/>
      <c r="P347" s="58"/>
      <c r="Q347" s="59"/>
      <c r="R347" s="54"/>
      <c r="S347" s="55"/>
    </row>
    <row r="348" spans="11:19" ht="15.75" thickBot="1" x14ac:dyDescent="0.3">
      <c r="K348" s="60"/>
      <c r="L348" s="61"/>
      <c r="M348" s="56"/>
      <c r="N348" s="57"/>
      <c r="P348" s="60"/>
      <c r="Q348" s="61"/>
      <c r="R348" s="56"/>
      <c r="S348" s="57"/>
    </row>
  </sheetData>
  <mergeCells count="4">
    <mergeCell ref="A8:D8"/>
    <mergeCell ref="F8:I8"/>
    <mergeCell ref="K8:N8"/>
    <mergeCell ref="P8:S8"/>
  </mergeCells>
  <conditionalFormatting sqref="G3">
    <cfRule type="cellIs" dxfId="69" priority="5" operator="greaterThan">
      <formula>$J$4</formula>
    </cfRule>
  </conditionalFormatting>
  <conditionalFormatting sqref="T5">
    <cfRule type="cellIs" dxfId="68" priority="1" operator="greaterThan">
      <formula>$T$6</formula>
    </cfRule>
    <cfRule type="cellIs" dxfId="67" priority="4" operator="lessThan">
      <formula>$T$6</formula>
    </cfRule>
  </conditionalFormatting>
  <conditionalFormatting sqref="T6">
    <cfRule type="cellIs" dxfId="66" priority="2" operator="greaterThan">
      <formula>$T$5</formula>
    </cfRule>
    <cfRule type="cellIs" dxfId="65" priority="3" operator="lessThan">
      <formula>$T$5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D5854A-62A9-44D1-8B4D-879409322FAD}">
  <sheetPr codeName="Sheet39"/>
  <dimension ref="A1:T348"/>
  <sheetViews>
    <sheetView zoomScale="90" zoomScaleNormal="90" workbookViewId="0">
      <pane ySplit="9" topLeftCell="A10" activePane="bottomLeft" state="frozen"/>
      <selection pane="bottomLeft" activeCell="A26" sqref="A26"/>
    </sheetView>
  </sheetViews>
  <sheetFormatPr baseColWidth="10" defaultColWidth="9.140625" defaultRowHeight="15" x14ac:dyDescent="0.25"/>
  <cols>
    <col min="2" max="2" width="11.85546875" bestFit="1" customWidth="1"/>
    <col min="3" max="3" width="17.140625" bestFit="1" customWidth="1"/>
    <col min="4" max="4" width="14.5703125" customWidth="1"/>
    <col min="5" max="7" width="14.5703125" bestFit="1" customWidth="1"/>
    <col min="8" max="8" width="18.7109375" bestFit="1" customWidth="1"/>
    <col min="9" max="9" width="16.28515625" bestFit="1" customWidth="1"/>
    <col min="10" max="10" width="14" bestFit="1" customWidth="1"/>
    <col min="12" max="12" width="11.85546875" bestFit="1" customWidth="1"/>
    <col min="13" max="13" width="17.140625" bestFit="1" customWidth="1"/>
    <col min="14" max="14" width="14.42578125" bestFit="1" customWidth="1"/>
    <col min="15" max="15" width="8.7109375" customWidth="1"/>
    <col min="17" max="17" width="14.85546875" bestFit="1" customWidth="1"/>
    <col min="18" max="18" width="17.140625" bestFit="1" customWidth="1"/>
    <col min="19" max="19" width="14.85546875" bestFit="1" customWidth="1"/>
    <col min="20" max="20" width="12.42578125" bestFit="1" customWidth="1"/>
    <col min="22" max="23" width="14.5703125" bestFit="1" customWidth="1"/>
    <col min="24" max="24" width="15.85546875" bestFit="1" customWidth="1"/>
    <col min="26" max="26" width="15.85546875" bestFit="1" customWidth="1"/>
  </cols>
  <sheetData>
    <row r="1" spans="1:20" ht="15.75" thickBot="1" x14ac:dyDescent="0.3">
      <c r="C1" s="1" t="s">
        <v>0</v>
      </c>
      <c r="D1" s="2" t="s">
        <v>1</v>
      </c>
      <c r="E1" s="1" t="s">
        <v>2</v>
      </c>
      <c r="F1" s="2" t="s">
        <v>3</v>
      </c>
      <c r="G1" s="63" t="s">
        <v>4</v>
      </c>
      <c r="H1" s="81" t="s">
        <v>24</v>
      </c>
      <c r="I1" s="66" t="s">
        <v>5</v>
      </c>
      <c r="J1" s="3">
        <v>368</v>
      </c>
      <c r="M1" s="1" t="s">
        <v>5</v>
      </c>
      <c r="N1" s="4" t="s">
        <v>6</v>
      </c>
      <c r="P1" t="s">
        <v>0</v>
      </c>
      <c r="Q1">
        <f>SUM(E10:E54)</f>
        <v>6.333333333333333</v>
      </c>
      <c r="R1" t="s">
        <v>2</v>
      </c>
      <c r="S1">
        <f>(M3/M2)*Q1</f>
        <v>4.2222222222222223</v>
      </c>
      <c r="T1">
        <f>S1-4</f>
        <v>0.22222222222222232</v>
      </c>
    </row>
    <row r="2" spans="1:20" ht="15.75" thickBot="1" x14ac:dyDescent="0.3">
      <c r="B2" s="5" t="s">
        <v>7</v>
      </c>
      <c r="C2" s="6">
        <f>SUMPRODUCT(C10:C118,E10:E118)</f>
        <v>4137883.333333333</v>
      </c>
      <c r="D2" s="7">
        <f>SUMPRODUCT(H10:H118,J10:J118)</f>
        <v>831665.66666666628</v>
      </c>
      <c r="E2" s="6">
        <f>SUMPRODUCT(M10:M348,O10:O348)</f>
        <v>3385566.5555555555</v>
      </c>
      <c r="F2" s="7">
        <f>SUMPRODUCT(R10:R348,T10:T348)</f>
        <v>2348994</v>
      </c>
      <c r="G2" s="64">
        <f>C2+D2+E2+F2</f>
        <v>10704109.555555554</v>
      </c>
      <c r="H2" s="82">
        <v>24786935</v>
      </c>
      <c r="I2" s="67" t="s">
        <v>6</v>
      </c>
      <c r="J2" s="8">
        <v>334</v>
      </c>
      <c r="L2" s="5" t="s">
        <v>8</v>
      </c>
      <c r="M2" s="9">
        <v>0.6</v>
      </c>
      <c r="N2" s="10">
        <v>0.25</v>
      </c>
      <c r="P2" t="s">
        <v>3</v>
      </c>
      <c r="Q2">
        <f>SUM(T10:T64)</f>
        <v>3</v>
      </c>
      <c r="R2" t="s">
        <v>1</v>
      </c>
      <c r="S2">
        <f>(N2/N3)*Q2</f>
        <v>1</v>
      </c>
      <c r="T2">
        <f>S2-0.666666666666667</f>
        <v>0.33333333333333304</v>
      </c>
    </row>
    <row r="3" spans="1:20" ht="15.75" thickBot="1" x14ac:dyDescent="0.3">
      <c r="B3" s="11" t="s">
        <v>9</v>
      </c>
      <c r="C3" s="12">
        <f>SUMPRODUCT(B10:B118,E10:E118)</f>
        <v>192.06521739130434</v>
      </c>
      <c r="D3" s="13">
        <f>SUMPRODUCT(G10:G118,J10:J118)</f>
        <v>33.413173652694596</v>
      </c>
      <c r="E3" s="12">
        <f>SUMPRODUCT(L10:L348,O10:O348)</f>
        <v>128.04347826086956</v>
      </c>
      <c r="F3" s="13">
        <f>SUMPRODUCT(Q10:Q348,T10:T348)</f>
        <v>100.23952095808383</v>
      </c>
      <c r="G3" s="65">
        <f>SUM(C3:F3)</f>
        <v>453.76139026295232</v>
      </c>
      <c r="H3" s="80">
        <f>(H2-G2)/G2</f>
        <v>1.3156466094963779</v>
      </c>
      <c r="I3" s="67" t="s">
        <v>10</v>
      </c>
      <c r="J3" s="8">
        <f>11160</f>
        <v>11160</v>
      </c>
      <c r="L3" s="14" t="s">
        <v>11</v>
      </c>
      <c r="M3" s="15">
        <v>0.4</v>
      </c>
      <c r="N3" s="16">
        <v>0.75</v>
      </c>
      <c r="P3" t="s">
        <v>0</v>
      </c>
      <c r="Q3">
        <v>1</v>
      </c>
      <c r="R3" t="s">
        <v>2</v>
      </c>
      <c r="S3">
        <f>(M3/M2)*Q3</f>
        <v>0.66666666666666674</v>
      </c>
    </row>
    <row r="4" spans="1:20" ht="15.75" thickBot="1" x14ac:dyDescent="0.3">
      <c r="B4" s="14" t="s">
        <v>12</v>
      </c>
      <c r="C4" s="17">
        <f>SUM(E10:E118)*J3</f>
        <v>70680</v>
      </c>
      <c r="D4" s="18">
        <f>SUM(J10:J118)*J3</f>
        <v>11159.999999999996</v>
      </c>
      <c r="E4" s="17">
        <f>SUM(O10:O348)*J3</f>
        <v>47120</v>
      </c>
      <c r="F4" s="18">
        <f>SUM(T10:T348)*J3</f>
        <v>33480</v>
      </c>
      <c r="G4" s="19">
        <f>SUM(C4:F4)</f>
        <v>162440</v>
      </c>
      <c r="H4" s="20"/>
      <c r="I4" s="21" t="s">
        <v>13</v>
      </c>
      <c r="J4" s="22">
        <v>100000</v>
      </c>
      <c r="L4" s="5" t="s">
        <v>14</v>
      </c>
      <c r="M4" s="76">
        <f>C4/(C4+E4)</f>
        <v>0.6</v>
      </c>
      <c r="N4" s="77">
        <f>D4/(D4+F4)</f>
        <v>0.24999999999999992</v>
      </c>
      <c r="O4" s="23"/>
      <c r="P4" t="s">
        <v>3</v>
      </c>
      <c r="Q4">
        <v>1</v>
      </c>
      <c r="R4" t="s">
        <v>1</v>
      </c>
      <c r="S4">
        <f>(N2/N3)*Q4</f>
        <v>0.33333333333333331</v>
      </c>
    </row>
    <row r="5" spans="1:20" ht="15.75" thickBot="1" x14ac:dyDescent="0.3">
      <c r="B5" s="24" t="s">
        <v>15</v>
      </c>
      <c r="C5" s="25">
        <v>217620</v>
      </c>
      <c r="D5" s="26">
        <v>74400</v>
      </c>
      <c r="E5" s="27">
        <v>145080</v>
      </c>
      <c r="F5" s="26">
        <v>223200</v>
      </c>
      <c r="G5" s="28">
        <f>SUM(C5:F5)</f>
        <v>660300</v>
      </c>
      <c r="H5" s="20"/>
      <c r="I5" s="20"/>
      <c r="L5" s="29" t="s">
        <v>16</v>
      </c>
      <c r="M5" s="78">
        <f>E4/(C4+E4)</f>
        <v>0.4</v>
      </c>
      <c r="N5" s="79">
        <f>F4/(D4+F4)</f>
        <v>0.75</v>
      </c>
      <c r="O5" s="23"/>
      <c r="P5" t="s">
        <v>0</v>
      </c>
      <c r="Q5" s="88">
        <v>13629.915412186379</v>
      </c>
      <c r="R5" t="s">
        <v>2</v>
      </c>
      <c r="S5" s="88">
        <v>24384.682437275987</v>
      </c>
      <c r="T5">
        <f>Q5*Q3+S5*S3</f>
        <v>29886.370370370372</v>
      </c>
    </row>
    <row r="6" spans="1:20" ht="15.75" thickBot="1" x14ac:dyDescent="0.3">
      <c r="B6" s="24" t="s">
        <v>17</v>
      </c>
      <c r="C6" s="27">
        <f>C5-C4</f>
        <v>146940</v>
      </c>
      <c r="D6" s="30">
        <f>D5-D4</f>
        <v>63240</v>
      </c>
      <c r="E6" s="27">
        <f>E5-E4</f>
        <v>97960</v>
      </c>
      <c r="F6" s="30">
        <f>F5-F4</f>
        <v>189720</v>
      </c>
      <c r="H6" s="20"/>
      <c r="I6" s="20"/>
      <c r="J6" s="62"/>
      <c r="N6" s="23"/>
      <c r="O6" s="23"/>
      <c r="P6" t="s">
        <v>3</v>
      </c>
      <c r="Q6" s="88">
        <v>22211.748207885306</v>
      </c>
      <c r="R6" t="s">
        <v>1</v>
      </c>
      <c r="S6" s="88">
        <v>24441.826702508963</v>
      </c>
      <c r="T6">
        <f>Q6*Q4+S6*S4</f>
        <v>30359.023775388294</v>
      </c>
    </row>
    <row r="7" spans="1:20" ht="15.75" thickBot="1" x14ac:dyDescent="0.3"/>
    <row r="8" spans="1:20" ht="15.75" thickBot="1" x14ac:dyDescent="0.3">
      <c r="A8" s="113" t="s">
        <v>18</v>
      </c>
      <c r="B8" s="114"/>
      <c r="C8" s="114"/>
      <c r="D8" s="115"/>
      <c r="E8" s="31"/>
      <c r="F8" s="113" t="s">
        <v>19</v>
      </c>
      <c r="G8" s="114"/>
      <c r="H8" s="114"/>
      <c r="I8" s="115"/>
      <c r="J8" s="31"/>
      <c r="K8" s="113" t="s">
        <v>20</v>
      </c>
      <c r="L8" s="114"/>
      <c r="M8" s="114"/>
      <c r="N8" s="115"/>
      <c r="O8" s="31"/>
      <c r="P8" s="113" t="s">
        <v>21</v>
      </c>
      <c r="Q8" s="114"/>
      <c r="R8" s="114"/>
      <c r="S8" s="115"/>
    </row>
    <row r="9" spans="1:20" ht="15.75" thickBot="1" x14ac:dyDescent="0.3">
      <c r="A9" s="32" t="s">
        <v>22</v>
      </c>
      <c r="B9" s="33" t="s">
        <v>9</v>
      </c>
      <c r="C9" s="33" t="s">
        <v>7</v>
      </c>
      <c r="D9" s="34" t="s">
        <v>23</v>
      </c>
      <c r="E9" s="31"/>
      <c r="F9" s="32" t="s">
        <v>22</v>
      </c>
      <c r="G9" s="33" t="s">
        <v>9</v>
      </c>
      <c r="H9" s="33" t="s">
        <v>7</v>
      </c>
      <c r="I9" s="34" t="s">
        <v>23</v>
      </c>
      <c r="J9" s="31"/>
      <c r="K9" s="32" t="s">
        <v>22</v>
      </c>
      <c r="L9" s="33" t="s">
        <v>9</v>
      </c>
      <c r="M9" s="33" t="s">
        <v>7</v>
      </c>
      <c r="N9" s="34" t="s">
        <v>23</v>
      </c>
      <c r="O9" s="31"/>
      <c r="P9" s="35" t="s">
        <v>22</v>
      </c>
      <c r="Q9" s="36" t="s">
        <v>9</v>
      </c>
      <c r="R9" s="36" t="s">
        <v>7</v>
      </c>
      <c r="S9" s="37" t="s">
        <v>23</v>
      </c>
    </row>
    <row r="10" spans="1:20" x14ac:dyDescent="0.25">
      <c r="A10" s="38">
        <v>15</v>
      </c>
      <c r="B10" s="39">
        <f>$J$3/$J$1</f>
        <v>30.326086956521738</v>
      </c>
      <c r="C10" s="40">
        <v>823261</v>
      </c>
      <c r="D10" s="41">
        <f>C10/B10</f>
        <v>27146.957706093192</v>
      </c>
      <c r="E10">
        <v>1</v>
      </c>
      <c r="F10" s="103">
        <v>9</v>
      </c>
      <c r="G10" s="104">
        <f>$J$3/$J$2</f>
        <v>33.41317365269461</v>
      </c>
      <c r="H10" s="105">
        <v>839159</v>
      </c>
      <c r="I10" s="106">
        <f>H10/G10</f>
        <v>25114.615232974909</v>
      </c>
      <c r="J10">
        <v>0.66666666666666663</v>
      </c>
      <c r="K10" s="38">
        <v>99</v>
      </c>
      <c r="L10" s="39">
        <f>$J$3/$J$1</f>
        <v>30.326086956521738</v>
      </c>
      <c r="M10" s="40">
        <v>891762</v>
      </c>
      <c r="N10" s="41">
        <f>M10/L10</f>
        <v>29405.772043010755</v>
      </c>
      <c r="O10">
        <v>1</v>
      </c>
      <c r="P10" s="42">
        <v>31</v>
      </c>
      <c r="Q10" s="43">
        <f>$J$3/$J$2</f>
        <v>33.41317365269461</v>
      </c>
      <c r="R10" s="44">
        <v>828146</v>
      </c>
      <c r="S10" s="45">
        <f>R10/Q10</f>
        <v>24785.014695340502</v>
      </c>
      <c r="T10">
        <v>1</v>
      </c>
    </row>
    <row r="11" spans="1:20" x14ac:dyDescent="0.25">
      <c r="A11" s="46">
        <v>4</v>
      </c>
      <c r="B11" s="39">
        <f t="shared" ref="B11:B54" si="0">$J$3/$J$1</f>
        <v>30.326086956521738</v>
      </c>
      <c r="C11" s="47">
        <v>748702</v>
      </c>
      <c r="D11" s="41">
        <f t="shared" ref="D11:D54" si="1">C11/B11</f>
        <v>24688.381362007171</v>
      </c>
      <c r="E11">
        <v>1</v>
      </c>
      <c r="F11" s="93">
        <v>1</v>
      </c>
      <c r="G11" s="90">
        <f t="shared" ref="G11:G54" si="2">$J$3/$J$2</f>
        <v>33.41317365269461</v>
      </c>
      <c r="H11" s="94">
        <v>816679</v>
      </c>
      <c r="I11" s="92">
        <f t="shared" ref="I11:I54" si="3">H11/G11</f>
        <v>24441.826702508963</v>
      </c>
      <c r="J11">
        <v>0.33333333333333304</v>
      </c>
      <c r="K11" s="46">
        <v>22</v>
      </c>
      <c r="L11" s="39">
        <f t="shared" ref="L11:L64" si="4">$J$3/$J$1</f>
        <v>30.326086956521738</v>
      </c>
      <c r="M11" s="47">
        <v>787867</v>
      </c>
      <c r="N11" s="41">
        <f t="shared" ref="N11:N64" si="5">M11/L11</f>
        <v>25979.843727598567</v>
      </c>
      <c r="O11">
        <v>1</v>
      </c>
      <c r="P11" s="48">
        <v>95</v>
      </c>
      <c r="Q11" s="43">
        <f t="shared" ref="Q11:Q64" si="6">$J$3/$J$2</f>
        <v>33.41317365269461</v>
      </c>
      <c r="R11" s="49">
        <v>778683</v>
      </c>
      <c r="S11" s="45">
        <f t="shared" ref="S11:S64" si="7">R11/Q11</f>
        <v>23304.670430107526</v>
      </c>
      <c r="T11">
        <v>1</v>
      </c>
    </row>
    <row r="12" spans="1:20" x14ac:dyDescent="0.25">
      <c r="A12" s="46">
        <v>75</v>
      </c>
      <c r="B12" s="39">
        <f t="shared" si="0"/>
        <v>30.326086956521738</v>
      </c>
      <c r="C12" s="47">
        <v>700923</v>
      </c>
      <c r="D12" s="41">
        <f t="shared" si="1"/>
        <v>23112.873118279571</v>
      </c>
      <c r="E12">
        <v>1</v>
      </c>
      <c r="F12" s="58">
        <v>3</v>
      </c>
      <c r="G12" s="68">
        <f t="shared" si="2"/>
        <v>33.41317365269461</v>
      </c>
      <c r="H12" s="54">
        <v>637399</v>
      </c>
      <c r="I12" s="69">
        <f t="shared" si="3"/>
        <v>19076.278315412186</v>
      </c>
      <c r="K12" s="46">
        <v>83</v>
      </c>
      <c r="L12" s="39">
        <f t="shared" si="4"/>
        <v>30.326086956521738</v>
      </c>
      <c r="M12" s="47">
        <v>776669</v>
      </c>
      <c r="N12" s="41">
        <f t="shared" si="5"/>
        <v>25610.590681003585</v>
      </c>
      <c r="O12">
        <v>1</v>
      </c>
      <c r="P12" s="48">
        <v>32</v>
      </c>
      <c r="Q12" s="43">
        <f t="shared" si="6"/>
        <v>33.41317365269461</v>
      </c>
      <c r="R12" s="49">
        <v>742165</v>
      </c>
      <c r="S12" s="45">
        <f t="shared" si="7"/>
        <v>22211.748207885306</v>
      </c>
      <c r="T12">
        <v>1</v>
      </c>
    </row>
    <row r="13" spans="1:20" x14ac:dyDescent="0.25">
      <c r="A13" s="46">
        <v>61</v>
      </c>
      <c r="B13" s="39">
        <f t="shared" si="0"/>
        <v>30.326086956521738</v>
      </c>
      <c r="C13" s="47">
        <v>594344</v>
      </c>
      <c r="D13" s="41">
        <f t="shared" si="1"/>
        <v>19598.440143369175</v>
      </c>
      <c r="E13">
        <v>1</v>
      </c>
      <c r="F13" s="58">
        <v>89</v>
      </c>
      <c r="G13" s="68">
        <f t="shared" si="2"/>
        <v>33.41317365269461</v>
      </c>
      <c r="H13" s="54">
        <v>626952</v>
      </c>
      <c r="I13" s="69">
        <f t="shared" si="3"/>
        <v>18763.617204301077</v>
      </c>
      <c r="K13" s="46">
        <v>57</v>
      </c>
      <c r="L13" s="39">
        <f t="shared" si="4"/>
        <v>30.326086956521738</v>
      </c>
      <c r="M13" s="47">
        <v>764937</v>
      </c>
      <c r="N13" s="41">
        <f t="shared" si="5"/>
        <v>25223.729032258067</v>
      </c>
      <c r="O13">
        <v>1</v>
      </c>
      <c r="P13" s="58">
        <v>86</v>
      </c>
      <c r="Q13" s="68">
        <f t="shared" si="6"/>
        <v>33.41317365269461</v>
      </c>
      <c r="R13" s="54">
        <v>708838</v>
      </c>
      <c r="S13" s="69">
        <f t="shared" si="7"/>
        <v>21214.327240143371</v>
      </c>
    </row>
    <row r="14" spans="1:20" x14ac:dyDescent="0.25">
      <c r="A14" s="46">
        <v>2</v>
      </c>
      <c r="B14" s="39">
        <f t="shared" si="0"/>
        <v>30.326086956521738</v>
      </c>
      <c r="C14" s="47">
        <v>573963</v>
      </c>
      <c r="D14" s="41">
        <f t="shared" si="1"/>
        <v>18926.378494623656</v>
      </c>
      <c r="E14">
        <v>1</v>
      </c>
      <c r="F14" s="58">
        <v>74</v>
      </c>
      <c r="G14" s="68">
        <f t="shared" si="2"/>
        <v>33.41317365269461</v>
      </c>
      <c r="H14" s="54">
        <v>528188</v>
      </c>
      <c r="I14" s="69">
        <f t="shared" si="3"/>
        <v>15807.7770609319</v>
      </c>
      <c r="K14" s="99">
        <v>33</v>
      </c>
      <c r="L14" s="100">
        <f t="shared" si="4"/>
        <v>30.326086956521738</v>
      </c>
      <c r="M14" s="101">
        <v>739492</v>
      </c>
      <c r="N14" s="102">
        <f t="shared" si="5"/>
        <v>24384.682437275987</v>
      </c>
      <c r="O14">
        <v>0.22222222222222232</v>
      </c>
      <c r="P14" s="58">
        <v>44</v>
      </c>
      <c r="Q14" s="68">
        <f t="shared" si="6"/>
        <v>33.41317365269461</v>
      </c>
      <c r="R14" s="54">
        <v>644475</v>
      </c>
      <c r="S14" s="69">
        <f t="shared" si="7"/>
        <v>19288.051075268817</v>
      </c>
    </row>
    <row r="15" spans="1:20" x14ac:dyDescent="0.25">
      <c r="A15" s="46">
        <v>66</v>
      </c>
      <c r="B15" s="39">
        <f t="shared" si="0"/>
        <v>30.326086956521738</v>
      </c>
      <c r="C15" s="47">
        <v>543888</v>
      </c>
      <c r="D15" s="41">
        <f t="shared" si="1"/>
        <v>17934.65806451613</v>
      </c>
      <c r="E15">
        <v>1</v>
      </c>
      <c r="F15" s="58">
        <v>7</v>
      </c>
      <c r="G15" s="68">
        <f t="shared" si="2"/>
        <v>33.41317365269461</v>
      </c>
      <c r="H15" s="54">
        <v>517706</v>
      </c>
      <c r="I15" s="69">
        <f t="shared" si="3"/>
        <v>15494.068458781363</v>
      </c>
      <c r="K15" s="58">
        <v>34</v>
      </c>
      <c r="L15" s="68">
        <f t="shared" si="4"/>
        <v>30.326086956521738</v>
      </c>
      <c r="M15" s="54">
        <v>706466</v>
      </c>
      <c r="N15" s="69">
        <f t="shared" si="5"/>
        <v>23295.653046594984</v>
      </c>
      <c r="P15" s="58">
        <v>43</v>
      </c>
      <c r="Q15" s="68">
        <f t="shared" si="6"/>
        <v>33.41317365269461</v>
      </c>
      <c r="R15" s="54">
        <v>600711</v>
      </c>
      <c r="S15" s="69">
        <f t="shared" si="7"/>
        <v>17978.268279569893</v>
      </c>
    </row>
    <row r="16" spans="1:20" x14ac:dyDescent="0.25">
      <c r="A16" s="107">
        <v>9</v>
      </c>
      <c r="B16" s="104">
        <f t="shared" si="0"/>
        <v>30.326086956521738</v>
      </c>
      <c r="C16" s="108">
        <v>458407</v>
      </c>
      <c r="D16" s="106">
        <f t="shared" si="1"/>
        <v>15115.929749103943</v>
      </c>
      <c r="E16">
        <f>1-0.666666666666667</f>
        <v>0.33333333333333304</v>
      </c>
      <c r="F16" s="58">
        <v>16</v>
      </c>
      <c r="G16" s="68">
        <f t="shared" si="2"/>
        <v>33.41317365269461</v>
      </c>
      <c r="H16" s="54">
        <v>471825</v>
      </c>
      <c r="I16" s="69">
        <f t="shared" si="3"/>
        <v>14120.927419354839</v>
      </c>
      <c r="K16" s="58">
        <v>54</v>
      </c>
      <c r="L16" s="68">
        <f t="shared" si="4"/>
        <v>30.326086956521738</v>
      </c>
      <c r="M16" s="54">
        <v>704680</v>
      </c>
      <c r="N16" s="69">
        <f t="shared" si="5"/>
        <v>23236.759856630826</v>
      </c>
      <c r="P16" s="58">
        <v>54</v>
      </c>
      <c r="Q16" s="68">
        <f t="shared" si="6"/>
        <v>33.41317365269461</v>
      </c>
      <c r="R16" s="54">
        <v>600526</v>
      </c>
      <c r="S16" s="69">
        <f t="shared" si="7"/>
        <v>17972.73154121864</v>
      </c>
    </row>
    <row r="17" spans="1:20" x14ac:dyDescent="0.25">
      <c r="A17" s="58">
        <v>6</v>
      </c>
      <c r="B17" s="68">
        <f t="shared" si="0"/>
        <v>30.326086956521738</v>
      </c>
      <c r="C17" s="54">
        <v>413342</v>
      </c>
      <c r="D17" s="69">
        <f t="shared" si="1"/>
        <v>13629.915412186379</v>
      </c>
      <c r="F17" s="58">
        <v>20</v>
      </c>
      <c r="G17" s="68">
        <f t="shared" si="2"/>
        <v>33.41317365269461</v>
      </c>
      <c r="H17" s="54">
        <v>465526</v>
      </c>
      <c r="I17" s="69">
        <f t="shared" si="3"/>
        <v>13932.408960573477</v>
      </c>
      <c r="K17" s="58">
        <v>46</v>
      </c>
      <c r="L17" s="68">
        <f t="shared" si="4"/>
        <v>30.326086956521738</v>
      </c>
      <c r="M17" s="54">
        <v>647685</v>
      </c>
      <c r="N17" s="69">
        <f t="shared" si="5"/>
        <v>21357.354838709678</v>
      </c>
      <c r="P17" s="99">
        <v>33</v>
      </c>
      <c r="Q17" s="100">
        <f t="shared" si="6"/>
        <v>33.41317365269461</v>
      </c>
      <c r="R17" s="101">
        <v>533105</v>
      </c>
      <c r="S17" s="102">
        <f t="shared" si="7"/>
        <v>15954.934587813621</v>
      </c>
    </row>
    <row r="18" spans="1:20" x14ac:dyDescent="0.25">
      <c r="A18" s="58">
        <v>90</v>
      </c>
      <c r="B18" s="68">
        <f t="shared" si="0"/>
        <v>30.326086956521738</v>
      </c>
      <c r="C18" s="54">
        <v>390167</v>
      </c>
      <c r="D18" s="69">
        <f t="shared" si="1"/>
        <v>12865.721863799283</v>
      </c>
      <c r="F18" s="58">
        <v>71</v>
      </c>
      <c r="G18" s="68">
        <f t="shared" si="2"/>
        <v>33.41317365269461</v>
      </c>
      <c r="H18" s="54">
        <v>459240</v>
      </c>
      <c r="I18" s="69">
        <f t="shared" si="3"/>
        <v>13744.279569892473</v>
      </c>
      <c r="K18" s="58">
        <v>35</v>
      </c>
      <c r="L18" s="68">
        <f t="shared" si="4"/>
        <v>30.326086956521738</v>
      </c>
      <c r="M18" s="54">
        <v>520964</v>
      </c>
      <c r="N18" s="69">
        <f t="shared" si="5"/>
        <v>17178.741218637992</v>
      </c>
      <c r="P18" s="58">
        <v>29</v>
      </c>
      <c r="Q18" s="68">
        <f t="shared" si="6"/>
        <v>33.41317365269461</v>
      </c>
      <c r="R18" s="54">
        <v>466819</v>
      </c>
      <c r="S18" s="69">
        <f t="shared" si="7"/>
        <v>13971.106272401434</v>
      </c>
    </row>
    <row r="19" spans="1:20" x14ac:dyDescent="0.25">
      <c r="A19" s="58">
        <v>10</v>
      </c>
      <c r="B19" s="68">
        <f t="shared" si="0"/>
        <v>30.326086956521738</v>
      </c>
      <c r="C19" s="54">
        <v>374487</v>
      </c>
      <c r="D19" s="69">
        <f t="shared" si="1"/>
        <v>12348.675268817206</v>
      </c>
      <c r="F19" s="58">
        <v>73</v>
      </c>
      <c r="G19" s="68">
        <f t="shared" si="2"/>
        <v>33.41317365269461</v>
      </c>
      <c r="H19" s="54">
        <v>435675</v>
      </c>
      <c r="I19" s="69">
        <f t="shared" si="3"/>
        <v>13039.018817204302</v>
      </c>
      <c r="K19" s="58">
        <v>28</v>
      </c>
      <c r="L19" s="68">
        <f t="shared" si="4"/>
        <v>30.326086956521738</v>
      </c>
      <c r="M19" s="54">
        <v>485282</v>
      </c>
      <c r="N19" s="69">
        <f t="shared" si="5"/>
        <v>16002.130465949822</v>
      </c>
      <c r="P19" s="58">
        <v>39</v>
      </c>
      <c r="Q19" s="68">
        <f t="shared" si="6"/>
        <v>33.41317365269461</v>
      </c>
      <c r="R19" s="54">
        <v>443533</v>
      </c>
      <c r="S19" s="69">
        <f t="shared" si="7"/>
        <v>13274.195519713261</v>
      </c>
    </row>
    <row r="20" spans="1:20" x14ac:dyDescent="0.25">
      <c r="A20" s="58">
        <v>72</v>
      </c>
      <c r="B20" s="68">
        <f t="shared" si="0"/>
        <v>30.326086956521738</v>
      </c>
      <c r="C20" s="54">
        <v>339217</v>
      </c>
      <c r="D20" s="69">
        <f t="shared" si="1"/>
        <v>11185.65017921147</v>
      </c>
      <c r="F20" s="95">
        <v>4</v>
      </c>
      <c r="G20" s="96">
        <f t="shared" si="2"/>
        <v>33.41317365269461</v>
      </c>
      <c r="H20" s="97">
        <v>435251</v>
      </c>
      <c r="I20" s="98">
        <f t="shared" si="3"/>
        <v>13026.329211469534</v>
      </c>
      <c r="J20">
        <v>0</v>
      </c>
      <c r="K20" s="58">
        <v>25</v>
      </c>
      <c r="L20" s="68">
        <f t="shared" si="4"/>
        <v>30.326086956521738</v>
      </c>
      <c r="M20" s="54">
        <v>428682</v>
      </c>
      <c r="N20" s="69">
        <f t="shared" si="5"/>
        <v>14135.750537634409</v>
      </c>
      <c r="P20" s="58">
        <v>85</v>
      </c>
      <c r="Q20" s="68">
        <f t="shared" si="6"/>
        <v>33.41317365269461</v>
      </c>
      <c r="R20" s="54">
        <v>400656</v>
      </c>
      <c r="S20" s="69">
        <f t="shared" si="7"/>
        <v>11990.959139784947</v>
      </c>
    </row>
    <row r="21" spans="1:20" x14ac:dyDescent="0.25">
      <c r="A21" s="58">
        <v>63</v>
      </c>
      <c r="B21" s="68">
        <f t="shared" si="0"/>
        <v>30.326086956521738</v>
      </c>
      <c r="C21" s="54">
        <v>148379</v>
      </c>
      <c r="D21" s="69">
        <f t="shared" si="1"/>
        <v>4892.7842293906815</v>
      </c>
      <c r="F21" s="58">
        <v>58</v>
      </c>
      <c r="G21" s="68">
        <f t="shared" si="2"/>
        <v>33.41317365269461</v>
      </c>
      <c r="H21" s="54">
        <v>425212</v>
      </c>
      <c r="I21" s="69">
        <f t="shared" si="3"/>
        <v>12725.878853046595</v>
      </c>
      <c r="K21" s="58">
        <v>53</v>
      </c>
      <c r="L21" s="68">
        <f t="shared" si="4"/>
        <v>30.326086956521738</v>
      </c>
      <c r="M21" s="54">
        <v>427876</v>
      </c>
      <c r="N21" s="69">
        <f t="shared" si="5"/>
        <v>14109.17275985663</v>
      </c>
      <c r="P21" s="58">
        <v>51</v>
      </c>
      <c r="Q21" s="68">
        <f t="shared" si="6"/>
        <v>33.41317365269461</v>
      </c>
      <c r="R21" s="54">
        <v>295735</v>
      </c>
      <c r="S21" s="69">
        <f t="shared" si="7"/>
        <v>8850.8503584229402</v>
      </c>
    </row>
    <row r="22" spans="1:20" x14ac:dyDescent="0.25">
      <c r="A22" s="58">
        <v>5</v>
      </c>
      <c r="B22" s="68">
        <f t="shared" si="0"/>
        <v>30.326086956521738</v>
      </c>
      <c r="C22" s="54">
        <v>135603</v>
      </c>
      <c r="D22" s="69">
        <f t="shared" si="1"/>
        <v>4471.4967741935488</v>
      </c>
      <c r="F22" s="58">
        <v>69</v>
      </c>
      <c r="G22" s="68">
        <f t="shared" si="2"/>
        <v>33.41317365269461</v>
      </c>
      <c r="H22" s="54">
        <v>301059</v>
      </c>
      <c r="I22" s="69">
        <f t="shared" si="3"/>
        <v>9010.188709677419</v>
      </c>
      <c r="K22" s="58">
        <v>30</v>
      </c>
      <c r="L22" s="68">
        <f t="shared" si="4"/>
        <v>30.326086956521738</v>
      </c>
      <c r="M22" s="54">
        <v>412457</v>
      </c>
      <c r="N22" s="69">
        <f t="shared" si="5"/>
        <v>13600.732616487456</v>
      </c>
      <c r="P22" s="58">
        <v>84</v>
      </c>
      <c r="Q22" s="68">
        <f t="shared" si="6"/>
        <v>33.41317365269461</v>
      </c>
      <c r="R22" s="54">
        <v>277116</v>
      </c>
      <c r="S22" s="69">
        <f t="shared" si="7"/>
        <v>8293.6150537634403</v>
      </c>
    </row>
    <row r="23" spans="1:20" x14ac:dyDescent="0.25">
      <c r="A23" s="58">
        <v>89</v>
      </c>
      <c r="B23" s="68">
        <f t="shared" si="0"/>
        <v>30.326086956521738</v>
      </c>
      <c r="C23" s="54">
        <v>43767</v>
      </c>
      <c r="D23" s="69">
        <f t="shared" si="1"/>
        <v>1443.2129032258065</v>
      </c>
      <c r="F23" s="58">
        <v>91</v>
      </c>
      <c r="G23" s="68">
        <f t="shared" si="2"/>
        <v>33.41317365269461</v>
      </c>
      <c r="H23" s="54">
        <v>248437</v>
      </c>
      <c r="I23" s="69">
        <f t="shared" si="3"/>
        <v>7435.3008960573479</v>
      </c>
      <c r="K23" s="58">
        <v>45</v>
      </c>
      <c r="L23" s="68">
        <f t="shared" si="4"/>
        <v>30.326086956521738</v>
      </c>
      <c r="M23" s="54">
        <v>411553</v>
      </c>
      <c r="N23" s="69">
        <f t="shared" si="5"/>
        <v>13570.923297491039</v>
      </c>
      <c r="P23" s="58">
        <v>100</v>
      </c>
      <c r="Q23" s="68">
        <f t="shared" si="6"/>
        <v>33.41317365269461</v>
      </c>
      <c r="R23" s="54">
        <v>196154</v>
      </c>
      <c r="S23" s="69">
        <f t="shared" si="7"/>
        <v>5870.5587813620077</v>
      </c>
    </row>
    <row r="24" spans="1:20" x14ac:dyDescent="0.25">
      <c r="A24" s="58">
        <v>8</v>
      </c>
      <c r="B24" s="68">
        <f t="shared" si="0"/>
        <v>30.326086956521738</v>
      </c>
      <c r="C24" s="54">
        <v>-31569</v>
      </c>
      <c r="D24" s="69">
        <f t="shared" si="1"/>
        <v>-1040.9849462365592</v>
      </c>
      <c r="F24" s="95">
        <v>75</v>
      </c>
      <c r="G24" s="96">
        <f t="shared" si="2"/>
        <v>33.41317365269461</v>
      </c>
      <c r="H24" s="97">
        <v>241104</v>
      </c>
      <c r="I24" s="98">
        <f t="shared" si="3"/>
        <v>7215.8365591397851</v>
      </c>
      <c r="J24">
        <v>0</v>
      </c>
      <c r="K24" s="58">
        <v>43</v>
      </c>
      <c r="L24" s="68">
        <f t="shared" si="4"/>
        <v>30.326086956521738</v>
      </c>
      <c r="M24" s="54">
        <v>287718</v>
      </c>
      <c r="N24" s="69">
        <f t="shared" si="5"/>
        <v>9487.4752688172048</v>
      </c>
      <c r="P24" s="58">
        <v>56</v>
      </c>
      <c r="Q24" s="68">
        <f t="shared" si="6"/>
        <v>33.41317365269461</v>
      </c>
      <c r="R24" s="54">
        <v>175558</v>
      </c>
      <c r="S24" s="69">
        <f t="shared" si="7"/>
        <v>5254.1551971326162</v>
      </c>
    </row>
    <row r="25" spans="1:20" x14ac:dyDescent="0.25">
      <c r="A25" s="58">
        <v>62</v>
      </c>
      <c r="B25" s="68">
        <f t="shared" si="0"/>
        <v>30.326086956521738</v>
      </c>
      <c r="C25" s="54">
        <v>-50310</v>
      </c>
      <c r="D25" s="69">
        <f t="shared" si="1"/>
        <v>-1658.9677419354839</v>
      </c>
      <c r="F25" s="58">
        <v>21</v>
      </c>
      <c r="G25" s="68">
        <f t="shared" si="2"/>
        <v>33.41317365269461</v>
      </c>
      <c r="H25" s="54">
        <v>182068</v>
      </c>
      <c r="I25" s="69">
        <f t="shared" si="3"/>
        <v>5448.9885304659501</v>
      </c>
      <c r="K25" s="58">
        <v>47</v>
      </c>
      <c r="L25" s="68">
        <f t="shared" si="4"/>
        <v>30.326086956521738</v>
      </c>
      <c r="M25" s="54">
        <v>244892</v>
      </c>
      <c r="N25" s="69">
        <f t="shared" si="5"/>
        <v>8075.2917562724015</v>
      </c>
      <c r="P25" s="58">
        <v>24</v>
      </c>
      <c r="Q25" s="68">
        <f t="shared" si="6"/>
        <v>33.41317365269461</v>
      </c>
      <c r="R25" s="54">
        <v>71007</v>
      </c>
      <c r="S25" s="69">
        <f t="shared" si="7"/>
        <v>2125.1198924731184</v>
      </c>
    </row>
    <row r="26" spans="1:20" x14ac:dyDescent="0.25">
      <c r="A26" s="58">
        <v>20</v>
      </c>
      <c r="B26" s="68">
        <f t="shared" si="0"/>
        <v>30.326086956521738</v>
      </c>
      <c r="C26" s="54">
        <v>-55320</v>
      </c>
      <c r="D26" s="69">
        <f t="shared" si="1"/>
        <v>-1824.1720430107528</v>
      </c>
      <c r="F26" s="58">
        <v>59</v>
      </c>
      <c r="G26" s="68">
        <f t="shared" si="2"/>
        <v>33.41317365269461</v>
      </c>
      <c r="H26" s="54">
        <v>167225</v>
      </c>
      <c r="I26" s="69">
        <f t="shared" si="3"/>
        <v>5004.7625448028675</v>
      </c>
      <c r="K26" s="58">
        <v>27</v>
      </c>
      <c r="L26" s="68">
        <f t="shared" si="4"/>
        <v>30.326086956521738</v>
      </c>
      <c r="M26" s="54">
        <v>217246</v>
      </c>
      <c r="N26" s="69">
        <f t="shared" si="5"/>
        <v>7163.6673835125448</v>
      </c>
      <c r="P26" s="58">
        <v>94</v>
      </c>
      <c r="Q26" s="68">
        <f t="shared" si="6"/>
        <v>33.41317365269461</v>
      </c>
      <c r="R26" s="54">
        <v>48569</v>
      </c>
      <c r="S26" s="69">
        <f t="shared" si="7"/>
        <v>1453.5883512544804</v>
      </c>
    </row>
    <row r="27" spans="1:20" x14ac:dyDescent="0.25">
      <c r="A27" s="58">
        <v>14</v>
      </c>
      <c r="B27" s="68">
        <f t="shared" si="0"/>
        <v>30.326086956521738</v>
      </c>
      <c r="C27" s="54">
        <v>-99929</v>
      </c>
      <c r="D27" s="69">
        <f t="shared" si="1"/>
        <v>-3295.1498207885306</v>
      </c>
      <c r="F27" s="58">
        <v>63</v>
      </c>
      <c r="G27" s="68">
        <f t="shared" si="2"/>
        <v>33.41317365269461</v>
      </c>
      <c r="H27" s="54">
        <v>-59023</v>
      </c>
      <c r="I27" s="69">
        <f t="shared" si="3"/>
        <v>-1766.4589605734768</v>
      </c>
      <c r="K27" s="58">
        <v>98</v>
      </c>
      <c r="L27" s="68">
        <f t="shared" si="4"/>
        <v>30.326086956521738</v>
      </c>
      <c r="M27" s="54">
        <v>186371</v>
      </c>
      <c r="N27" s="69">
        <f t="shared" si="5"/>
        <v>6145.5670250896055</v>
      </c>
      <c r="P27" s="58">
        <v>98</v>
      </c>
      <c r="Q27" s="68">
        <f t="shared" si="6"/>
        <v>33.41317365269461</v>
      </c>
      <c r="R27" s="54">
        <v>42432</v>
      </c>
      <c r="S27" s="69">
        <f t="shared" si="7"/>
        <v>1269.9182795698925</v>
      </c>
    </row>
    <row r="28" spans="1:20" x14ac:dyDescent="0.25">
      <c r="A28" s="58">
        <v>59</v>
      </c>
      <c r="B28" s="68">
        <f t="shared" si="0"/>
        <v>30.326086956521738</v>
      </c>
      <c r="C28" s="54">
        <v>-120499</v>
      </c>
      <c r="D28" s="69">
        <f t="shared" si="1"/>
        <v>-3973.4437275985665</v>
      </c>
      <c r="F28" s="58">
        <v>70</v>
      </c>
      <c r="G28" s="68">
        <f t="shared" si="2"/>
        <v>33.41317365269461</v>
      </c>
      <c r="H28" s="54">
        <v>-82956</v>
      </c>
      <c r="I28" s="69">
        <f t="shared" si="3"/>
        <v>-2482.7333333333336</v>
      </c>
      <c r="K28" s="58">
        <v>82</v>
      </c>
      <c r="L28" s="68">
        <f t="shared" si="4"/>
        <v>30.326086956521738</v>
      </c>
      <c r="M28" s="54">
        <v>157735</v>
      </c>
      <c r="N28" s="69">
        <f t="shared" si="5"/>
        <v>5201.2974910394269</v>
      </c>
      <c r="P28" s="58">
        <v>79</v>
      </c>
      <c r="Q28" s="68">
        <f t="shared" si="6"/>
        <v>33.41317365269461</v>
      </c>
      <c r="R28" s="54">
        <v>-17472</v>
      </c>
      <c r="S28" s="69">
        <f t="shared" si="7"/>
        <v>-522.9075268817204</v>
      </c>
    </row>
    <row r="29" spans="1:20" x14ac:dyDescent="0.25">
      <c r="A29" s="58">
        <v>11</v>
      </c>
      <c r="B29" s="68">
        <f t="shared" si="0"/>
        <v>30.326086956521738</v>
      </c>
      <c r="C29" s="54">
        <v>-150180</v>
      </c>
      <c r="D29" s="69">
        <f t="shared" si="1"/>
        <v>-4952.1720430107525</v>
      </c>
      <c r="F29" s="58">
        <v>64</v>
      </c>
      <c r="G29" s="68">
        <f t="shared" si="2"/>
        <v>33.41317365269461</v>
      </c>
      <c r="H29" s="54">
        <v>-163863</v>
      </c>
      <c r="I29" s="69">
        <f t="shared" si="3"/>
        <v>-4904.1435483870973</v>
      </c>
      <c r="K29" s="58">
        <v>39</v>
      </c>
      <c r="L29" s="68">
        <f t="shared" si="4"/>
        <v>30.326086956521738</v>
      </c>
      <c r="M29" s="54">
        <v>75371</v>
      </c>
      <c r="N29" s="69">
        <f t="shared" si="5"/>
        <v>2485.3519713261649</v>
      </c>
      <c r="P29" s="58">
        <v>30</v>
      </c>
      <c r="Q29" s="68">
        <f t="shared" si="6"/>
        <v>33.41317365269461</v>
      </c>
      <c r="R29" s="54">
        <v>-18899</v>
      </c>
      <c r="S29" s="69">
        <f t="shared" si="7"/>
        <v>-565.61523297491044</v>
      </c>
    </row>
    <row r="30" spans="1:20" x14ac:dyDescent="0.25">
      <c r="A30" s="58">
        <v>19</v>
      </c>
      <c r="B30" s="68">
        <f t="shared" si="0"/>
        <v>30.326086956521738</v>
      </c>
      <c r="C30" s="54">
        <v>-212225</v>
      </c>
      <c r="D30" s="69">
        <f t="shared" si="1"/>
        <v>-6998.1003584229393</v>
      </c>
      <c r="F30" s="58">
        <v>8</v>
      </c>
      <c r="G30" s="68">
        <f t="shared" si="2"/>
        <v>33.41317365269461</v>
      </c>
      <c r="H30" s="54">
        <v>-187009</v>
      </c>
      <c r="I30" s="69">
        <f t="shared" si="3"/>
        <v>-5596.8643369175625</v>
      </c>
      <c r="K30" s="58">
        <v>79</v>
      </c>
      <c r="L30" s="68">
        <f t="shared" si="4"/>
        <v>30.326086956521738</v>
      </c>
      <c r="M30" s="54">
        <v>42924</v>
      </c>
      <c r="N30" s="69">
        <f t="shared" si="5"/>
        <v>1415.4150537634409</v>
      </c>
      <c r="P30" s="95">
        <v>99</v>
      </c>
      <c r="Q30" s="96">
        <f t="shared" si="6"/>
        <v>33.41317365269461</v>
      </c>
      <c r="R30" s="97">
        <v>-53380</v>
      </c>
      <c r="S30" s="98">
        <f t="shared" si="7"/>
        <v>-1597.573476702509</v>
      </c>
      <c r="T30">
        <v>0</v>
      </c>
    </row>
    <row r="31" spans="1:20" x14ac:dyDescent="0.25">
      <c r="A31" s="58">
        <v>7</v>
      </c>
      <c r="B31" s="68">
        <f t="shared" si="0"/>
        <v>30.326086956521738</v>
      </c>
      <c r="C31" s="54">
        <v>-425925</v>
      </c>
      <c r="D31" s="69">
        <f t="shared" si="1"/>
        <v>-14044.83870967742</v>
      </c>
      <c r="F31" s="95">
        <v>61</v>
      </c>
      <c r="G31" s="96">
        <f t="shared" si="2"/>
        <v>33.41317365269461</v>
      </c>
      <c r="H31" s="97">
        <v>-223907</v>
      </c>
      <c r="I31" s="98">
        <f t="shared" si="3"/>
        <v>-6701.159318996416</v>
      </c>
      <c r="J31">
        <v>0</v>
      </c>
      <c r="K31" s="58">
        <v>49</v>
      </c>
      <c r="L31" s="68">
        <f t="shared" si="4"/>
        <v>30.326086956521738</v>
      </c>
      <c r="M31" s="54">
        <v>-35135</v>
      </c>
      <c r="N31" s="69">
        <f t="shared" si="5"/>
        <v>-1158.573476702509</v>
      </c>
      <c r="P31" s="58">
        <v>76</v>
      </c>
      <c r="Q31" s="68">
        <f t="shared" si="6"/>
        <v>33.41317365269461</v>
      </c>
      <c r="R31" s="54">
        <v>-134133</v>
      </c>
      <c r="S31" s="69">
        <f t="shared" si="7"/>
        <v>-4014.3747311827956</v>
      </c>
    </row>
    <row r="32" spans="1:20" x14ac:dyDescent="0.25">
      <c r="A32" s="58">
        <v>88</v>
      </c>
      <c r="B32" s="68">
        <f t="shared" si="0"/>
        <v>30.326086956521738</v>
      </c>
      <c r="C32" s="54">
        <v>-426293</v>
      </c>
      <c r="D32" s="69">
        <f t="shared" si="1"/>
        <v>-14056.973476702509</v>
      </c>
      <c r="F32" s="58">
        <v>92</v>
      </c>
      <c r="G32" s="68">
        <f t="shared" si="2"/>
        <v>33.41317365269461</v>
      </c>
      <c r="H32" s="54">
        <v>-299484</v>
      </c>
      <c r="I32" s="69">
        <f t="shared" si="3"/>
        <v>-8963.0516129032258</v>
      </c>
      <c r="K32" s="58">
        <v>86</v>
      </c>
      <c r="L32" s="68">
        <f t="shared" si="4"/>
        <v>30.326086956521738</v>
      </c>
      <c r="M32" s="54">
        <v>-36114</v>
      </c>
      <c r="N32" s="69">
        <f t="shared" si="5"/>
        <v>-1190.8559139784948</v>
      </c>
      <c r="P32" s="58">
        <v>27</v>
      </c>
      <c r="Q32" s="68">
        <f t="shared" si="6"/>
        <v>33.41317365269461</v>
      </c>
      <c r="R32" s="54">
        <v>-237585</v>
      </c>
      <c r="S32" s="69">
        <f t="shared" si="7"/>
        <v>-7110.5188172043008</v>
      </c>
    </row>
    <row r="33" spans="1:20" x14ac:dyDescent="0.25">
      <c r="A33" s="58">
        <v>1</v>
      </c>
      <c r="B33" s="68">
        <f t="shared" si="0"/>
        <v>30.326086956521738</v>
      </c>
      <c r="C33" s="54">
        <v>-436549</v>
      </c>
      <c r="D33" s="69">
        <f t="shared" si="1"/>
        <v>-14395.164157706093</v>
      </c>
      <c r="F33" s="58">
        <v>93</v>
      </c>
      <c r="G33" s="68">
        <f t="shared" si="2"/>
        <v>33.41317365269461</v>
      </c>
      <c r="H33" s="54">
        <v>-392062</v>
      </c>
      <c r="I33" s="69">
        <f t="shared" si="3"/>
        <v>-11733.755197132617</v>
      </c>
      <c r="K33" s="109">
        <v>95</v>
      </c>
      <c r="L33" s="110">
        <f t="shared" si="4"/>
        <v>30.326086956521738</v>
      </c>
      <c r="M33" s="111">
        <v>-117870</v>
      </c>
      <c r="N33" s="112">
        <f t="shared" si="5"/>
        <v>-3886.7526881720432</v>
      </c>
      <c r="O33">
        <v>0</v>
      </c>
      <c r="P33" s="58">
        <v>49</v>
      </c>
      <c r="Q33" s="68">
        <f t="shared" si="6"/>
        <v>33.41317365269461</v>
      </c>
      <c r="R33" s="54">
        <v>-320509</v>
      </c>
      <c r="S33" s="69">
        <f t="shared" si="7"/>
        <v>-9592.2944444444438</v>
      </c>
    </row>
    <row r="34" spans="1:20" x14ac:dyDescent="0.25">
      <c r="A34" s="58">
        <v>16</v>
      </c>
      <c r="B34" s="68">
        <f t="shared" si="0"/>
        <v>30.326086956521738</v>
      </c>
      <c r="C34" s="54">
        <v>-516654</v>
      </c>
      <c r="D34" s="69">
        <f t="shared" si="1"/>
        <v>-17036.619354838709</v>
      </c>
      <c r="F34" s="58">
        <v>17</v>
      </c>
      <c r="G34" s="68">
        <f t="shared" si="2"/>
        <v>33.41317365269461</v>
      </c>
      <c r="H34" s="54">
        <v>-421127</v>
      </c>
      <c r="I34" s="69">
        <f t="shared" si="3"/>
        <v>-12603.621684587813</v>
      </c>
      <c r="K34" s="58">
        <v>42</v>
      </c>
      <c r="L34" s="68">
        <f t="shared" si="4"/>
        <v>30.326086956521738</v>
      </c>
      <c r="M34" s="54">
        <v>-137859</v>
      </c>
      <c r="N34" s="69">
        <f t="shared" si="5"/>
        <v>-4545.8881720430109</v>
      </c>
      <c r="P34" s="58">
        <v>47</v>
      </c>
      <c r="Q34" s="68">
        <f t="shared" si="6"/>
        <v>33.41317365269461</v>
      </c>
      <c r="R34" s="54">
        <v>-338573</v>
      </c>
      <c r="S34" s="69">
        <f t="shared" si="7"/>
        <v>-10132.919534050179</v>
      </c>
    </row>
    <row r="35" spans="1:20" x14ac:dyDescent="0.25">
      <c r="A35" s="58">
        <v>73</v>
      </c>
      <c r="B35" s="68">
        <f t="shared" si="0"/>
        <v>30.326086956521738</v>
      </c>
      <c r="C35" s="54">
        <v>-526062</v>
      </c>
      <c r="D35" s="69">
        <f t="shared" si="1"/>
        <v>-17346.847311827958</v>
      </c>
      <c r="F35" s="58">
        <v>5</v>
      </c>
      <c r="G35" s="68">
        <f t="shared" si="2"/>
        <v>33.41317365269461</v>
      </c>
      <c r="H35" s="54">
        <v>-473972</v>
      </c>
      <c r="I35" s="69">
        <f t="shared" si="3"/>
        <v>-14185.183512544803</v>
      </c>
      <c r="K35" s="58">
        <v>50</v>
      </c>
      <c r="L35" s="68">
        <f t="shared" si="4"/>
        <v>30.326086956521738</v>
      </c>
      <c r="M35" s="54">
        <v>-141217</v>
      </c>
      <c r="N35" s="69">
        <f t="shared" si="5"/>
        <v>-4656.6179211469534</v>
      </c>
      <c r="P35" s="58">
        <v>34</v>
      </c>
      <c r="Q35" s="68">
        <f t="shared" si="6"/>
        <v>33.41317365269461</v>
      </c>
      <c r="R35" s="54">
        <v>-343537</v>
      </c>
      <c r="S35" s="69">
        <f t="shared" si="7"/>
        <v>-10281.483691756273</v>
      </c>
    </row>
    <row r="36" spans="1:20" x14ac:dyDescent="0.25">
      <c r="A36" s="58">
        <v>69</v>
      </c>
      <c r="B36" s="68">
        <f t="shared" si="0"/>
        <v>30.326086956521738</v>
      </c>
      <c r="C36" s="54">
        <v>-582190</v>
      </c>
      <c r="D36" s="69">
        <f t="shared" si="1"/>
        <v>-19197.663082437277</v>
      </c>
      <c r="F36" s="58">
        <v>67</v>
      </c>
      <c r="G36" s="68">
        <f t="shared" si="2"/>
        <v>33.41317365269461</v>
      </c>
      <c r="H36" s="54">
        <v>-479440</v>
      </c>
      <c r="I36" s="69">
        <f t="shared" si="3"/>
        <v>-14348.831541218638</v>
      </c>
      <c r="K36" s="58">
        <v>24</v>
      </c>
      <c r="L36" s="68">
        <f t="shared" si="4"/>
        <v>30.326086956521738</v>
      </c>
      <c r="M36" s="54">
        <v>-265494</v>
      </c>
      <c r="N36" s="69">
        <f t="shared" si="5"/>
        <v>-8754.6408602150532</v>
      </c>
      <c r="P36" s="58">
        <v>26</v>
      </c>
      <c r="Q36" s="68">
        <f t="shared" si="6"/>
        <v>33.41317365269461</v>
      </c>
      <c r="R36" s="54">
        <v>-410208</v>
      </c>
      <c r="S36" s="69">
        <f t="shared" si="7"/>
        <v>-12276.834408602152</v>
      </c>
    </row>
    <row r="37" spans="1:20" x14ac:dyDescent="0.25">
      <c r="A37" s="58">
        <v>17</v>
      </c>
      <c r="B37" s="68">
        <f t="shared" si="0"/>
        <v>30.326086956521738</v>
      </c>
      <c r="C37" s="54">
        <v>-710390</v>
      </c>
      <c r="D37" s="69">
        <f t="shared" si="1"/>
        <v>-23425.046594982079</v>
      </c>
      <c r="F37" s="58">
        <v>65</v>
      </c>
      <c r="G37" s="68">
        <f t="shared" si="2"/>
        <v>33.41317365269461</v>
      </c>
      <c r="H37" s="54">
        <v>-681880</v>
      </c>
      <c r="I37" s="69">
        <f t="shared" si="3"/>
        <v>-20407.519713261649</v>
      </c>
      <c r="K37" s="58">
        <v>44</v>
      </c>
      <c r="L37" s="68">
        <f t="shared" si="4"/>
        <v>30.326086956521738</v>
      </c>
      <c r="M37" s="54">
        <v>-279807</v>
      </c>
      <c r="N37" s="69">
        <f t="shared" si="5"/>
        <v>-9226.6107526881715</v>
      </c>
      <c r="P37" s="58">
        <v>55</v>
      </c>
      <c r="Q37" s="68">
        <f t="shared" si="6"/>
        <v>33.41317365269461</v>
      </c>
      <c r="R37" s="54">
        <v>-412943</v>
      </c>
      <c r="S37" s="69">
        <f t="shared" si="7"/>
        <v>-12358.688351254481</v>
      </c>
    </row>
    <row r="38" spans="1:20" x14ac:dyDescent="0.25">
      <c r="A38" s="58">
        <v>12</v>
      </c>
      <c r="B38" s="68">
        <f t="shared" si="0"/>
        <v>30.326086956521738</v>
      </c>
      <c r="C38" s="54">
        <v>-753136</v>
      </c>
      <c r="D38" s="69">
        <f t="shared" si="1"/>
        <v>-24834.592114695341</v>
      </c>
      <c r="F38" s="95">
        <v>15</v>
      </c>
      <c r="G38" s="96">
        <f t="shared" si="2"/>
        <v>33.41317365269461</v>
      </c>
      <c r="H38" s="97">
        <v>-737370</v>
      </c>
      <c r="I38" s="98">
        <f t="shared" si="3"/>
        <v>-22068.241935483871</v>
      </c>
      <c r="J38">
        <v>0</v>
      </c>
      <c r="K38" s="58">
        <v>78</v>
      </c>
      <c r="L38" s="68">
        <f t="shared" si="4"/>
        <v>30.326086956521738</v>
      </c>
      <c r="M38" s="54">
        <v>-450754</v>
      </c>
      <c r="N38" s="69">
        <f t="shared" si="5"/>
        <v>-14863.572759856632</v>
      </c>
      <c r="P38" s="95">
        <v>22</v>
      </c>
      <c r="Q38" s="96">
        <f t="shared" si="6"/>
        <v>33.41317365269461</v>
      </c>
      <c r="R38" s="97">
        <v>-443480</v>
      </c>
      <c r="S38" s="98">
        <f t="shared" si="7"/>
        <v>-13272.609318996416</v>
      </c>
      <c r="T38">
        <v>0</v>
      </c>
    </row>
    <row r="39" spans="1:20" x14ac:dyDescent="0.25">
      <c r="A39" s="58">
        <v>58</v>
      </c>
      <c r="B39" s="68">
        <f t="shared" si="0"/>
        <v>30.326086956521738</v>
      </c>
      <c r="C39" s="54">
        <v>-793953</v>
      </c>
      <c r="D39" s="69">
        <f t="shared" si="1"/>
        <v>-26180.529032258066</v>
      </c>
      <c r="F39" s="58">
        <v>6</v>
      </c>
      <c r="G39" s="68">
        <f t="shared" si="2"/>
        <v>33.41317365269461</v>
      </c>
      <c r="H39" s="54">
        <v>-760719</v>
      </c>
      <c r="I39" s="69">
        <f t="shared" si="3"/>
        <v>-22767.038172043012</v>
      </c>
      <c r="K39" s="58">
        <v>81</v>
      </c>
      <c r="L39" s="68">
        <f t="shared" si="4"/>
        <v>30.326086956521738</v>
      </c>
      <c r="M39" s="54">
        <v>-460974</v>
      </c>
      <c r="N39" s="69">
        <f t="shared" si="5"/>
        <v>-15200.576344086023</v>
      </c>
      <c r="P39" s="58">
        <v>97</v>
      </c>
      <c r="Q39" s="68">
        <f t="shared" si="6"/>
        <v>33.41317365269461</v>
      </c>
      <c r="R39" s="54">
        <v>-474669</v>
      </c>
      <c r="S39" s="69">
        <f t="shared" si="7"/>
        <v>-14206.043548387097</v>
      </c>
    </row>
    <row r="40" spans="1:20" x14ac:dyDescent="0.25">
      <c r="A40" s="58">
        <v>68</v>
      </c>
      <c r="B40" s="68">
        <f t="shared" si="0"/>
        <v>30.326086956521738</v>
      </c>
      <c r="C40" s="54">
        <v>-803861</v>
      </c>
      <c r="D40" s="69">
        <f t="shared" si="1"/>
        <v>-26507.244444444445</v>
      </c>
      <c r="F40" s="58">
        <v>18</v>
      </c>
      <c r="G40" s="68">
        <f t="shared" si="2"/>
        <v>33.41317365269461</v>
      </c>
      <c r="H40" s="54">
        <v>-824942</v>
      </c>
      <c r="I40" s="69">
        <f t="shared" si="3"/>
        <v>-24689.124372759856</v>
      </c>
      <c r="K40" s="58">
        <v>48</v>
      </c>
      <c r="L40" s="68">
        <f t="shared" si="4"/>
        <v>30.326086956521738</v>
      </c>
      <c r="M40" s="54">
        <v>-522318</v>
      </c>
      <c r="N40" s="69">
        <f t="shared" si="5"/>
        <v>-17223.389247311829</v>
      </c>
      <c r="P40" s="58">
        <v>57</v>
      </c>
      <c r="Q40" s="68">
        <f t="shared" si="6"/>
        <v>33.41317365269461</v>
      </c>
      <c r="R40" s="54">
        <v>-519769</v>
      </c>
      <c r="S40" s="69">
        <f t="shared" si="7"/>
        <v>-15555.810573476703</v>
      </c>
    </row>
    <row r="41" spans="1:20" x14ac:dyDescent="0.25">
      <c r="A41" s="58">
        <v>60</v>
      </c>
      <c r="B41" s="68">
        <f t="shared" si="0"/>
        <v>30.326086956521738</v>
      </c>
      <c r="C41" s="54">
        <v>-850901</v>
      </c>
      <c r="D41" s="69">
        <f t="shared" si="1"/>
        <v>-28058.384229390682</v>
      </c>
      <c r="F41" s="58">
        <v>11</v>
      </c>
      <c r="G41" s="68">
        <f t="shared" si="2"/>
        <v>33.41317365269461</v>
      </c>
      <c r="H41" s="54">
        <v>-906527</v>
      </c>
      <c r="I41" s="69">
        <f t="shared" si="3"/>
        <v>-27130.825985663083</v>
      </c>
      <c r="K41" s="58">
        <v>87</v>
      </c>
      <c r="L41" s="68">
        <f t="shared" si="4"/>
        <v>30.326086956521738</v>
      </c>
      <c r="M41" s="54">
        <v>-542332</v>
      </c>
      <c r="N41" s="69">
        <f t="shared" si="5"/>
        <v>-17883.349103942652</v>
      </c>
      <c r="P41" s="58">
        <v>35</v>
      </c>
      <c r="Q41" s="68">
        <f t="shared" si="6"/>
        <v>33.41317365269461</v>
      </c>
      <c r="R41" s="54">
        <v>-552149</v>
      </c>
      <c r="S41" s="69">
        <f t="shared" si="7"/>
        <v>-16524.889426523299</v>
      </c>
    </row>
    <row r="42" spans="1:20" x14ac:dyDescent="0.25">
      <c r="A42" s="58">
        <v>74</v>
      </c>
      <c r="B42" s="68">
        <f t="shared" si="0"/>
        <v>30.326086956521738</v>
      </c>
      <c r="C42" s="54">
        <v>-871942</v>
      </c>
      <c r="D42" s="69">
        <f t="shared" si="1"/>
        <v>-28752.209318996418</v>
      </c>
      <c r="F42" s="58">
        <v>14</v>
      </c>
      <c r="G42" s="68">
        <f t="shared" si="2"/>
        <v>33.41317365269461</v>
      </c>
      <c r="H42" s="54">
        <v>-923878</v>
      </c>
      <c r="I42" s="69">
        <f t="shared" si="3"/>
        <v>-27650.112186379931</v>
      </c>
      <c r="K42" s="58">
        <v>41</v>
      </c>
      <c r="L42" s="68">
        <f t="shared" si="4"/>
        <v>30.326086956521738</v>
      </c>
      <c r="M42" s="54">
        <v>-545075</v>
      </c>
      <c r="N42" s="69">
        <f t="shared" si="5"/>
        <v>-17973.799283154123</v>
      </c>
      <c r="P42" s="58">
        <v>81</v>
      </c>
      <c r="Q42" s="68">
        <f t="shared" si="6"/>
        <v>33.41317365269461</v>
      </c>
      <c r="R42" s="54">
        <v>-553719</v>
      </c>
      <c r="S42" s="69">
        <f t="shared" si="7"/>
        <v>-16571.876881720429</v>
      </c>
    </row>
    <row r="43" spans="1:20" x14ac:dyDescent="0.25">
      <c r="A43" s="58">
        <v>71</v>
      </c>
      <c r="B43" s="68">
        <f t="shared" si="0"/>
        <v>30.326086956521738</v>
      </c>
      <c r="C43" s="54">
        <v>-879757</v>
      </c>
      <c r="D43" s="69">
        <f t="shared" si="1"/>
        <v>-29009.908243727601</v>
      </c>
      <c r="F43" s="58">
        <v>90</v>
      </c>
      <c r="G43" s="68">
        <f t="shared" si="2"/>
        <v>33.41317365269461</v>
      </c>
      <c r="H43" s="54">
        <v>-944796</v>
      </c>
      <c r="I43" s="69">
        <f t="shared" si="3"/>
        <v>-28276.152688172042</v>
      </c>
      <c r="K43" s="58">
        <v>23</v>
      </c>
      <c r="L43" s="68">
        <f t="shared" si="4"/>
        <v>30.326086956521738</v>
      </c>
      <c r="M43" s="54">
        <v>-550483</v>
      </c>
      <c r="N43" s="69">
        <f t="shared" si="5"/>
        <v>-18152.127598566309</v>
      </c>
      <c r="P43" s="58">
        <v>25</v>
      </c>
      <c r="Q43" s="68">
        <f t="shared" si="6"/>
        <v>33.41317365269461</v>
      </c>
      <c r="R43" s="54">
        <v>-602771</v>
      </c>
      <c r="S43" s="69">
        <f t="shared" si="7"/>
        <v>-18039.920609318997</v>
      </c>
    </row>
    <row r="44" spans="1:20" x14ac:dyDescent="0.25">
      <c r="A44" s="58">
        <v>13</v>
      </c>
      <c r="B44" s="68">
        <f t="shared" si="0"/>
        <v>30.326086956521738</v>
      </c>
      <c r="C44" s="54">
        <v>-1072053</v>
      </c>
      <c r="D44" s="69">
        <f t="shared" si="1"/>
        <v>-35350.851612903229</v>
      </c>
      <c r="F44" s="58">
        <v>88</v>
      </c>
      <c r="G44" s="68">
        <f t="shared" si="2"/>
        <v>33.41317365269461</v>
      </c>
      <c r="H44" s="54">
        <v>-964689</v>
      </c>
      <c r="I44" s="69">
        <f t="shared" si="3"/>
        <v>-28871.516666666666</v>
      </c>
      <c r="K44" s="58">
        <v>55</v>
      </c>
      <c r="L44" s="68">
        <f t="shared" si="4"/>
        <v>30.326086956521738</v>
      </c>
      <c r="M44" s="54">
        <v>-592287</v>
      </c>
      <c r="N44" s="69">
        <f t="shared" si="5"/>
        <v>-19530.610752688171</v>
      </c>
      <c r="P44" s="58">
        <v>23</v>
      </c>
      <c r="Q44" s="68">
        <f t="shared" si="6"/>
        <v>33.41317365269461</v>
      </c>
      <c r="R44" s="54">
        <v>-625997</v>
      </c>
      <c r="S44" s="69">
        <f t="shared" si="7"/>
        <v>-18735.035663082439</v>
      </c>
    </row>
    <row r="45" spans="1:20" x14ac:dyDescent="0.25">
      <c r="A45" s="58">
        <v>92</v>
      </c>
      <c r="B45" s="68">
        <f t="shared" si="0"/>
        <v>30.326086956521738</v>
      </c>
      <c r="C45" s="54">
        <v>-1105120</v>
      </c>
      <c r="D45" s="69">
        <f t="shared" si="1"/>
        <v>-36441.232974910396</v>
      </c>
      <c r="F45" s="58">
        <v>10</v>
      </c>
      <c r="G45" s="68">
        <f t="shared" si="2"/>
        <v>33.41317365269461</v>
      </c>
      <c r="H45" s="54">
        <v>-1019506</v>
      </c>
      <c r="I45" s="69">
        <f t="shared" si="3"/>
        <v>-30512.097132616487</v>
      </c>
      <c r="K45" s="95">
        <v>31</v>
      </c>
      <c r="L45" s="96">
        <f t="shared" si="4"/>
        <v>30.326086956521738</v>
      </c>
      <c r="M45" s="97">
        <v>-620072</v>
      </c>
      <c r="N45" s="98">
        <f t="shared" si="5"/>
        <v>-20446.818637992834</v>
      </c>
      <c r="O45">
        <v>0</v>
      </c>
      <c r="P45" s="58">
        <v>78</v>
      </c>
      <c r="Q45" s="68">
        <f t="shared" si="6"/>
        <v>33.41317365269461</v>
      </c>
      <c r="R45" s="54">
        <v>-732192</v>
      </c>
      <c r="S45" s="69">
        <f t="shared" si="7"/>
        <v>-21913.273118279569</v>
      </c>
    </row>
    <row r="46" spans="1:20" x14ac:dyDescent="0.25">
      <c r="A46" s="58">
        <v>21</v>
      </c>
      <c r="B46" s="68">
        <f t="shared" si="0"/>
        <v>30.326086956521738</v>
      </c>
      <c r="C46" s="54">
        <v>-1124143</v>
      </c>
      <c r="D46" s="69">
        <f t="shared" si="1"/>
        <v>-37068.514695340506</v>
      </c>
      <c r="F46" s="95">
        <v>2</v>
      </c>
      <c r="G46" s="96">
        <f t="shared" si="2"/>
        <v>33.41317365269461</v>
      </c>
      <c r="H46" s="97">
        <v>-1048073</v>
      </c>
      <c r="I46" s="98">
        <f t="shared" si="3"/>
        <v>-31367.059318996417</v>
      </c>
      <c r="J46">
        <v>0</v>
      </c>
      <c r="K46" s="58">
        <v>40</v>
      </c>
      <c r="L46" s="68">
        <f t="shared" si="4"/>
        <v>30.326086956521738</v>
      </c>
      <c r="M46" s="54">
        <v>-658386</v>
      </c>
      <c r="N46" s="69">
        <f t="shared" si="5"/>
        <v>-21710.219354838711</v>
      </c>
      <c r="P46" s="58">
        <v>41</v>
      </c>
      <c r="Q46" s="68">
        <f t="shared" si="6"/>
        <v>33.41317365269461</v>
      </c>
      <c r="R46" s="54">
        <v>-890843</v>
      </c>
      <c r="S46" s="69">
        <f t="shared" si="7"/>
        <v>-26661.430286738352</v>
      </c>
    </row>
    <row r="47" spans="1:20" x14ac:dyDescent="0.25">
      <c r="A47" s="58">
        <v>64</v>
      </c>
      <c r="B47" s="68">
        <f t="shared" si="0"/>
        <v>30.326086956521738</v>
      </c>
      <c r="C47" s="54">
        <v>-1198677</v>
      </c>
      <c r="D47" s="69">
        <f t="shared" si="1"/>
        <v>-39526.26666666667</v>
      </c>
      <c r="F47" s="58">
        <v>12</v>
      </c>
      <c r="G47" s="68">
        <f t="shared" si="2"/>
        <v>33.41317365269461</v>
      </c>
      <c r="H47" s="54">
        <v>-1098022</v>
      </c>
      <c r="I47" s="69">
        <f t="shared" si="3"/>
        <v>-32861.948745519716</v>
      </c>
      <c r="K47" s="58">
        <v>97</v>
      </c>
      <c r="L47" s="68">
        <f t="shared" si="4"/>
        <v>30.326086956521738</v>
      </c>
      <c r="M47" s="54">
        <v>-661431</v>
      </c>
      <c r="N47" s="69">
        <f t="shared" si="5"/>
        <v>-21810.627956989247</v>
      </c>
      <c r="P47" s="58">
        <v>48</v>
      </c>
      <c r="Q47" s="68">
        <f t="shared" si="6"/>
        <v>33.41317365269461</v>
      </c>
      <c r="R47" s="54">
        <v>-914243</v>
      </c>
      <c r="S47" s="69">
        <f t="shared" si="7"/>
        <v>-27361.752867383515</v>
      </c>
    </row>
    <row r="48" spans="1:20" x14ac:dyDescent="0.25">
      <c r="A48" s="58">
        <v>3</v>
      </c>
      <c r="B48" s="68">
        <f t="shared" si="0"/>
        <v>30.326086956521738</v>
      </c>
      <c r="C48" s="54">
        <v>-1231829</v>
      </c>
      <c r="D48" s="69">
        <f t="shared" si="1"/>
        <v>-40619.450896057351</v>
      </c>
      <c r="F48" s="58">
        <v>72</v>
      </c>
      <c r="G48" s="68">
        <f t="shared" si="2"/>
        <v>33.41317365269461</v>
      </c>
      <c r="H48" s="54">
        <v>-1168137</v>
      </c>
      <c r="I48" s="69">
        <f t="shared" si="3"/>
        <v>-34960.372580645162</v>
      </c>
      <c r="K48" s="58">
        <v>56</v>
      </c>
      <c r="L48" s="68">
        <f t="shared" si="4"/>
        <v>30.326086956521738</v>
      </c>
      <c r="M48" s="54">
        <v>-736742</v>
      </c>
      <c r="N48" s="69">
        <f t="shared" si="5"/>
        <v>-24294.001433691756</v>
      </c>
      <c r="P48" s="58">
        <v>96</v>
      </c>
      <c r="Q48" s="68">
        <f t="shared" si="6"/>
        <v>33.41317365269461</v>
      </c>
      <c r="R48" s="54">
        <v>-944950</v>
      </c>
      <c r="S48" s="69">
        <f t="shared" si="7"/>
        <v>-28280.76164874552</v>
      </c>
    </row>
    <row r="49" spans="1:20" x14ac:dyDescent="0.25">
      <c r="A49" s="58">
        <v>70</v>
      </c>
      <c r="B49" s="68">
        <f t="shared" si="0"/>
        <v>30.326086956521738</v>
      </c>
      <c r="C49" s="54">
        <v>-1290356</v>
      </c>
      <c r="D49" s="69">
        <f t="shared" si="1"/>
        <v>-42549.373476702509</v>
      </c>
      <c r="F49" s="58">
        <v>62</v>
      </c>
      <c r="G49" s="68">
        <f t="shared" si="2"/>
        <v>33.41317365269461</v>
      </c>
      <c r="H49" s="54">
        <v>-1177761</v>
      </c>
      <c r="I49" s="69">
        <f t="shared" si="3"/>
        <v>-35248.402688172042</v>
      </c>
      <c r="K49" s="58">
        <v>85</v>
      </c>
      <c r="L49" s="68">
        <f t="shared" si="4"/>
        <v>30.326086956521738</v>
      </c>
      <c r="M49" s="54">
        <v>-789944</v>
      </c>
      <c r="N49" s="69">
        <f t="shared" si="5"/>
        <v>-26048.332616487456</v>
      </c>
      <c r="P49" s="58">
        <v>82</v>
      </c>
      <c r="Q49" s="68">
        <f t="shared" si="6"/>
        <v>33.41317365269461</v>
      </c>
      <c r="R49" s="54">
        <v>-954865</v>
      </c>
      <c r="S49" s="69">
        <f t="shared" si="7"/>
        <v>-28577.500896057347</v>
      </c>
    </row>
    <row r="50" spans="1:20" x14ac:dyDescent="0.25">
      <c r="A50" s="58">
        <v>65</v>
      </c>
      <c r="B50" s="68">
        <f t="shared" si="0"/>
        <v>30.326086956521738</v>
      </c>
      <c r="C50" s="54">
        <v>-1335361</v>
      </c>
      <c r="D50" s="69">
        <f t="shared" si="1"/>
        <v>-44033.409318996419</v>
      </c>
      <c r="F50" s="58">
        <v>19</v>
      </c>
      <c r="G50" s="68">
        <f t="shared" si="2"/>
        <v>33.41317365269461</v>
      </c>
      <c r="H50" s="54">
        <v>-1251057</v>
      </c>
      <c r="I50" s="69">
        <f t="shared" si="3"/>
        <v>-37442.028494623657</v>
      </c>
      <c r="K50" s="58">
        <v>26</v>
      </c>
      <c r="L50" s="68">
        <f t="shared" si="4"/>
        <v>30.326086956521738</v>
      </c>
      <c r="M50" s="54">
        <v>-946136</v>
      </c>
      <c r="N50" s="69">
        <f t="shared" si="5"/>
        <v>-31198.749820788533</v>
      </c>
      <c r="P50" s="58">
        <v>50</v>
      </c>
      <c r="Q50" s="68">
        <f t="shared" si="6"/>
        <v>33.41317365269461</v>
      </c>
      <c r="R50" s="54">
        <v>-1011749</v>
      </c>
      <c r="S50" s="69">
        <f t="shared" si="7"/>
        <v>-30279.943189964157</v>
      </c>
    </row>
    <row r="51" spans="1:20" x14ac:dyDescent="0.25">
      <c r="A51" s="58">
        <v>18</v>
      </c>
      <c r="B51" s="68">
        <f t="shared" si="0"/>
        <v>30.326086956521738</v>
      </c>
      <c r="C51" s="54">
        <v>-1388548</v>
      </c>
      <c r="D51" s="69">
        <f t="shared" si="1"/>
        <v>-45787.2458781362</v>
      </c>
      <c r="F51" s="58">
        <v>68</v>
      </c>
      <c r="G51" s="68">
        <f t="shared" si="2"/>
        <v>33.41317365269461</v>
      </c>
      <c r="H51" s="54">
        <v>-1292553</v>
      </c>
      <c r="I51" s="69">
        <f t="shared" si="3"/>
        <v>-38683.933870967739</v>
      </c>
      <c r="K51" s="58">
        <v>84</v>
      </c>
      <c r="L51" s="68">
        <f t="shared" si="4"/>
        <v>30.326086956521738</v>
      </c>
      <c r="M51" s="54">
        <v>-948146</v>
      </c>
      <c r="N51" s="69">
        <f t="shared" si="5"/>
        <v>-31265.029390681004</v>
      </c>
      <c r="P51" s="58">
        <v>40</v>
      </c>
      <c r="Q51" s="68">
        <f t="shared" si="6"/>
        <v>33.41317365269461</v>
      </c>
      <c r="R51" s="54">
        <v>-1028317</v>
      </c>
      <c r="S51" s="69">
        <f t="shared" si="7"/>
        <v>-30775.795519713261</v>
      </c>
    </row>
    <row r="52" spans="1:20" x14ac:dyDescent="0.25">
      <c r="A52" s="58">
        <v>91</v>
      </c>
      <c r="B52" s="68">
        <f t="shared" si="0"/>
        <v>30.326086956521738</v>
      </c>
      <c r="C52" s="54">
        <v>-1477388</v>
      </c>
      <c r="D52" s="69">
        <f t="shared" si="1"/>
        <v>-48716.736917562725</v>
      </c>
      <c r="F52" s="58">
        <v>60</v>
      </c>
      <c r="G52" s="68">
        <f t="shared" si="2"/>
        <v>33.41317365269461</v>
      </c>
      <c r="H52" s="54">
        <v>-1363928</v>
      </c>
      <c r="I52" s="69">
        <f t="shared" si="3"/>
        <v>-40820.067383512549</v>
      </c>
      <c r="K52" s="58">
        <v>37</v>
      </c>
      <c r="L52" s="68">
        <f t="shared" si="4"/>
        <v>30.326086956521738</v>
      </c>
      <c r="M52" s="54">
        <v>-1123636</v>
      </c>
      <c r="N52" s="69">
        <f t="shared" si="5"/>
        <v>-37051.796415770608</v>
      </c>
      <c r="P52" s="58">
        <v>45</v>
      </c>
      <c r="Q52" s="68">
        <f t="shared" si="6"/>
        <v>33.41317365269461</v>
      </c>
      <c r="R52" s="54">
        <v>-1108132</v>
      </c>
      <c r="S52" s="69">
        <f t="shared" si="7"/>
        <v>-33164.524014336916</v>
      </c>
    </row>
    <row r="53" spans="1:20" x14ac:dyDescent="0.25">
      <c r="A53" s="58">
        <v>67</v>
      </c>
      <c r="B53" s="68">
        <f t="shared" si="0"/>
        <v>30.326086956521738</v>
      </c>
      <c r="C53" s="54">
        <v>-1558535</v>
      </c>
      <c r="D53" s="69">
        <f t="shared" si="1"/>
        <v>-51392.551971326167</v>
      </c>
      <c r="F53" s="58">
        <v>66</v>
      </c>
      <c r="G53" s="68">
        <f t="shared" si="2"/>
        <v>33.41317365269461</v>
      </c>
      <c r="H53" s="54">
        <v>-1541082</v>
      </c>
      <c r="I53" s="69">
        <f t="shared" si="3"/>
        <v>-46121.988172043013</v>
      </c>
      <c r="K53" s="58">
        <v>77</v>
      </c>
      <c r="L53" s="68">
        <f t="shared" si="4"/>
        <v>30.326086956521738</v>
      </c>
      <c r="M53" s="54">
        <v>-1136517</v>
      </c>
      <c r="N53" s="69">
        <f t="shared" si="5"/>
        <v>-37476.546236559137</v>
      </c>
      <c r="P53" s="58">
        <v>37</v>
      </c>
      <c r="Q53" s="68">
        <f t="shared" si="6"/>
        <v>33.41317365269461</v>
      </c>
      <c r="R53" s="54">
        <v>-1231599</v>
      </c>
      <c r="S53" s="69">
        <f t="shared" si="7"/>
        <v>-36859.683333333334</v>
      </c>
    </row>
    <row r="54" spans="1:20" x14ac:dyDescent="0.25">
      <c r="A54" s="58">
        <v>93</v>
      </c>
      <c r="B54" s="68">
        <f t="shared" si="0"/>
        <v>30.326086956521738</v>
      </c>
      <c r="C54" s="54">
        <v>-1560391</v>
      </c>
      <c r="D54" s="69">
        <f t="shared" si="1"/>
        <v>-51453.753405017924</v>
      </c>
      <c r="F54" s="58">
        <v>13</v>
      </c>
      <c r="G54" s="68">
        <f t="shared" si="2"/>
        <v>33.41317365269461</v>
      </c>
      <c r="H54" s="54">
        <v>-1570807</v>
      </c>
      <c r="I54" s="69">
        <f t="shared" si="3"/>
        <v>-47011.607347670251</v>
      </c>
      <c r="K54" s="58">
        <v>94</v>
      </c>
      <c r="L54" s="68">
        <f t="shared" si="4"/>
        <v>30.326086956521738</v>
      </c>
      <c r="M54" s="54">
        <v>-1189690</v>
      </c>
      <c r="N54" s="69">
        <f t="shared" si="5"/>
        <v>-39229.921146953406</v>
      </c>
      <c r="P54" s="58">
        <v>80</v>
      </c>
      <c r="Q54" s="68">
        <f t="shared" si="6"/>
        <v>33.41317365269461</v>
      </c>
      <c r="R54" s="54">
        <v>-1261366</v>
      </c>
      <c r="S54" s="69">
        <f t="shared" si="7"/>
        <v>-37750.559498207884</v>
      </c>
    </row>
    <row r="55" spans="1:20" x14ac:dyDescent="0.25">
      <c r="A55" s="58"/>
      <c r="B55" s="59"/>
      <c r="C55" s="54"/>
      <c r="D55" s="55"/>
      <c r="F55" s="58"/>
      <c r="G55" s="59"/>
      <c r="H55" s="54"/>
      <c r="I55" s="55"/>
      <c r="K55" s="58">
        <v>32</v>
      </c>
      <c r="L55" s="68">
        <f t="shared" si="4"/>
        <v>30.326086956521738</v>
      </c>
      <c r="M55" s="54">
        <v>-1238968</v>
      </c>
      <c r="N55" s="69">
        <f t="shared" si="5"/>
        <v>-40854.858781362011</v>
      </c>
      <c r="P55" s="58">
        <v>52</v>
      </c>
      <c r="Q55" s="68">
        <f t="shared" si="6"/>
        <v>33.41317365269461</v>
      </c>
      <c r="R55" s="54">
        <v>-1306284</v>
      </c>
      <c r="S55" s="69">
        <f t="shared" si="7"/>
        <v>-39094.879569892473</v>
      </c>
    </row>
    <row r="56" spans="1:20" x14ac:dyDescent="0.25">
      <c r="A56" s="58"/>
      <c r="B56" s="59"/>
      <c r="C56" s="54"/>
      <c r="D56" s="55"/>
      <c r="F56" s="58"/>
      <c r="G56" s="59"/>
      <c r="H56" s="54"/>
      <c r="I56" s="55"/>
      <c r="K56" s="58">
        <v>36</v>
      </c>
      <c r="L56" s="68">
        <f t="shared" si="4"/>
        <v>30.326086956521738</v>
      </c>
      <c r="M56" s="54">
        <v>-1281241</v>
      </c>
      <c r="N56" s="69">
        <f t="shared" si="5"/>
        <v>-42248.807168458785</v>
      </c>
      <c r="P56" s="58">
        <v>38</v>
      </c>
      <c r="Q56" s="68">
        <f t="shared" si="6"/>
        <v>33.41317365269461</v>
      </c>
      <c r="R56" s="54">
        <v>-1308829</v>
      </c>
      <c r="S56" s="69">
        <f t="shared" si="7"/>
        <v>-39171.047132616492</v>
      </c>
    </row>
    <row r="57" spans="1:20" x14ac:dyDescent="0.25">
      <c r="A57" s="58"/>
      <c r="B57" s="59"/>
      <c r="C57" s="54"/>
      <c r="D57" s="55"/>
      <c r="F57" s="58"/>
      <c r="G57" s="59"/>
      <c r="H57" s="54"/>
      <c r="I57" s="55"/>
      <c r="K57" s="58">
        <v>29</v>
      </c>
      <c r="L57" s="68">
        <f t="shared" si="4"/>
        <v>30.326086956521738</v>
      </c>
      <c r="M57" s="54">
        <v>-1329121</v>
      </c>
      <c r="N57" s="69">
        <f t="shared" si="5"/>
        <v>-43827.645878136202</v>
      </c>
      <c r="P57" s="58">
        <v>46</v>
      </c>
      <c r="Q57" s="68">
        <f t="shared" si="6"/>
        <v>33.41317365269461</v>
      </c>
      <c r="R57" s="54">
        <v>-1311822</v>
      </c>
      <c r="S57" s="69">
        <f t="shared" si="7"/>
        <v>-39260.622580645162</v>
      </c>
    </row>
    <row r="58" spans="1:20" x14ac:dyDescent="0.25">
      <c r="A58" s="58"/>
      <c r="B58" s="59"/>
      <c r="C58" s="54"/>
      <c r="D58" s="55"/>
      <c r="F58" s="58"/>
      <c r="G58" s="59"/>
      <c r="H58" s="54"/>
      <c r="I58" s="55"/>
      <c r="K58" s="58">
        <v>80</v>
      </c>
      <c r="L58" s="68">
        <f t="shared" si="4"/>
        <v>30.326086956521738</v>
      </c>
      <c r="M58" s="54">
        <v>-1382584</v>
      </c>
      <c r="N58" s="69">
        <f t="shared" si="5"/>
        <v>-45590.583512544807</v>
      </c>
      <c r="P58" s="58">
        <v>53</v>
      </c>
      <c r="Q58" s="68">
        <f t="shared" si="6"/>
        <v>33.41317365269461</v>
      </c>
      <c r="R58" s="54">
        <v>-1316172</v>
      </c>
      <c r="S58" s="69">
        <f t="shared" si="7"/>
        <v>-39390.810752688172</v>
      </c>
    </row>
    <row r="59" spans="1:20" x14ac:dyDescent="0.25">
      <c r="A59" s="58"/>
      <c r="B59" s="59"/>
      <c r="C59" s="54"/>
      <c r="D59" s="55"/>
      <c r="F59" s="58"/>
      <c r="G59" s="59"/>
      <c r="H59" s="54"/>
      <c r="I59" s="55"/>
      <c r="K59" s="58">
        <v>38</v>
      </c>
      <c r="L59" s="68">
        <f t="shared" si="4"/>
        <v>30.326086956521738</v>
      </c>
      <c r="M59" s="54">
        <v>-1454904</v>
      </c>
      <c r="N59" s="69">
        <f t="shared" si="5"/>
        <v>-47975.329032258065</v>
      </c>
      <c r="P59" s="58">
        <v>87</v>
      </c>
      <c r="Q59" s="68">
        <f t="shared" si="6"/>
        <v>33.41317365269461</v>
      </c>
      <c r="R59" s="54">
        <v>-1394051</v>
      </c>
      <c r="S59" s="69">
        <f t="shared" si="7"/>
        <v>-41721.598028673834</v>
      </c>
    </row>
    <row r="60" spans="1:20" x14ac:dyDescent="0.25">
      <c r="A60" s="58"/>
      <c r="B60" s="59"/>
      <c r="C60" s="54"/>
      <c r="D60" s="55"/>
      <c r="F60" s="58"/>
      <c r="G60" s="59"/>
      <c r="H60" s="54"/>
      <c r="I60" s="55"/>
      <c r="K60" s="58">
        <v>96</v>
      </c>
      <c r="L60" s="68">
        <f t="shared" si="4"/>
        <v>30.326086956521738</v>
      </c>
      <c r="M60" s="54">
        <v>-1495940</v>
      </c>
      <c r="N60" s="69">
        <f t="shared" si="5"/>
        <v>-49328.487455197137</v>
      </c>
      <c r="P60" s="58">
        <v>36</v>
      </c>
      <c r="Q60" s="68">
        <f t="shared" si="6"/>
        <v>33.41317365269461</v>
      </c>
      <c r="R60" s="54">
        <v>-1395762</v>
      </c>
      <c r="S60" s="69">
        <f t="shared" si="7"/>
        <v>-41772.805376344084</v>
      </c>
    </row>
    <row r="61" spans="1:20" x14ac:dyDescent="0.25">
      <c r="A61" s="58"/>
      <c r="B61" s="59"/>
      <c r="C61" s="54"/>
      <c r="D61" s="55"/>
      <c r="F61" s="58"/>
      <c r="G61" s="59"/>
      <c r="H61" s="54"/>
      <c r="I61" s="55"/>
      <c r="K61" s="58">
        <v>76</v>
      </c>
      <c r="L61" s="68">
        <f t="shared" si="4"/>
        <v>30.326086956521738</v>
      </c>
      <c r="M61" s="54">
        <v>-1505954</v>
      </c>
      <c r="N61" s="69">
        <f t="shared" si="5"/>
        <v>-49658.698207885303</v>
      </c>
      <c r="P61" s="58">
        <v>42</v>
      </c>
      <c r="Q61" s="68">
        <f t="shared" si="6"/>
        <v>33.41317365269461</v>
      </c>
      <c r="R61" s="54">
        <v>-1449513</v>
      </c>
      <c r="S61" s="69">
        <f t="shared" si="7"/>
        <v>-43381.48225806452</v>
      </c>
    </row>
    <row r="62" spans="1:20" x14ac:dyDescent="0.25">
      <c r="A62" s="58"/>
      <c r="B62" s="59"/>
      <c r="C62" s="54"/>
      <c r="D62" s="55"/>
      <c r="F62" s="58"/>
      <c r="G62" s="59"/>
      <c r="H62" s="54"/>
      <c r="I62" s="55"/>
      <c r="K62" s="58">
        <v>52</v>
      </c>
      <c r="L62" s="68">
        <f t="shared" si="4"/>
        <v>30.326086956521738</v>
      </c>
      <c r="M62" s="54">
        <v>-1572435</v>
      </c>
      <c r="N62" s="69">
        <f t="shared" si="5"/>
        <v>-51850.903225806454</v>
      </c>
      <c r="P62" s="58">
        <v>28</v>
      </c>
      <c r="Q62" s="68">
        <f t="shared" si="6"/>
        <v>33.41317365269461</v>
      </c>
      <c r="R62" s="54">
        <v>-1475625</v>
      </c>
      <c r="S62" s="69">
        <f t="shared" si="7"/>
        <v>-44162.970430107525</v>
      </c>
    </row>
    <row r="63" spans="1:20" x14ac:dyDescent="0.25">
      <c r="A63" s="58"/>
      <c r="B63" s="59"/>
      <c r="C63" s="54"/>
      <c r="D63" s="55"/>
      <c r="F63" s="58"/>
      <c r="G63" s="59"/>
      <c r="H63" s="54"/>
      <c r="I63" s="55"/>
      <c r="K63" s="58">
        <v>100</v>
      </c>
      <c r="L63" s="68">
        <f t="shared" si="4"/>
        <v>30.326086956521738</v>
      </c>
      <c r="M63" s="54">
        <v>-1597710</v>
      </c>
      <c r="N63" s="69">
        <f t="shared" si="5"/>
        <v>-52684.344086021505</v>
      </c>
      <c r="P63" s="95">
        <v>83</v>
      </c>
      <c r="Q63" s="96">
        <f t="shared" si="6"/>
        <v>33.41317365269461</v>
      </c>
      <c r="R63" s="97">
        <v>-1533913</v>
      </c>
      <c r="S63" s="98">
        <f t="shared" si="7"/>
        <v>-45907.432078853046</v>
      </c>
      <c r="T63">
        <v>0</v>
      </c>
    </row>
    <row r="64" spans="1:20" x14ac:dyDescent="0.25">
      <c r="A64" s="58"/>
      <c r="B64" s="59"/>
      <c r="C64" s="54"/>
      <c r="D64" s="55"/>
      <c r="F64" s="58"/>
      <c r="G64" s="59"/>
      <c r="H64" s="54"/>
      <c r="I64" s="55"/>
      <c r="K64" s="58">
        <v>51</v>
      </c>
      <c r="L64" s="68">
        <f t="shared" si="4"/>
        <v>30.326086956521738</v>
      </c>
      <c r="M64" s="54">
        <v>-1602000</v>
      </c>
      <c r="N64" s="69">
        <f t="shared" si="5"/>
        <v>-52825.806451612902</v>
      </c>
      <c r="P64" s="58">
        <v>77</v>
      </c>
      <c r="Q64" s="68">
        <f t="shared" si="6"/>
        <v>33.41317365269461</v>
      </c>
      <c r="R64" s="54">
        <v>-1545855</v>
      </c>
      <c r="S64" s="69">
        <f t="shared" si="7"/>
        <v>-46264.836021505376</v>
      </c>
    </row>
    <row r="65" spans="1:19" x14ac:dyDescent="0.25">
      <c r="A65" s="58"/>
      <c r="B65" s="59"/>
      <c r="C65" s="54"/>
      <c r="D65" s="55"/>
      <c r="F65" s="58"/>
      <c r="G65" s="59"/>
      <c r="H65" s="54"/>
      <c r="I65" s="55"/>
      <c r="K65" s="58"/>
      <c r="L65" s="59"/>
      <c r="M65" s="54"/>
      <c r="N65" s="55"/>
      <c r="P65" s="58"/>
      <c r="Q65" s="59"/>
      <c r="R65" s="54"/>
      <c r="S65" s="55"/>
    </row>
    <row r="66" spans="1:19" x14ac:dyDescent="0.25">
      <c r="A66" s="58"/>
      <c r="B66" s="59"/>
      <c r="C66" s="54"/>
      <c r="D66" s="55"/>
      <c r="F66" s="58"/>
      <c r="G66" s="59"/>
      <c r="H66" s="54"/>
      <c r="I66" s="55"/>
      <c r="K66" s="58"/>
      <c r="L66" s="59"/>
      <c r="M66" s="54"/>
      <c r="N66" s="55"/>
      <c r="P66" s="58"/>
      <c r="Q66" s="59"/>
      <c r="R66" s="54"/>
      <c r="S66" s="55"/>
    </row>
    <row r="67" spans="1:19" x14ac:dyDescent="0.25">
      <c r="A67" s="58"/>
      <c r="B67" s="59"/>
      <c r="C67" s="54"/>
      <c r="D67" s="55"/>
      <c r="F67" s="58"/>
      <c r="G67" s="59"/>
      <c r="H67" s="54"/>
      <c r="I67" s="55"/>
      <c r="K67" s="58"/>
      <c r="L67" s="59"/>
      <c r="M67" s="54"/>
      <c r="N67" s="55"/>
      <c r="P67" s="58"/>
      <c r="Q67" s="59"/>
      <c r="R67" s="54"/>
      <c r="S67" s="55"/>
    </row>
    <row r="68" spans="1:19" x14ac:dyDescent="0.25">
      <c r="A68" s="58"/>
      <c r="B68" s="59"/>
      <c r="C68" s="54"/>
      <c r="D68" s="55"/>
      <c r="F68" s="58"/>
      <c r="G68" s="59"/>
      <c r="H68" s="54"/>
      <c r="I68" s="55"/>
      <c r="K68" s="58"/>
      <c r="L68" s="59"/>
      <c r="M68" s="54"/>
      <c r="N68" s="55"/>
      <c r="P68" s="58"/>
      <c r="Q68" s="59"/>
      <c r="R68" s="54"/>
      <c r="S68" s="55"/>
    </row>
    <row r="69" spans="1:19" x14ac:dyDescent="0.25">
      <c r="A69" s="58"/>
      <c r="B69" s="59"/>
      <c r="C69" s="54"/>
      <c r="D69" s="55"/>
      <c r="F69" s="58"/>
      <c r="G69" s="59"/>
      <c r="H69" s="54"/>
      <c r="I69" s="55"/>
      <c r="K69" s="58"/>
      <c r="L69" s="59"/>
      <c r="M69" s="54"/>
      <c r="N69" s="55"/>
      <c r="P69" s="58"/>
      <c r="Q69" s="59"/>
      <c r="R69" s="54"/>
      <c r="S69" s="55"/>
    </row>
    <row r="70" spans="1:19" x14ac:dyDescent="0.25">
      <c r="A70" s="58"/>
      <c r="B70" s="59"/>
      <c r="C70" s="54"/>
      <c r="D70" s="55"/>
      <c r="F70" s="58"/>
      <c r="G70" s="59"/>
      <c r="H70" s="54"/>
      <c r="I70" s="55"/>
      <c r="K70" s="58"/>
      <c r="L70" s="59"/>
      <c r="M70" s="54"/>
      <c r="N70" s="55"/>
      <c r="P70" s="58"/>
      <c r="Q70" s="59"/>
      <c r="R70" s="54"/>
      <c r="S70" s="55"/>
    </row>
    <row r="71" spans="1:19" x14ac:dyDescent="0.25">
      <c r="A71" s="58"/>
      <c r="B71" s="59"/>
      <c r="C71" s="54"/>
      <c r="D71" s="55"/>
      <c r="F71" s="58"/>
      <c r="G71" s="59"/>
      <c r="H71" s="54"/>
      <c r="I71" s="55"/>
      <c r="K71" s="58"/>
      <c r="L71" s="59"/>
      <c r="M71" s="54"/>
      <c r="N71" s="55"/>
      <c r="P71" s="58"/>
      <c r="Q71" s="59"/>
      <c r="R71" s="54"/>
      <c r="S71" s="55"/>
    </row>
    <row r="72" spans="1:19" x14ac:dyDescent="0.25">
      <c r="A72" s="58"/>
      <c r="B72" s="59"/>
      <c r="C72" s="54"/>
      <c r="D72" s="55"/>
      <c r="F72" s="58"/>
      <c r="G72" s="59"/>
      <c r="H72" s="54"/>
      <c r="I72" s="55"/>
      <c r="K72" s="58"/>
      <c r="L72" s="59"/>
      <c r="M72" s="54"/>
      <c r="N72" s="55"/>
      <c r="P72" s="58"/>
      <c r="Q72" s="59"/>
      <c r="R72" s="54"/>
      <c r="S72" s="55"/>
    </row>
    <row r="73" spans="1:19" x14ac:dyDescent="0.25">
      <c r="A73" s="58"/>
      <c r="B73" s="59"/>
      <c r="C73" s="54"/>
      <c r="D73" s="55"/>
      <c r="F73" s="58"/>
      <c r="G73" s="59"/>
      <c r="H73" s="54"/>
      <c r="I73" s="55"/>
      <c r="K73" s="58"/>
      <c r="L73" s="59"/>
      <c r="M73" s="54"/>
      <c r="N73" s="55"/>
      <c r="P73" s="58"/>
      <c r="Q73" s="59"/>
      <c r="R73" s="54"/>
      <c r="S73" s="55"/>
    </row>
    <row r="74" spans="1:19" x14ac:dyDescent="0.25">
      <c r="A74" s="58"/>
      <c r="B74" s="59"/>
      <c r="C74" s="54"/>
      <c r="D74" s="55"/>
      <c r="F74" s="58"/>
      <c r="G74" s="59"/>
      <c r="H74" s="54"/>
      <c r="I74" s="55"/>
      <c r="K74" s="58"/>
      <c r="L74" s="59"/>
      <c r="M74" s="54"/>
      <c r="N74" s="55"/>
      <c r="P74" s="58"/>
      <c r="Q74" s="59"/>
      <c r="R74" s="54"/>
      <c r="S74" s="55"/>
    </row>
    <row r="75" spans="1:19" x14ac:dyDescent="0.25">
      <c r="A75" s="58"/>
      <c r="B75" s="59"/>
      <c r="C75" s="54"/>
      <c r="D75" s="55"/>
      <c r="F75" s="58"/>
      <c r="G75" s="59"/>
      <c r="H75" s="54"/>
      <c r="I75" s="55"/>
      <c r="K75" s="58"/>
      <c r="L75" s="59"/>
      <c r="M75" s="54"/>
      <c r="N75" s="55"/>
      <c r="P75" s="58"/>
      <c r="Q75" s="59"/>
      <c r="R75" s="54"/>
      <c r="S75" s="55"/>
    </row>
    <row r="76" spans="1:19" x14ac:dyDescent="0.25">
      <c r="A76" s="58"/>
      <c r="B76" s="59"/>
      <c r="C76" s="54"/>
      <c r="D76" s="55"/>
      <c r="F76" s="58"/>
      <c r="G76" s="59"/>
      <c r="H76" s="54"/>
      <c r="I76" s="55"/>
      <c r="K76" s="58"/>
      <c r="L76" s="59"/>
      <c r="M76" s="54"/>
      <c r="N76" s="55"/>
      <c r="P76" s="58"/>
      <c r="Q76" s="59"/>
      <c r="R76" s="54"/>
      <c r="S76" s="55"/>
    </row>
    <row r="77" spans="1:19" x14ac:dyDescent="0.25">
      <c r="A77" s="58"/>
      <c r="B77" s="59"/>
      <c r="C77" s="54"/>
      <c r="D77" s="55"/>
      <c r="F77" s="58"/>
      <c r="G77" s="59"/>
      <c r="H77" s="54"/>
      <c r="I77" s="55"/>
      <c r="K77" s="58"/>
      <c r="L77" s="59"/>
      <c r="M77" s="54"/>
      <c r="N77" s="55"/>
      <c r="P77" s="58"/>
      <c r="Q77" s="59"/>
      <c r="R77" s="54"/>
      <c r="S77" s="55"/>
    </row>
    <row r="78" spans="1:19" x14ac:dyDescent="0.25">
      <c r="A78" s="58"/>
      <c r="B78" s="59"/>
      <c r="C78" s="54"/>
      <c r="D78" s="55"/>
      <c r="F78" s="58"/>
      <c r="G78" s="59"/>
      <c r="H78" s="54"/>
      <c r="I78" s="55"/>
      <c r="K78" s="58"/>
      <c r="L78" s="59"/>
      <c r="M78" s="54"/>
      <c r="N78" s="55"/>
      <c r="P78" s="58"/>
      <c r="Q78" s="59"/>
      <c r="R78" s="54"/>
      <c r="S78" s="55"/>
    </row>
    <row r="79" spans="1:19" x14ac:dyDescent="0.25">
      <c r="A79" s="58"/>
      <c r="B79" s="59"/>
      <c r="C79" s="54"/>
      <c r="D79" s="55"/>
      <c r="F79" s="58"/>
      <c r="G79" s="59"/>
      <c r="H79" s="54"/>
      <c r="I79" s="55"/>
      <c r="K79" s="58"/>
      <c r="L79" s="59"/>
      <c r="M79" s="54"/>
      <c r="N79" s="55"/>
      <c r="P79" s="58"/>
      <c r="Q79" s="59"/>
      <c r="R79" s="54"/>
      <c r="S79" s="55"/>
    </row>
    <row r="80" spans="1:19" x14ac:dyDescent="0.25">
      <c r="A80" s="58"/>
      <c r="B80" s="59"/>
      <c r="C80" s="54"/>
      <c r="D80" s="55"/>
      <c r="F80" s="58"/>
      <c r="G80" s="59"/>
      <c r="H80" s="54"/>
      <c r="I80" s="55"/>
      <c r="K80" s="58"/>
      <c r="L80" s="59"/>
      <c r="M80" s="54"/>
      <c r="N80" s="55"/>
      <c r="P80" s="58"/>
      <c r="Q80" s="59"/>
      <c r="R80" s="54"/>
      <c r="S80" s="55"/>
    </row>
    <row r="81" spans="1:19" x14ac:dyDescent="0.25">
      <c r="A81" s="58"/>
      <c r="B81" s="59"/>
      <c r="C81" s="54"/>
      <c r="D81" s="55"/>
      <c r="F81" s="58"/>
      <c r="G81" s="59"/>
      <c r="H81" s="54"/>
      <c r="I81" s="55"/>
      <c r="K81" s="58"/>
      <c r="L81" s="59"/>
      <c r="M81" s="54"/>
      <c r="N81" s="55"/>
      <c r="P81" s="58"/>
      <c r="Q81" s="59"/>
      <c r="R81" s="54"/>
      <c r="S81" s="55"/>
    </row>
    <row r="82" spans="1:19" x14ac:dyDescent="0.25">
      <c r="A82" s="58"/>
      <c r="B82" s="59"/>
      <c r="C82" s="54"/>
      <c r="D82" s="55"/>
      <c r="F82" s="58"/>
      <c r="G82" s="59"/>
      <c r="H82" s="54"/>
      <c r="I82" s="55"/>
      <c r="K82" s="58"/>
      <c r="L82" s="59"/>
      <c r="M82" s="54"/>
      <c r="N82" s="55"/>
      <c r="P82" s="58"/>
      <c r="Q82" s="59"/>
      <c r="R82" s="54"/>
      <c r="S82" s="55"/>
    </row>
    <row r="83" spans="1:19" x14ac:dyDescent="0.25">
      <c r="A83" s="58"/>
      <c r="B83" s="59"/>
      <c r="C83" s="54"/>
      <c r="D83" s="55"/>
      <c r="F83" s="58"/>
      <c r="G83" s="59"/>
      <c r="H83" s="54"/>
      <c r="I83" s="55"/>
      <c r="K83" s="58"/>
      <c r="L83" s="59"/>
      <c r="M83" s="54"/>
      <c r="N83" s="55"/>
      <c r="P83" s="58"/>
      <c r="Q83" s="59"/>
      <c r="R83" s="54"/>
      <c r="S83" s="55"/>
    </row>
    <row r="84" spans="1:19" x14ac:dyDescent="0.25">
      <c r="A84" s="58"/>
      <c r="B84" s="59"/>
      <c r="C84" s="54"/>
      <c r="D84" s="55"/>
      <c r="F84" s="58"/>
      <c r="G84" s="59"/>
      <c r="H84" s="54"/>
      <c r="I84" s="55"/>
      <c r="K84" s="58"/>
      <c r="L84" s="59"/>
      <c r="M84" s="54"/>
      <c r="N84" s="55"/>
      <c r="P84" s="58"/>
      <c r="Q84" s="59"/>
      <c r="R84" s="54"/>
      <c r="S84" s="55"/>
    </row>
    <row r="85" spans="1:19" x14ac:dyDescent="0.25">
      <c r="A85" s="58"/>
      <c r="B85" s="59"/>
      <c r="C85" s="54"/>
      <c r="D85" s="55"/>
      <c r="F85" s="58"/>
      <c r="G85" s="59"/>
      <c r="H85" s="54"/>
      <c r="I85" s="55"/>
      <c r="K85" s="58"/>
      <c r="L85" s="59"/>
      <c r="M85" s="54"/>
      <c r="N85" s="55"/>
      <c r="P85" s="58"/>
      <c r="Q85" s="59"/>
      <c r="R85" s="54"/>
      <c r="S85" s="55"/>
    </row>
    <row r="86" spans="1:19" x14ac:dyDescent="0.25">
      <c r="A86" s="58"/>
      <c r="B86" s="59"/>
      <c r="C86" s="54"/>
      <c r="D86" s="55"/>
      <c r="F86" s="58"/>
      <c r="G86" s="59"/>
      <c r="H86" s="54"/>
      <c r="I86" s="55"/>
      <c r="K86" s="58"/>
      <c r="L86" s="59"/>
      <c r="M86" s="54"/>
      <c r="N86" s="55"/>
      <c r="P86" s="58"/>
      <c r="Q86" s="59"/>
      <c r="R86" s="54"/>
      <c r="S86" s="55"/>
    </row>
    <row r="87" spans="1:19" x14ac:dyDescent="0.25">
      <c r="A87" s="58"/>
      <c r="B87" s="59"/>
      <c r="C87" s="54"/>
      <c r="D87" s="55"/>
      <c r="F87" s="58"/>
      <c r="G87" s="59"/>
      <c r="H87" s="54"/>
      <c r="I87" s="55"/>
      <c r="K87" s="58"/>
      <c r="L87" s="59"/>
      <c r="M87" s="54"/>
      <c r="N87" s="55"/>
      <c r="P87" s="58"/>
      <c r="Q87" s="59"/>
      <c r="R87" s="54"/>
      <c r="S87" s="55"/>
    </row>
    <row r="88" spans="1:19" x14ac:dyDescent="0.25">
      <c r="A88" s="58"/>
      <c r="B88" s="59"/>
      <c r="C88" s="54"/>
      <c r="D88" s="55"/>
      <c r="F88" s="58"/>
      <c r="G88" s="59"/>
      <c r="H88" s="54"/>
      <c r="I88" s="55"/>
      <c r="K88" s="58"/>
      <c r="L88" s="59"/>
      <c r="M88" s="54"/>
      <c r="N88" s="55"/>
      <c r="P88" s="58"/>
      <c r="Q88" s="59"/>
      <c r="R88" s="54"/>
      <c r="S88" s="55"/>
    </row>
    <row r="89" spans="1:19" x14ac:dyDescent="0.25">
      <c r="A89" s="58"/>
      <c r="B89" s="59"/>
      <c r="C89" s="54"/>
      <c r="D89" s="55"/>
      <c r="F89" s="58"/>
      <c r="G89" s="59"/>
      <c r="H89" s="54"/>
      <c r="I89" s="55"/>
      <c r="K89" s="58"/>
      <c r="L89" s="59"/>
      <c r="M89" s="54"/>
      <c r="N89" s="55"/>
      <c r="P89" s="58"/>
      <c r="Q89" s="59"/>
      <c r="R89" s="54"/>
      <c r="S89" s="55"/>
    </row>
    <row r="90" spans="1:19" x14ac:dyDescent="0.25">
      <c r="A90" s="58"/>
      <c r="B90" s="59"/>
      <c r="C90" s="54"/>
      <c r="D90" s="55"/>
      <c r="F90" s="58"/>
      <c r="G90" s="59"/>
      <c r="H90" s="54"/>
      <c r="I90" s="55"/>
      <c r="K90" s="58"/>
      <c r="L90" s="59"/>
      <c r="M90" s="54"/>
      <c r="N90" s="55"/>
      <c r="P90" s="58"/>
      <c r="Q90" s="59"/>
      <c r="R90" s="54"/>
      <c r="S90" s="55"/>
    </row>
    <row r="91" spans="1:19" x14ac:dyDescent="0.25">
      <c r="A91" s="58"/>
      <c r="B91" s="59"/>
      <c r="C91" s="54"/>
      <c r="D91" s="55"/>
      <c r="F91" s="58"/>
      <c r="G91" s="59"/>
      <c r="H91" s="54"/>
      <c r="I91" s="55"/>
      <c r="K91" s="58"/>
      <c r="L91" s="59"/>
      <c r="M91" s="54"/>
      <c r="N91" s="55"/>
      <c r="P91" s="58"/>
      <c r="Q91" s="59"/>
      <c r="R91" s="54"/>
      <c r="S91" s="55"/>
    </row>
    <row r="92" spans="1:19" x14ac:dyDescent="0.25">
      <c r="A92" s="58"/>
      <c r="B92" s="59"/>
      <c r="C92" s="54"/>
      <c r="D92" s="55"/>
      <c r="F92" s="58"/>
      <c r="G92" s="59"/>
      <c r="H92" s="54"/>
      <c r="I92" s="55"/>
      <c r="K92" s="58"/>
      <c r="L92" s="59"/>
      <c r="M92" s="54"/>
      <c r="N92" s="55"/>
      <c r="P92" s="58"/>
      <c r="Q92" s="59"/>
      <c r="R92" s="54"/>
      <c r="S92" s="55"/>
    </row>
    <row r="93" spans="1:19" x14ac:dyDescent="0.25">
      <c r="A93" s="58"/>
      <c r="B93" s="59"/>
      <c r="C93" s="54"/>
      <c r="D93" s="55"/>
      <c r="F93" s="58"/>
      <c r="G93" s="59"/>
      <c r="H93" s="54"/>
      <c r="I93" s="55"/>
      <c r="K93" s="58"/>
      <c r="L93" s="59"/>
      <c r="M93" s="54"/>
      <c r="N93" s="55"/>
      <c r="P93" s="58"/>
      <c r="Q93" s="59"/>
      <c r="R93" s="54"/>
      <c r="S93" s="55"/>
    </row>
    <row r="94" spans="1:19" x14ac:dyDescent="0.25">
      <c r="A94" s="58"/>
      <c r="B94" s="59"/>
      <c r="C94" s="54"/>
      <c r="D94" s="55"/>
      <c r="F94" s="58"/>
      <c r="G94" s="59"/>
      <c r="H94" s="54"/>
      <c r="I94" s="55"/>
      <c r="K94" s="58"/>
      <c r="L94" s="59"/>
      <c r="M94" s="54"/>
      <c r="N94" s="55"/>
      <c r="P94" s="58"/>
      <c r="Q94" s="59"/>
      <c r="R94" s="54"/>
      <c r="S94" s="55"/>
    </row>
    <row r="95" spans="1:19" x14ac:dyDescent="0.25">
      <c r="A95" s="58"/>
      <c r="B95" s="59"/>
      <c r="C95" s="54"/>
      <c r="D95" s="55"/>
      <c r="F95" s="58"/>
      <c r="G95" s="59"/>
      <c r="H95" s="54"/>
      <c r="I95" s="55"/>
      <c r="K95" s="58"/>
      <c r="L95" s="59"/>
      <c r="M95" s="54"/>
      <c r="N95" s="55"/>
      <c r="P95" s="58"/>
      <c r="Q95" s="59"/>
      <c r="R95" s="54"/>
      <c r="S95" s="55"/>
    </row>
    <row r="96" spans="1:19" x14ac:dyDescent="0.25">
      <c r="A96" s="58"/>
      <c r="B96" s="59"/>
      <c r="C96" s="54"/>
      <c r="D96" s="55"/>
      <c r="F96" s="58"/>
      <c r="G96" s="59"/>
      <c r="H96" s="54"/>
      <c r="I96" s="55"/>
      <c r="K96" s="58"/>
      <c r="L96" s="59"/>
      <c r="M96" s="54"/>
      <c r="N96" s="55"/>
      <c r="P96" s="58"/>
      <c r="Q96" s="59"/>
      <c r="R96" s="54"/>
      <c r="S96" s="55"/>
    </row>
    <row r="97" spans="1:19" x14ac:dyDescent="0.25">
      <c r="A97" s="58"/>
      <c r="B97" s="59"/>
      <c r="C97" s="54"/>
      <c r="D97" s="55"/>
      <c r="F97" s="58"/>
      <c r="G97" s="59"/>
      <c r="H97" s="54"/>
      <c r="I97" s="55"/>
      <c r="K97" s="58"/>
      <c r="L97" s="59"/>
      <c r="M97" s="54"/>
      <c r="N97" s="55"/>
      <c r="P97" s="58"/>
      <c r="Q97" s="59"/>
      <c r="R97" s="54"/>
      <c r="S97" s="55"/>
    </row>
    <row r="98" spans="1:19" x14ac:dyDescent="0.25">
      <c r="A98" s="58"/>
      <c r="B98" s="59"/>
      <c r="C98" s="54"/>
      <c r="D98" s="55"/>
      <c r="F98" s="58"/>
      <c r="G98" s="59"/>
      <c r="H98" s="54"/>
      <c r="I98" s="55"/>
      <c r="K98" s="58"/>
      <c r="L98" s="59"/>
      <c r="M98" s="54"/>
      <c r="N98" s="55"/>
      <c r="P98" s="58"/>
      <c r="Q98" s="59"/>
      <c r="R98" s="54"/>
      <c r="S98" s="55"/>
    </row>
    <row r="99" spans="1:19" x14ac:dyDescent="0.25">
      <c r="A99" s="58"/>
      <c r="B99" s="59"/>
      <c r="C99" s="54"/>
      <c r="D99" s="55"/>
      <c r="F99" s="58"/>
      <c r="G99" s="59"/>
      <c r="H99" s="54"/>
      <c r="I99" s="55"/>
      <c r="K99" s="58"/>
      <c r="L99" s="59"/>
      <c r="M99" s="54"/>
      <c r="N99" s="55"/>
      <c r="P99" s="58"/>
      <c r="Q99" s="59"/>
      <c r="R99" s="54"/>
      <c r="S99" s="55"/>
    </row>
    <row r="100" spans="1:19" x14ac:dyDescent="0.25">
      <c r="A100" s="58"/>
      <c r="B100" s="59"/>
      <c r="C100" s="54"/>
      <c r="D100" s="55"/>
      <c r="F100" s="58"/>
      <c r="G100" s="59"/>
      <c r="H100" s="54"/>
      <c r="I100" s="55"/>
      <c r="K100" s="58"/>
      <c r="L100" s="59"/>
      <c r="M100" s="54"/>
      <c r="N100" s="55"/>
      <c r="P100" s="58"/>
      <c r="Q100" s="59"/>
      <c r="R100" s="54"/>
      <c r="S100" s="55"/>
    </row>
    <row r="101" spans="1:19" x14ac:dyDescent="0.25">
      <c r="A101" s="58"/>
      <c r="B101" s="59"/>
      <c r="C101" s="54"/>
      <c r="D101" s="55"/>
      <c r="F101" s="58"/>
      <c r="G101" s="59"/>
      <c r="H101" s="54"/>
      <c r="I101" s="55"/>
      <c r="K101" s="58"/>
      <c r="L101" s="59"/>
      <c r="M101" s="54"/>
      <c r="N101" s="55"/>
      <c r="P101" s="58"/>
      <c r="Q101" s="59"/>
      <c r="R101" s="54"/>
      <c r="S101" s="55"/>
    </row>
    <row r="102" spans="1:19" x14ac:dyDescent="0.25">
      <c r="A102" s="58"/>
      <c r="B102" s="59"/>
      <c r="C102" s="54"/>
      <c r="D102" s="55"/>
      <c r="F102" s="58"/>
      <c r="G102" s="59"/>
      <c r="H102" s="54"/>
      <c r="I102" s="55"/>
      <c r="K102" s="58"/>
      <c r="L102" s="59"/>
      <c r="M102" s="54"/>
      <c r="N102" s="55"/>
      <c r="P102" s="58"/>
      <c r="Q102" s="59"/>
      <c r="R102" s="54"/>
      <c r="S102" s="55"/>
    </row>
    <row r="103" spans="1:19" x14ac:dyDescent="0.25">
      <c r="A103" s="58"/>
      <c r="B103" s="59"/>
      <c r="C103" s="54"/>
      <c r="D103" s="55"/>
      <c r="F103" s="58"/>
      <c r="G103" s="59"/>
      <c r="H103" s="54"/>
      <c r="I103" s="55"/>
      <c r="K103" s="58"/>
      <c r="L103" s="59"/>
      <c r="M103" s="54"/>
      <c r="N103" s="55"/>
      <c r="P103" s="58"/>
      <c r="Q103" s="59"/>
      <c r="R103" s="54"/>
      <c r="S103" s="55"/>
    </row>
    <row r="104" spans="1:19" x14ac:dyDescent="0.25">
      <c r="A104" s="58"/>
      <c r="B104" s="59"/>
      <c r="C104" s="54"/>
      <c r="D104" s="55"/>
      <c r="F104" s="58"/>
      <c r="G104" s="59"/>
      <c r="H104" s="54"/>
      <c r="I104" s="55"/>
      <c r="K104" s="58"/>
      <c r="L104" s="59"/>
      <c r="M104" s="54"/>
      <c r="N104" s="55"/>
      <c r="P104" s="58"/>
      <c r="Q104" s="59"/>
      <c r="R104" s="54"/>
      <c r="S104" s="55"/>
    </row>
    <row r="105" spans="1:19" x14ac:dyDescent="0.25">
      <c r="A105" s="58"/>
      <c r="B105" s="59"/>
      <c r="C105" s="54"/>
      <c r="D105" s="55"/>
      <c r="F105" s="58"/>
      <c r="G105" s="59"/>
      <c r="H105" s="54"/>
      <c r="I105" s="55"/>
      <c r="K105" s="58"/>
      <c r="L105" s="59"/>
      <c r="M105" s="54"/>
      <c r="N105" s="55"/>
      <c r="P105" s="58"/>
      <c r="Q105" s="59"/>
      <c r="R105" s="54"/>
      <c r="S105" s="55"/>
    </row>
    <row r="106" spans="1:19" x14ac:dyDescent="0.25">
      <c r="A106" s="58"/>
      <c r="B106" s="59"/>
      <c r="C106" s="54"/>
      <c r="D106" s="55"/>
      <c r="F106" s="58"/>
      <c r="G106" s="59"/>
      <c r="H106" s="54"/>
      <c r="I106" s="55"/>
      <c r="K106" s="58"/>
      <c r="L106" s="59"/>
      <c r="M106" s="54"/>
      <c r="N106" s="55"/>
      <c r="P106" s="58"/>
      <c r="Q106" s="59"/>
      <c r="R106" s="54"/>
      <c r="S106" s="55"/>
    </row>
    <row r="107" spans="1:19" x14ac:dyDescent="0.25">
      <c r="A107" s="58"/>
      <c r="B107" s="59"/>
      <c r="C107" s="54"/>
      <c r="D107" s="55"/>
      <c r="F107" s="58"/>
      <c r="G107" s="59"/>
      <c r="H107" s="54"/>
      <c r="I107" s="55"/>
      <c r="K107" s="58"/>
      <c r="L107" s="59"/>
      <c r="M107" s="54"/>
      <c r="N107" s="55"/>
      <c r="P107" s="58"/>
      <c r="Q107" s="59"/>
      <c r="R107" s="54"/>
      <c r="S107" s="55"/>
    </row>
    <row r="108" spans="1:19" x14ac:dyDescent="0.25">
      <c r="A108" s="58"/>
      <c r="B108" s="59"/>
      <c r="C108" s="54"/>
      <c r="D108" s="55"/>
      <c r="F108" s="58"/>
      <c r="G108" s="59"/>
      <c r="H108" s="54"/>
      <c r="I108" s="55"/>
      <c r="K108" s="58"/>
      <c r="L108" s="59"/>
      <c r="M108" s="54"/>
      <c r="N108" s="55"/>
      <c r="P108" s="58"/>
      <c r="Q108" s="59"/>
      <c r="R108" s="54"/>
      <c r="S108" s="55"/>
    </row>
    <row r="109" spans="1:19" x14ac:dyDescent="0.25">
      <c r="A109" s="58"/>
      <c r="B109" s="59"/>
      <c r="C109" s="54"/>
      <c r="D109" s="55"/>
      <c r="F109" s="58"/>
      <c r="G109" s="59"/>
      <c r="H109" s="54"/>
      <c r="I109" s="55"/>
      <c r="K109" s="58"/>
      <c r="L109" s="59"/>
      <c r="M109" s="54"/>
      <c r="N109" s="55"/>
      <c r="P109" s="58"/>
      <c r="Q109" s="59"/>
      <c r="R109" s="54"/>
      <c r="S109" s="55"/>
    </row>
    <row r="110" spans="1:19" x14ac:dyDescent="0.25">
      <c r="A110" s="58"/>
      <c r="B110" s="59"/>
      <c r="C110" s="54"/>
      <c r="D110" s="55"/>
      <c r="F110" s="58"/>
      <c r="G110" s="59"/>
      <c r="H110" s="54"/>
      <c r="I110" s="55"/>
      <c r="K110" s="58"/>
      <c r="L110" s="59"/>
      <c r="M110" s="54"/>
      <c r="N110" s="55"/>
      <c r="P110" s="58"/>
      <c r="Q110" s="59"/>
      <c r="R110" s="54"/>
      <c r="S110" s="55"/>
    </row>
    <row r="111" spans="1:19" x14ac:dyDescent="0.25">
      <c r="A111" s="58"/>
      <c r="B111" s="59"/>
      <c r="C111" s="54"/>
      <c r="D111" s="55"/>
      <c r="F111" s="58"/>
      <c r="G111" s="59"/>
      <c r="H111" s="54"/>
      <c r="I111" s="55"/>
      <c r="K111" s="58"/>
      <c r="L111" s="59"/>
      <c r="M111" s="54"/>
      <c r="N111" s="55"/>
      <c r="P111" s="58"/>
      <c r="Q111" s="59"/>
      <c r="R111" s="54"/>
      <c r="S111" s="55"/>
    </row>
    <row r="112" spans="1:19" x14ac:dyDescent="0.25">
      <c r="A112" s="58"/>
      <c r="B112" s="59"/>
      <c r="C112" s="54"/>
      <c r="D112" s="55"/>
      <c r="F112" s="58"/>
      <c r="G112" s="59"/>
      <c r="H112" s="54"/>
      <c r="I112" s="55"/>
      <c r="K112" s="58"/>
      <c r="L112" s="59"/>
      <c r="M112" s="54"/>
      <c r="N112" s="55"/>
      <c r="P112" s="58"/>
      <c r="Q112" s="59"/>
      <c r="R112" s="54"/>
      <c r="S112" s="55"/>
    </row>
    <row r="113" spans="1:19" x14ac:dyDescent="0.25">
      <c r="A113" s="58"/>
      <c r="B113" s="59"/>
      <c r="C113" s="54"/>
      <c r="D113" s="55"/>
      <c r="F113" s="58"/>
      <c r="G113" s="59"/>
      <c r="H113" s="54"/>
      <c r="I113" s="55"/>
      <c r="K113" s="58"/>
      <c r="L113" s="59"/>
      <c r="M113" s="54"/>
      <c r="N113" s="55"/>
      <c r="P113" s="58"/>
      <c r="Q113" s="59"/>
      <c r="R113" s="54"/>
      <c r="S113" s="55"/>
    </row>
    <row r="114" spans="1:19" x14ac:dyDescent="0.25">
      <c r="A114" s="58"/>
      <c r="B114" s="59"/>
      <c r="C114" s="54"/>
      <c r="D114" s="55"/>
      <c r="F114" s="58"/>
      <c r="G114" s="59"/>
      <c r="H114" s="54"/>
      <c r="I114" s="55"/>
      <c r="K114" s="58"/>
      <c r="L114" s="59"/>
      <c r="M114" s="54"/>
      <c r="N114" s="55"/>
      <c r="P114" s="58"/>
      <c r="Q114" s="59"/>
      <c r="R114" s="54"/>
      <c r="S114" s="55"/>
    </row>
    <row r="115" spans="1:19" x14ac:dyDescent="0.25">
      <c r="A115" s="58"/>
      <c r="B115" s="59"/>
      <c r="C115" s="54"/>
      <c r="D115" s="55"/>
      <c r="F115" s="58"/>
      <c r="G115" s="59"/>
      <c r="H115" s="54"/>
      <c r="I115" s="55"/>
      <c r="K115" s="58"/>
      <c r="L115" s="59"/>
      <c r="M115" s="54"/>
      <c r="N115" s="55"/>
      <c r="P115" s="58"/>
      <c r="Q115" s="59"/>
      <c r="R115" s="54"/>
      <c r="S115" s="55"/>
    </row>
    <row r="116" spans="1:19" x14ac:dyDescent="0.25">
      <c r="A116" s="58"/>
      <c r="B116" s="59"/>
      <c r="C116" s="54"/>
      <c r="D116" s="55"/>
      <c r="F116" s="58"/>
      <c r="G116" s="59"/>
      <c r="H116" s="54"/>
      <c r="I116" s="55"/>
      <c r="K116" s="58"/>
      <c r="L116" s="59"/>
      <c r="M116" s="54"/>
      <c r="N116" s="55"/>
      <c r="P116" s="58"/>
      <c r="Q116" s="59"/>
      <c r="R116" s="54"/>
      <c r="S116" s="55"/>
    </row>
    <row r="117" spans="1:19" x14ac:dyDescent="0.25">
      <c r="A117" s="58"/>
      <c r="B117" s="59"/>
      <c r="C117" s="54"/>
      <c r="D117" s="55"/>
      <c r="F117" s="58"/>
      <c r="G117" s="59"/>
      <c r="H117" s="54"/>
      <c r="I117" s="55"/>
      <c r="K117" s="58"/>
      <c r="L117" s="59"/>
      <c r="M117" s="54"/>
      <c r="N117" s="55"/>
      <c r="P117" s="58"/>
      <c r="Q117" s="59"/>
      <c r="R117" s="54"/>
      <c r="S117" s="55"/>
    </row>
    <row r="118" spans="1:19" ht="15.75" thickBot="1" x14ac:dyDescent="0.3">
      <c r="A118" s="60"/>
      <c r="B118" s="61"/>
      <c r="C118" s="56"/>
      <c r="D118" s="57"/>
      <c r="F118" s="60"/>
      <c r="G118" s="61"/>
      <c r="H118" s="56"/>
      <c r="I118" s="57"/>
      <c r="K118" s="58"/>
      <c r="L118" s="59"/>
      <c r="M118" s="54"/>
      <c r="N118" s="55"/>
      <c r="P118" s="58"/>
      <c r="Q118" s="59"/>
      <c r="R118" s="54"/>
      <c r="S118" s="55"/>
    </row>
    <row r="119" spans="1:19" x14ac:dyDescent="0.25">
      <c r="K119" s="58"/>
      <c r="L119" s="59"/>
      <c r="M119" s="54"/>
      <c r="N119" s="55"/>
      <c r="P119" s="58"/>
      <c r="Q119" s="59"/>
      <c r="R119" s="54"/>
      <c r="S119" s="55"/>
    </row>
    <row r="120" spans="1:19" x14ac:dyDescent="0.25">
      <c r="K120" s="58"/>
      <c r="L120" s="59"/>
      <c r="M120" s="54"/>
      <c r="N120" s="55"/>
      <c r="P120" s="58"/>
      <c r="Q120" s="59"/>
      <c r="R120" s="54"/>
      <c r="S120" s="55"/>
    </row>
    <row r="121" spans="1:19" x14ac:dyDescent="0.25">
      <c r="K121" s="58"/>
      <c r="L121" s="59"/>
      <c r="M121" s="54"/>
      <c r="N121" s="55"/>
      <c r="P121" s="58"/>
      <c r="Q121" s="59"/>
      <c r="R121" s="54"/>
      <c r="S121" s="55"/>
    </row>
    <row r="122" spans="1:19" x14ac:dyDescent="0.25">
      <c r="K122" s="58"/>
      <c r="L122" s="59"/>
      <c r="M122" s="54"/>
      <c r="N122" s="55"/>
      <c r="P122" s="58"/>
      <c r="Q122" s="59"/>
      <c r="R122" s="54"/>
      <c r="S122" s="55"/>
    </row>
    <row r="123" spans="1:19" x14ac:dyDescent="0.25">
      <c r="K123" s="58"/>
      <c r="L123" s="59"/>
      <c r="M123" s="54"/>
      <c r="N123" s="55"/>
      <c r="P123" s="58"/>
      <c r="Q123" s="59"/>
      <c r="R123" s="54"/>
      <c r="S123" s="55"/>
    </row>
    <row r="124" spans="1:19" x14ac:dyDescent="0.25">
      <c r="K124" s="58"/>
      <c r="L124" s="59"/>
      <c r="M124" s="54"/>
      <c r="N124" s="55"/>
      <c r="P124" s="58"/>
      <c r="Q124" s="59"/>
      <c r="R124" s="54"/>
      <c r="S124" s="55"/>
    </row>
    <row r="125" spans="1:19" x14ac:dyDescent="0.25">
      <c r="K125" s="58"/>
      <c r="L125" s="59"/>
      <c r="M125" s="54"/>
      <c r="N125" s="55"/>
      <c r="P125" s="58"/>
      <c r="Q125" s="59"/>
      <c r="R125" s="54"/>
      <c r="S125" s="55"/>
    </row>
    <row r="126" spans="1:19" x14ac:dyDescent="0.25">
      <c r="K126" s="58"/>
      <c r="L126" s="59"/>
      <c r="M126" s="54"/>
      <c r="N126" s="55"/>
      <c r="P126" s="58"/>
      <c r="Q126" s="59"/>
      <c r="R126" s="54"/>
      <c r="S126" s="55"/>
    </row>
    <row r="127" spans="1:19" x14ac:dyDescent="0.25">
      <c r="K127" s="58"/>
      <c r="L127" s="59"/>
      <c r="M127" s="54"/>
      <c r="N127" s="55"/>
      <c r="P127" s="58"/>
      <c r="Q127" s="59"/>
      <c r="R127" s="54"/>
      <c r="S127" s="55"/>
    </row>
    <row r="128" spans="1:19" x14ac:dyDescent="0.25">
      <c r="K128" s="58"/>
      <c r="L128" s="59"/>
      <c r="M128" s="54"/>
      <c r="N128" s="55"/>
      <c r="P128" s="58"/>
      <c r="Q128" s="59"/>
      <c r="R128" s="54"/>
      <c r="S128" s="55"/>
    </row>
    <row r="129" spans="11:19" x14ac:dyDescent="0.25">
      <c r="K129" s="58"/>
      <c r="L129" s="59"/>
      <c r="M129" s="54"/>
      <c r="N129" s="55"/>
      <c r="P129" s="58"/>
      <c r="Q129" s="59"/>
      <c r="R129" s="54"/>
      <c r="S129" s="55"/>
    </row>
    <row r="130" spans="11:19" x14ac:dyDescent="0.25">
      <c r="K130" s="58"/>
      <c r="L130" s="59"/>
      <c r="M130" s="54"/>
      <c r="N130" s="55"/>
      <c r="P130" s="58"/>
      <c r="Q130" s="59"/>
      <c r="R130" s="54"/>
      <c r="S130" s="55"/>
    </row>
    <row r="131" spans="11:19" x14ac:dyDescent="0.25">
      <c r="K131" s="58"/>
      <c r="L131" s="59"/>
      <c r="M131" s="54"/>
      <c r="N131" s="55"/>
      <c r="P131" s="58"/>
      <c r="Q131" s="59"/>
      <c r="R131" s="54"/>
      <c r="S131" s="55"/>
    </row>
    <row r="132" spans="11:19" x14ac:dyDescent="0.25">
      <c r="K132" s="58"/>
      <c r="L132" s="59"/>
      <c r="M132" s="54"/>
      <c r="N132" s="55"/>
      <c r="P132" s="58"/>
      <c r="Q132" s="59"/>
      <c r="R132" s="54"/>
      <c r="S132" s="55"/>
    </row>
    <row r="133" spans="11:19" x14ac:dyDescent="0.25">
      <c r="K133" s="58"/>
      <c r="L133" s="59"/>
      <c r="M133" s="54"/>
      <c r="N133" s="55"/>
      <c r="P133" s="58"/>
      <c r="Q133" s="59"/>
      <c r="R133" s="54"/>
      <c r="S133" s="55"/>
    </row>
    <row r="134" spans="11:19" x14ac:dyDescent="0.25">
      <c r="K134" s="58"/>
      <c r="L134" s="59"/>
      <c r="M134" s="54"/>
      <c r="N134" s="55"/>
      <c r="P134" s="58"/>
      <c r="Q134" s="59"/>
      <c r="R134" s="54"/>
      <c r="S134" s="55"/>
    </row>
    <row r="135" spans="11:19" x14ac:dyDescent="0.25">
      <c r="K135" s="58"/>
      <c r="L135" s="59"/>
      <c r="M135" s="54"/>
      <c r="N135" s="55"/>
      <c r="P135" s="58"/>
      <c r="Q135" s="59"/>
      <c r="R135" s="54"/>
      <c r="S135" s="55"/>
    </row>
    <row r="136" spans="11:19" x14ac:dyDescent="0.25">
      <c r="K136" s="58"/>
      <c r="L136" s="59"/>
      <c r="M136" s="54"/>
      <c r="N136" s="55"/>
      <c r="P136" s="58"/>
      <c r="Q136" s="59"/>
      <c r="R136" s="54"/>
      <c r="S136" s="55"/>
    </row>
    <row r="137" spans="11:19" x14ac:dyDescent="0.25">
      <c r="K137" s="58"/>
      <c r="L137" s="59"/>
      <c r="M137" s="54"/>
      <c r="N137" s="55"/>
      <c r="P137" s="58"/>
      <c r="Q137" s="59"/>
      <c r="R137" s="54"/>
      <c r="S137" s="55"/>
    </row>
    <row r="138" spans="11:19" x14ac:dyDescent="0.25">
      <c r="K138" s="58"/>
      <c r="L138" s="59"/>
      <c r="M138" s="54"/>
      <c r="N138" s="55"/>
      <c r="P138" s="58"/>
      <c r="Q138" s="59"/>
      <c r="R138" s="54"/>
      <c r="S138" s="55"/>
    </row>
    <row r="139" spans="11:19" x14ac:dyDescent="0.25">
      <c r="K139" s="58"/>
      <c r="L139" s="59"/>
      <c r="M139" s="54"/>
      <c r="N139" s="55"/>
      <c r="P139" s="58"/>
      <c r="Q139" s="59"/>
      <c r="R139" s="54"/>
      <c r="S139" s="55"/>
    </row>
    <row r="140" spans="11:19" x14ac:dyDescent="0.25">
      <c r="K140" s="58"/>
      <c r="L140" s="59"/>
      <c r="M140" s="54"/>
      <c r="N140" s="55"/>
      <c r="P140" s="58"/>
      <c r="Q140" s="59"/>
      <c r="R140" s="54"/>
      <c r="S140" s="55"/>
    </row>
    <row r="141" spans="11:19" x14ac:dyDescent="0.25">
      <c r="K141" s="58"/>
      <c r="L141" s="59"/>
      <c r="M141" s="54"/>
      <c r="N141" s="55"/>
      <c r="P141" s="58"/>
      <c r="Q141" s="59"/>
      <c r="R141" s="54"/>
      <c r="S141" s="55"/>
    </row>
    <row r="142" spans="11:19" x14ac:dyDescent="0.25">
      <c r="K142" s="58"/>
      <c r="L142" s="59"/>
      <c r="M142" s="54"/>
      <c r="N142" s="55"/>
      <c r="P142" s="58"/>
      <c r="Q142" s="59"/>
      <c r="R142" s="54"/>
      <c r="S142" s="55"/>
    </row>
    <row r="143" spans="11:19" x14ac:dyDescent="0.25">
      <c r="K143" s="58"/>
      <c r="L143" s="59"/>
      <c r="M143" s="54"/>
      <c r="N143" s="55"/>
      <c r="P143" s="58"/>
      <c r="Q143" s="59"/>
      <c r="R143" s="54"/>
      <c r="S143" s="55"/>
    </row>
    <row r="144" spans="11:19" x14ac:dyDescent="0.25">
      <c r="K144" s="58"/>
      <c r="L144" s="59"/>
      <c r="M144" s="54"/>
      <c r="N144" s="55"/>
      <c r="P144" s="58"/>
      <c r="Q144" s="59"/>
      <c r="R144" s="54"/>
      <c r="S144" s="55"/>
    </row>
    <row r="145" spans="11:19" x14ac:dyDescent="0.25">
      <c r="K145" s="58"/>
      <c r="L145" s="59"/>
      <c r="M145" s="54"/>
      <c r="N145" s="55"/>
      <c r="P145" s="58"/>
      <c r="Q145" s="59"/>
      <c r="R145" s="54"/>
      <c r="S145" s="55"/>
    </row>
    <row r="146" spans="11:19" x14ac:dyDescent="0.25">
      <c r="K146" s="58"/>
      <c r="L146" s="59"/>
      <c r="M146" s="54"/>
      <c r="N146" s="55"/>
      <c r="P146" s="58"/>
      <c r="Q146" s="59"/>
      <c r="R146" s="54"/>
      <c r="S146" s="55"/>
    </row>
    <row r="147" spans="11:19" x14ac:dyDescent="0.25">
      <c r="K147" s="58"/>
      <c r="L147" s="59"/>
      <c r="M147" s="54"/>
      <c r="N147" s="55"/>
      <c r="P147" s="58"/>
      <c r="Q147" s="59"/>
      <c r="R147" s="54"/>
      <c r="S147" s="55"/>
    </row>
    <row r="148" spans="11:19" x14ac:dyDescent="0.25">
      <c r="K148" s="58"/>
      <c r="L148" s="59"/>
      <c r="M148" s="54"/>
      <c r="N148" s="55"/>
      <c r="P148" s="58"/>
      <c r="Q148" s="59"/>
      <c r="R148" s="54"/>
      <c r="S148" s="55"/>
    </row>
    <row r="149" spans="11:19" x14ac:dyDescent="0.25">
      <c r="K149" s="58"/>
      <c r="L149" s="59"/>
      <c r="M149" s="54"/>
      <c r="N149" s="55"/>
      <c r="P149" s="58"/>
      <c r="Q149" s="59"/>
      <c r="R149" s="54"/>
      <c r="S149" s="55"/>
    </row>
    <row r="150" spans="11:19" x14ac:dyDescent="0.25">
      <c r="K150" s="58"/>
      <c r="L150" s="59"/>
      <c r="M150" s="54"/>
      <c r="N150" s="55"/>
      <c r="P150" s="58"/>
      <c r="Q150" s="59"/>
      <c r="R150" s="54"/>
      <c r="S150" s="55"/>
    </row>
    <row r="151" spans="11:19" x14ac:dyDescent="0.25">
      <c r="K151" s="58"/>
      <c r="L151" s="59"/>
      <c r="M151" s="54"/>
      <c r="N151" s="55"/>
      <c r="P151" s="58"/>
      <c r="Q151" s="59"/>
      <c r="R151" s="54"/>
      <c r="S151" s="55"/>
    </row>
    <row r="152" spans="11:19" x14ac:dyDescent="0.25">
      <c r="K152" s="58"/>
      <c r="L152" s="59"/>
      <c r="M152" s="54"/>
      <c r="N152" s="55"/>
      <c r="P152" s="58"/>
      <c r="Q152" s="59"/>
      <c r="R152" s="54"/>
      <c r="S152" s="55"/>
    </row>
    <row r="153" spans="11:19" x14ac:dyDescent="0.25">
      <c r="K153" s="58"/>
      <c r="L153" s="59"/>
      <c r="M153" s="54"/>
      <c r="N153" s="55"/>
      <c r="P153" s="58"/>
      <c r="Q153" s="59"/>
      <c r="R153" s="54"/>
      <c r="S153" s="55"/>
    </row>
    <row r="154" spans="11:19" x14ac:dyDescent="0.25">
      <c r="K154" s="58"/>
      <c r="L154" s="59"/>
      <c r="M154" s="54"/>
      <c r="N154" s="55"/>
      <c r="P154" s="58"/>
      <c r="Q154" s="59"/>
      <c r="R154" s="54"/>
      <c r="S154" s="55"/>
    </row>
    <row r="155" spans="11:19" x14ac:dyDescent="0.25">
      <c r="K155" s="58"/>
      <c r="L155" s="59"/>
      <c r="M155" s="54"/>
      <c r="N155" s="55"/>
      <c r="P155" s="58"/>
      <c r="Q155" s="59"/>
      <c r="R155" s="54"/>
      <c r="S155" s="55"/>
    </row>
    <row r="156" spans="11:19" x14ac:dyDescent="0.25">
      <c r="K156" s="58"/>
      <c r="L156" s="59"/>
      <c r="M156" s="54"/>
      <c r="N156" s="55"/>
      <c r="P156" s="58"/>
      <c r="Q156" s="59"/>
      <c r="R156" s="54"/>
      <c r="S156" s="55"/>
    </row>
    <row r="157" spans="11:19" x14ac:dyDescent="0.25">
      <c r="K157" s="58"/>
      <c r="L157" s="59"/>
      <c r="M157" s="54"/>
      <c r="N157" s="55"/>
      <c r="P157" s="58"/>
      <c r="Q157" s="59"/>
      <c r="R157" s="54"/>
      <c r="S157" s="55"/>
    </row>
    <row r="158" spans="11:19" x14ac:dyDescent="0.25">
      <c r="K158" s="58"/>
      <c r="L158" s="59"/>
      <c r="M158" s="54"/>
      <c r="N158" s="55"/>
      <c r="P158" s="58"/>
      <c r="Q158" s="59"/>
      <c r="R158" s="54"/>
      <c r="S158" s="55"/>
    </row>
    <row r="159" spans="11:19" x14ac:dyDescent="0.25">
      <c r="K159" s="58"/>
      <c r="L159" s="59"/>
      <c r="M159" s="54"/>
      <c r="N159" s="55"/>
      <c r="P159" s="58"/>
      <c r="Q159" s="59"/>
      <c r="R159" s="54"/>
      <c r="S159" s="55"/>
    </row>
    <row r="160" spans="11:19" x14ac:dyDescent="0.25">
      <c r="K160" s="58"/>
      <c r="L160" s="59"/>
      <c r="M160" s="54"/>
      <c r="N160" s="55"/>
      <c r="P160" s="58"/>
      <c r="Q160" s="59"/>
      <c r="R160" s="54"/>
      <c r="S160" s="55"/>
    </row>
    <row r="161" spans="11:19" x14ac:dyDescent="0.25">
      <c r="K161" s="58"/>
      <c r="L161" s="59"/>
      <c r="M161" s="54"/>
      <c r="N161" s="55"/>
      <c r="P161" s="58"/>
      <c r="Q161" s="59"/>
      <c r="R161" s="54"/>
      <c r="S161" s="55"/>
    </row>
    <row r="162" spans="11:19" x14ac:dyDescent="0.25">
      <c r="K162" s="58"/>
      <c r="L162" s="59"/>
      <c r="M162" s="54"/>
      <c r="N162" s="55"/>
      <c r="P162" s="58"/>
      <c r="Q162" s="59"/>
      <c r="R162" s="54"/>
      <c r="S162" s="55"/>
    </row>
    <row r="163" spans="11:19" x14ac:dyDescent="0.25">
      <c r="K163" s="58"/>
      <c r="L163" s="59"/>
      <c r="M163" s="54"/>
      <c r="N163" s="55"/>
      <c r="P163" s="58"/>
      <c r="Q163" s="59"/>
      <c r="R163" s="54"/>
      <c r="S163" s="55"/>
    </row>
    <row r="164" spans="11:19" x14ac:dyDescent="0.25">
      <c r="K164" s="58"/>
      <c r="L164" s="59"/>
      <c r="M164" s="54"/>
      <c r="N164" s="55"/>
      <c r="P164" s="58"/>
      <c r="Q164" s="59"/>
      <c r="R164" s="54"/>
      <c r="S164" s="55"/>
    </row>
    <row r="165" spans="11:19" x14ac:dyDescent="0.25">
      <c r="K165" s="58"/>
      <c r="L165" s="59"/>
      <c r="M165" s="54"/>
      <c r="N165" s="55"/>
      <c r="P165" s="58"/>
      <c r="Q165" s="59"/>
      <c r="R165" s="54"/>
      <c r="S165" s="55"/>
    </row>
    <row r="166" spans="11:19" x14ac:dyDescent="0.25">
      <c r="K166" s="58"/>
      <c r="L166" s="59"/>
      <c r="M166" s="54"/>
      <c r="N166" s="55"/>
      <c r="P166" s="58"/>
      <c r="Q166" s="59"/>
      <c r="R166" s="54"/>
      <c r="S166" s="55"/>
    </row>
    <row r="167" spans="11:19" x14ac:dyDescent="0.25">
      <c r="K167" s="58"/>
      <c r="L167" s="59"/>
      <c r="M167" s="54"/>
      <c r="N167" s="55"/>
      <c r="P167" s="58"/>
      <c r="Q167" s="59"/>
      <c r="R167" s="54"/>
      <c r="S167" s="55"/>
    </row>
    <row r="168" spans="11:19" x14ac:dyDescent="0.25">
      <c r="K168" s="58"/>
      <c r="L168" s="59"/>
      <c r="M168" s="54"/>
      <c r="N168" s="55"/>
      <c r="P168" s="58"/>
      <c r="Q168" s="59"/>
      <c r="R168" s="54"/>
      <c r="S168" s="55"/>
    </row>
    <row r="169" spans="11:19" x14ac:dyDescent="0.25">
      <c r="K169" s="58"/>
      <c r="L169" s="59"/>
      <c r="M169" s="54"/>
      <c r="N169" s="55"/>
      <c r="P169" s="58"/>
      <c r="Q169" s="59"/>
      <c r="R169" s="54"/>
      <c r="S169" s="55"/>
    </row>
    <row r="170" spans="11:19" x14ac:dyDescent="0.25">
      <c r="K170" s="58"/>
      <c r="L170" s="59"/>
      <c r="M170" s="54"/>
      <c r="N170" s="55"/>
      <c r="P170" s="58"/>
      <c r="Q170" s="59"/>
      <c r="R170" s="54"/>
      <c r="S170" s="55"/>
    </row>
    <row r="171" spans="11:19" x14ac:dyDescent="0.25">
      <c r="K171" s="58"/>
      <c r="L171" s="59"/>
      <c r="M171" s="54"/>
      <c r="N171" s="55"/>
      <c r="P171" s="58"/>
      <c r="Q171" s="59"/>
      <c r="R171" s="54"/>
      <c r="S171" s="55"/>
    </row>
    <row r="172" spans="11:19" x14ac:dyDescent="0.25">
      <c r="K172" s="58"/>
      <c r="L172" s="59"/>
      <c r="M172" s="54"/>
      <c r="N172" s="55"/>
      <c r="P172" s="58"/>
      <c r="Q172" s="59"/>
      <c r="R172" s="54"/>
      <c r="S172" s="55"/>
    </row>
    <row r="173" spans="11:19" x14ac:dyDescent="0.25">
      <c r="K173" s="58"/>
      <c r="L173" s="59"/>
      <c r="M173" s="54"/>
      <c r="N173" s="55"/>
      <c r="P173" s="58"/>
      <c r="Q173" s="59"/>
      <c r="R173" s="54"/>
      <c r="S173" s="55"/>
    </row>
    <row r="174" spans="11:19" x14ac:dyDescent="0.25">
      <c r="K174" s="58"/>
      <c r="L174" s="59"/>
      <c r="M174" s="54"/>
      <c r="N174" s="55"/>
      <c r="P174" s="58"/>
      <c r="Q174" s="59"/>
      <c r="R174" s="54"/>
      <c r="S174" s="55"/>
    </row>
    <row r="175" spans="11:19" x14ac:dyDescent="0.25">
      <c r="K175" s="58"/>
      <c r="L175" s="59"/>
      <c r="M175" s="54"/>
      <c r="N175" s="55"/>
      <c r="P175" s="58"/>
      <c r="Q175" s="59"/>
      <c r="R175" s="54"/>
      <c r="S175" s="55"/>
    </row>
    <row r="176" spans="11:19" x14ac:dyDescent="0.25">
      <c r="K176" s="58"/>
      <c r="L176" s="59"/>
      <c r="M176" s="54"/>
      <c r="N176" s="55"/>
      <c r="P176" s="58"/>
      <c r="Q176" s="59"/>
      <c r="R176" s="54"/>
      <c r="S176" s="55"/>
    </row>
    <row r="177" spans="11:19" x14ac:dyDescent="0.25">
      <c r="K177" s="58"/>
      <c r="L177" s="59"/>
      <c r="M177" s="54"/>
      <c r="N177" s="55"/>
      <c r="P177" s="58"/>
      <c r="Q177" s="59"/>
      <c r="R177" s="54"/>
      <c r="S177" s="55"/>
    </row>
    <row r="178" spans="11:19" x14ac:dyDescent="0.25">
      <c r="K178" s="58"/>
      <c r="L178" s="59"/>
      <c r="M178" s="54"/>
      <c r="N178" s="55"/>
      <c r="P178" s="58"/>
      <c r="Q178" s="59"/>
      <c r="R178" s="54"/>
      <c r="S178" s="55"/>
    </row>
    <row r="179" spans="11:19" x14ac:dyDescent="0.25">
      <c r="K179" s="58"/>
      <c r="L179" s="59"/>
      <c r="M179" s="54"/>
      <c r="N179" s="55"/>
      <c r="P179" s="58"/>
      <c r="Q179" s="59"/>
      <c r="R179" s="54"/>
      <c r="S179" s="55"/>
    </row>
    <row r="180" spans="11:19" x14ac:dyDescent="0.25">
      <c r="K180" s="58"/>
      <c r="L180" s="59"/>
      <c r="M180" s="54"/>
      <c r="N180" s="55"/>
      <c r="P180" s="58"/>
      <c r="Q180" s="59"/>
      <c r="R180" s="54"/>
      <c r="S180" s="55"/>
    </row>
    <row r="181" spans="11:19" x14ac:dyDescent="0.25">
      <c r="K181" s="58"/>
      <c r="L181" s="59"/>
      <c r="M181" s="54"/>
      <c r="N181" s="55"/>
      <c r="P181" s="58"/>
      <c r="Q181" s="59"/>
      <c r="R181" s="54"/>
      <c r="S181" s="55"/>
    </row>
    <row r="182" spans="11:19" x14ac:dyDescent="0.25">
      <c r="K182" s="58"/>
      <c r="L182" s="59"/>
      <c r="M182" s="54"/>
      <c r="N182" s="55"/>
      <c r="P182" s="58"/>
      <c r="Q182" s="59"/>
      <c r="R182" s="54"/>
      <c r="S182" s="55"/>
    </row>
    <row r="183" spans="11:19" x14ac:dyDescent="0.25">
      <c r="K183" s="58"/>
      <c r="L183" s="59"/>
      <c r="M183" s="54"/>
      <c r="N183" s="55"/>
      <c r="P183" s="58"/>
      <c r="Q183" s="59"/>
      <c r="R183" s="54"/>
      <c r="S183" s="55"/>
    </row>
    <row r="184" spans="11:19" x14ac:dyDescent="0.25">
      <c r="K184" s="58"/>
      <c r="L184" s="59"/>
      <c r="M184" s="54"/>
      <c r="N184" s="55"/>
      <c r="P184" s="58"/>
      <c r="Q184" s="59"/>
      <c r="R184" s="54"/>
      <c r="S184" s="55"/>
    </row>
    <row r="185" spans="11:19" x14ac:dyDescent="0.25">
      <c r="K185" s="58"/>
      <c r="L185" s="59"/>
      <c r="M185" s="54"/>
      <c r="N185" s="55"/>
      <c r="P185" s="58"/>
      <c r="Q185" s="59"/>
      <c r="R185" s="54"/>
      <c r="S185" s="55"/>
    </row>
    <row r="186" spans="11:19" x14ac:dyDescent="0.25">
      <c r="K186" s="58"/>
      <c r="L186" s="59"/>
      <c r="M186" s="54"/>
      <c r="N186" s="55"/>
      <c r="P186" s="58"/>
      <c r="Q186" s="59"/>
      <c r="R186" s="54"/>
      <c r="S186" s="55"/>
    </row>
    <row r="187" spans="11:19" x14ac:dyDescent="0.25">
      <c r="K187" s="58"/>
      <c r="L187" s="59"/>
      <c r="M187" s="54"/>
      <c r="N187" s="55"/>
      <c r="P187" s="58"/>
      <c r="Q187" s="59"/>
      <c r="R187" s="54"/>
      <c r="S187" s="55"/>
    </row>
    <row r="188" spans="11:19" x14ac:dyDescent="0.25">
      <c r="K188" s="58"/>
      <c r="L188" s="59"/>
      <c r="M188" s="54"/>
      <c r="N188" s="55"/>
      <c r="P188" s="58"/>
      <c r="Q188" s="59"/>
      <c r="R188" s="54"/>
      <c r="S188" s="55"/>
    </row>
    <row r="189" spans="11:19" x14ac:dyDescent="0.25">
      <c r="K189" s="58"/>
      <c r="L189" s="59"/>
      <c r="M189" s="54"/>
      <c r="N189" s="55"/>
      <c r="P189" s="58"/>
      <c r="Q189" s="59"/>
      <c r="R189" s="54"/>
      <c r="S189" s="55"/>
    </row>
    <row r="190" spans="11:19" x14ac:dyDescent="0.25">
      <c r="K190" s="58"/>
      <c r="L190" s="59"/>
      <c r="M190" s="54"/>
      <c r="N190" s="55"/>
      <c r="P190" s="58"/>
      <c r="Q190" s="59"/>
      <c r="R190" s="54"/>
      <c r="S190" s="55"/>
    </row>
    <row r="191" spans="11:19" x14ac:dyDescent="0.25">
      <c r="K191" s="58"/>
      <c r="L191" s="59"/>
      <c r="M191" s="54"/>
      <c r="N191" s="55"/>
      <c r="P191" s="58"/>
      <c r="Q191" s="59"/>
      <c r="R191" s="54"/>
      <c r="S191" s="55"/>
    </row>
    <row r="192" spans="11:19" x14ac:dyDescent="0.25">
      <c r="K192" s="58"/>
      <c r="L192" s="59"/>
      <c r="M192" s="54"/>
      <c r="N192" s="55"/>
      <c r="P192" s="58"/>
      <c r="Q192" s="59"/>
      <c r="R192" s="54"/>
      <c r="S192" s="55"/>
    </row>
    <row r="193" spans="11:19" x14ac:dyDescent="0.25">
      <c r="K193" s="58"/>
      <c r="L193" s="59"/>
      <c r="M193" s="54"/>
      <c r="N193" s="55"/>
      <c r="P193" s="58"/>
      <c r="Q193" s="59"/>
      <c r="R193" s="54"/>
      <c r="S193" s="55"/>
    </row>
    <row r="194" spans="11:19" x14ac:dyDescent="0.25">
      <c r="K194" s="58"/>
      <c r="L194" s="59"/>
      <c r="M194" s="54"/>
      <c r="N194" s="55"/>
      <c r="P194" s="58"/>
      <c r="Q194" s="59"/>
      <c r="R194" s="54"/>
      <c r="S194" s="55"/>
    </row>
    <row r="195" spans="11:19" x14ac:dyDescent="0.25">
      <c r="K195" s="58"/>
      <c r="L195" s="59"/>
      <c r="M195" s="54"/>
      <c r="N195" s="55"/>
      <c r="P195" s="58"/>
      <c r="Q195" s="59"/>
      <c r="R195" s="54"/>
      <c r="S195" s="55"/>
    </row>
    <row r="196" spans="11:19" x14ac:dyDescent="0.25">
      <c r="K196" s="58"/>
      <c r="L196" s="59"/>
      <c r="M196" s="54"/>
      <c r="N196" s="55"/>
      <c r="P196" s="58"/>
      <c r="Q196" s="59"/>
      <c r="R196" s="54"/>
      <c r="S196" s="55"/>
    </row>
    <row r="197" spans="11:19" x14ac:dyDescent="0.25">
      <c r="K197" s="58"/>
      <c r="L197" s="59"/>
      <c r="M197" s="54"/>
      <c r="N197" s="55"/>
      <c r="P197" s="58"/>
      <c r="Q197" s="59"/>
      <c r="R197" s="54"/>
      <c r="S197" s="55"/>
    </row>
    <row r="198" spans="11:19" x14ac:dyDescent="0.25">
      <c r="K198" s="58"/>
      <c r="L198" s="59"/>
      <c r="M198" s="54"/>
      <c r="N198" s="55"/>
      <c r="P198" s="58"/>
      <c r="Q198" s="59"/>
      <c r="R198" s="54"/>
      <c r="S198" s="55"/>
    </row>
    <row r="199" spans="11:19" x14ac:dyDescent="0.25">
      <c r="K199" s="58"/>
      <c r="L199" s="59"/>
      <c r="M199" s="54"/>
      <c r="N199" s="55"/>
      <c r="P199" s="58"/>
      <c r="Q199" s="59"/>
      <c r="R199" s="54"/>
      <c r="S199" s="55"/>
    </row>
    <row r="200" spans="11:19" x14ac:dyDescent="0.25">
      <c r="K200" s="58"/>
      <c r="L200" s="59"/>
      <c r="M200" s="54"/>
      <c r="N200" s="55"/>
      <c r="P200" s="58"/>
      <c r="Q200" s="59"/>
      <c r="R200" s="54"/>
      <c r="S200" s="55"/>
    </row>
    <row r="201" spans="11:19" x14ac:dyDescent="0.25">
      <c r="K201" s="58"/>
      <c r="L201" s="59"/>
      <c r="M201" s="54"/>
      <c r="N201" s="55"/>
      <c r="P201" s="58"/>
      <c r="Q201" s="59"/>
      <c r="R201" s="54"/>
      <c r="S201" s="55"/>
    </row>
    <row r="202" spans="11:19" x14ac:dyDescent="0.25">
      <c r="K202" s="58"/>
      <c r="L202" s="59"/>
      <c r="M202" s="54"/>
      <c r="N202" s="55"/>
      <c r="P202" s="58"/>
      <c r="Q202" s="59"/>
      <c r="R202" s="54"/>
      <c r="S202" s="55"/>
    </row>
    <row r="203" spans="11:19" x14ac:dyDescent="0.25">
      <c r="K203" s="58"/>
      <c r="L203" s="59"/>
      <c r="M203" s="54"/>
      <c r="N203" s="55"/>
      <c r="P203" s="58"/>
      <c r="Q203" s="59"/>
      <c r="R203" s="54"/>
      <c r="S203" s="55"/>
    </row>
    <row r="204" spans="11:19" x14ac:dyDescent="0.25">
      <c r="K204" s="58"/>
      <c r="L204" s="59"/>
      <c r="M204" s="54"/>
      <c r="N204" s="55"/>
      <c r="P204" s="58"/>
      <c r="Q204" s="59"/>
      <c r="R204" s="54"/>
      <c r="S204" s="55"/>
    </row>
    <row r="205" spans="11:19" x14ac:dyDescent="0.25">
      <c r="K205" s="58"/>
      <c r="L205" s="59"/>
      <c r="M205" s="54"/>
      <c r="N205" s="55"/>
      <c r="P205" s="58"/>
      <c r="Q205" s="59"/>
      <c r="R205" s="54"/>
      <c r="S205" s="55"/>
    </row>
    <row r="206" spans="11:19" x14ac:dyDescent="0.25">
      <c r="K206" s="58"/>
      <c r="L206" s="59"/>
      <c r="M206" s="54"/>
      <c r="N206" s="55"/>
      <c r="P206" s="58"/>
      <c r="Q206" s="59"/>
      <c r="R206" s="54"/>
      <c r="S206" s="55"/>
    </row>
    <row r="207" spans="11:19" x14ac:dyDescent="0.25">
      <c r="K207" s="58"/>
      <c r="L207" s="59"/>
      <c r="M207" s="54"/>
      <c r="N207" s="55"/>
      <c r="P207" s="58"/>
      <c r="Q207" s="59"/>
      <c r="R207" s="54"/>
      <c r="S207" s="55"/>
    </row>
    <row r="208" spans="11:19" x14ac:dyDescent="0.25">
      <c r="K208" s="58"/>
      <c r="L208" s="59"/>
      <c r="M208" s="54"/>
      <c r="N208" s="55"/>
      <c r="P208" s="58"/>
      <c r="Q208" s="59"/>
      <c r="R208" s="54"/>
      <c r="S208" s="55"/>
    </row>
    <row r="209" spans="11:19" x14ac:dyDescent="0.25">
      <c r="K209" s="58"/>
      <c r="L209" s="59"/>
      <c r="M209" s="54"/>
      <c r="N209" s="55"/>
      <c r="P209" s="58"/>
      <c r="Q209" s="59"/>
      <c r="R209" s="54"/>
      <c r="S209" s="55"/>
    </row>
    <row r="210" spans="11:19" x14ac:dyDescent="0.25">
      <c r="K210" s="58"/>
      <c r="L210" s="59"/>
      <c r="M210" s="54"/>
      <c r="N210" s="55"/>
      <c r="P210" s="58"/>
      <c r="Q210" s="59"/>
      <c r="R210" s="54"/>
      <c r="S210" s="55"/>
    </row>
    <row r="211" spans="11:19" x14ac:dyDescent="0.25">
      <c r="K211" s="58"/>
      <c r="L211" s="59"/>
      <c r="M211" s="54"/>
      <c r="N211" s="55"/>
      <c r="P211" s="58"/>
      <c r="Q211" s="59"/>
      <c r="R211" s="54"/>
      <c r="S211" s="55"/>
    </row>
    <row r="212" spans="11:19" x14ac:dyDescent="0.25">
      <c r="K212" s="58"/>
      <c r="L212" s="59"/>
      <c r="M212" s="54"/>
      <c r="N212" s="55"/>
      <c r="P212" s="58"/>
      <c r="Q212" s="59"/>
      <c r="R212" s="54"/>
      <c r="S212" s="55"/>
    </row>
    <row r="213" spans="11:19" x14ac:dyDescent="0.25">
      <c r="K213" s="58"/>
      <c r="L213" s="59"/>
      <c r="M213" s="54"/>
      <c r="N213" s="55"/>
      <c r="P213" s="58"/>
      <c r="Q213" s="59"/>
      <c r="R213" s="54"/>
      <c r="S213" s="55"/>
    </row>
    <row r="214" spans="11:19" x14ac:dyDescent="0.25">
      <c r="K214" s="58"/>
      <c r="L214" s="59"/>
      <c r="M214" s="54"/>
      <c r="N214" s="55"/>
      <c r="P214" s="58"/>
      <c r="Q214" s="59"/>
      <c r="R214" s="54"/>
      <c r="S214" s="55"/>
    </row>
    <row r="215" spans="11:19" x14ac:dyDescent="0.25">
      <c r="K215" s="58"/>
      <c r="L215" s="59"/>
      <c r="M215" s="54"/>
      <c r="N215" s="55"/>
      <c r="P215" s="58"/>
      <c r="Q215" s="59"/>
      <c r="R215" s="54"/>
      <c r="S215" s="55"/>
    </row>
    <row r="216" spans="11:19" x14ac:dyDescent="0.25">
      <c r="K216" s="58"/>
      <c r="L216" s="59"/>
      <c r="M216" s="54"/>
      <c r="N216" s="55"/>
      <c r="P216" s="58"/>
      <c r="Q216" s="59"/>
      <c r="R216" s="54"/>
      <c r="S216" s="55"/>
    </row>
    <row r="217" spans="11:19" x14ac:dyDescent="0.25">
      <c r="K217" s="58"/>
      <c r="L217" s="59"/>
      <c r="M217" s="54"/>
      <c r="N217" s="55"/>
      <c r="P217" s="58"/>
      <c r="Q217" s="59"/>
      <c r="R217" s="54"/>
      <c r="S217" s="55"/>
    </row>
    <row r="218" spans="11:19" x14ac:dyDescent="0.25">
      <c r="K218" s="58"/>
      <c r="L218" s="59"/>
      <c r="M218" s="54"/>
      <c r="N218" s="55"/>
      <c r="P218" s="58"/>
      <c r="Q218" s="59"/>
      <c r="R218" s="54"/>
      <c r="S218" s="55"/>
    </row>
    <row r="219" spans="11:19" x14ac:dyDescent="0.25">
      <c r="K219" s="58"/>
      <c r="L219" s="59"/>
      <c r="M219" s="54"/>
      <c r="N219" s="55"/>
      <c r="P219" s="58"/>
      <c r="Q219" s="59"/>
      <c r="R219" s="54"/>
      <c r="S219" s="55"/>
    </row>
    <row r="220" spans="11:19" x14ac:dyDescent="0.25">
      <c r="K220" s="58"/>
      <c r="L220" s="59"/>
      <c r="M220" s="54"/>
      <c r="N220" s="55"/>
      <c r="P220" s="58"/>
      <c r="Q220" s="59"/>
      <c r="R220" s="54"/>
      <c r="S220" s="55"/>
    </row>
    <row r="221" spans="11:19" x14ac:dyDescent="0.25">
      <c r="K221" s="58"/>
      <c r="L221" s="59"/>
      <c r="M221" s="54"/>
      <c r="N221" s="55"/>
      <c r="P221" s="58"/>
      <c r="Q221" s="59"/>
      <c r="R221" s="54"/>
      <c r="S221" s="55"/>
    </row>
    <row r="222" spans="11:19" x14ac:dyDescent="0.25">
      <c r="K222" s="58"/>
      <c r="L222" s="59"/>
      <c r="M222" s="54"/>
      <c r="N222" s="55"/>
      <c r="P222" s="58"/>
      <c r="Q222" s="59"/>
      <c r="R222" s="54"/>
      <c r="S222" s="55"/>
    </row>
    <row r="223" spans="11:19" x14ac:dyDescent="0.25">
      <c r="K223" s="58"/>
      <c r="L223" s="59"/>
      <c r="M223" s="54"/>
      <c r="N223" s="55"/>
      <c r="P223" s="58"/>
      <c r="Q223" s="59"/>
      <c r="R223" s="54"/>
      <c r="S223" s="55"/>
    </row>
    <row r="224" spans="11:19" x14ac:dyDescent="0.25">
      <c r="K224" s="58"/>
      <c r="L224" s="59"/>
      <c r="M224" s="54"/>
      <c r="N224" s="55"/>
      <c r="P224" s="58"/>
      <c r="Q224" s="59"/>
      <c r="R224" s="54"/>
      <c r="S224" s="55"/>
    </row>
    <row r="225" spans="11:19" x14ac:dyDescent="0.25">
      <c r="K225" s="58"/>
      <c r="L225" s="59"/>
      <c r="M225" s="54"/>
      <c r="N225" s="55"/>
      <c r="P225" s="58"/>
      <c r="Q225" s="59"/>
      <c r="R225" s="54"/>
      <c r="S225" s="55"/>
    </row>
    <row r="226" spans="11:19" x14ac:dyDescent="0.25">
      <c r="K226" s="58"/>
      <c r="L226" s="59"/>
      <c r="M226" s="54"/>
      <c r="N226" s="55"/>
      <c r="P226" s="58"/>
      <c r="Q226" s="59"/>
      <c r="R226" s="54"/>
      <c r="S226" s="55"/>
    </row>
    <row r="227" spans="11:19" x14ac:dyDescent="0.25">
      <c r="K227" s="58"/>
      <c r="L227" s="59"/>
      <c r="M227" s="54"/>
      <c r="N227" s="55"/>
      <c r="P227" s="58"/>
      <c r="Q227" s="59"/>
      <c r="R227" s="54"/>
      <c r="S227" s="55"/>
    </row>
    <row r="228" spans="11:19" x14ac:dyDescent="0.25">
      <c r="K228" s="58"/>
      <c r="L228" s="59"/>
      <c r="M228" s="54"/>
      <c r="N228" s="55"/>
      <c r="P228" s="58"/>
      <c r="Q228" s="59"/>
      <c r="R228" s="54"/>
      <c r="S228" s="55"/>
    </row>
    <row r="229" spans="11:19" x14ac:dyDescent="0.25">
      <c r="K229" s="58"/>
      <c r="L229" s="59"/>
      <c r="M229" s="54"/>
      <c r="N229" s="55"/>
      <c r="P229" s="58"/>
      <c r="Q229" s="59"/>
      <c r="R229" s="54"/>
      <c r="S229" s="55"/>
    </row>
    <row r="230" spans="11:19" x14ac:dyDescent="0.25">
      <c r="K230" s="58"/>
      <c r="L230" s="59"/>
      <c r="M230" s="54"/>
      <c r="N230" s="55"/>
      <c r="P230" s="58"/>
      <c r="Q230" s="59"/>
      <c r="R230" s="54"/>
      <c r="S230" s="55"/>
    </row>
    <row r="231" spans="11:19" x14ac:dyDescent="0.25">
      <c r="K231" s="58"/>
      <c r="L231" s="59"/>
      <c r="M231" s="54"/>
      <c r="N231" s="55"/>
      <c r="P231" s="58"/>
      <c r="Q231" s="59"/>
      <c r="R231" s="54"/>
      <c r="S231" s="55"/>
    </row>
    <row r="232" spans="11:19" x14ac:dyDescent="0.25">
      <c r="K232" s="58"/>
      <c r="L232" s="59"/>
      <c r="M232" s="54"/>
      <c r="N232" s="55"/>
      <c r="P232" s="58"/>
      <c r="Q232" s="59"/>
      <c r="R232" s="54"/>
      <c r="S232" s="55"/>
    </row>
    <row r="233" spans="11:19" x14ac:dyDescent="0.25">
      <c r="K233" s="58"/>
      <c r="L233" s="59"/>
      <c r="M233" s="54"/>
      <c r="N233" s="55"/>
      <c r="P233" s="58"/>
      <c r="Q233" s="59"/>
      <c r="R233" s="54"/>
      <c r="S233" s="55"/>
    </row>
    <row r="234" spans="11:19" x14ac:dyDescent="0.25">
      <c r="K234" s="58"/>
      <c r="L234" s="59"/>
      <c r="M234" s="54"/>
      <c r="N234" s="55"/>
      <c r="P234" s="58"/>
      <c r="Q234" s="59"/>
      <c r="R234" s="54"/>
      <c r="S234" s="55"/>
    </row>
    <row r="235" spans="11:19" x14ac:dyDescent="0.25">
      <c r="K235" s="58"/>
      <c r="L235" s="59"/>
      <c r="M235" s="54"/>
      <c r="N235" s="55"/>
      <c r="P235" s="58"/>
      <c r="Q235" s="59"/>
      <c r="R235" s="54"/>
      <c r="S235" s="55"/>
    </row>
    <row r="236" spans="11:19" x14ac:dyDescent="0.25">
      <c r="K236" s="58"/>
      <c r="L236" s="59"/>
      <c r="M236" s="54"/>
      <c r="N236" s="55"/>
      <c r="P236" s="58"/>
      <c r="Q236" s="59"/>
      <c r="R236" s="54"/>
      <c r="S236" s="55"/>
    </row>
    <row r="237" spans="11:19" x14ac:dyDescent="0.25">
      <c r="K237" s="58"/>
      <c r="L237" s="59"/>
      <c r="M237" s="54"/>
      <c r="N237" s="55"/>
      <c r="P237" s="58"/>
      <c r="Q237" s="59"/>
      <c r="R237" s="54"/>
      <c r="S237" s="55"/>
    </row>
    <row r="238" spans="11:19" x14ac:dyDescent="0.25">
      <c r="K238" s="58"/>
      <c r="L238" s="59"/>
      <c r="M238" s="54"/>
      <c r="N238" s="55"/>
      <c r="P238" s="58"/>
      <c r="Q238" s="59"/>
      <c r="R238" s="54"/>
      <c r="S238" s="55"/>
    </row>
    <row r="239" spans="11:19" x14ac:dyDescent="0.25">
      <c r="K239" s="58"/>
      <c r="L239" s="59"/>
      <c r="M239" s="54"/>
      <c r="N239" s="55"/>
      <c r="P239" s="58"/>
      <c r="Q239" s="59"/>
      <c r="R239" s="54"/>
      <c r="S239" s="55"/>
    </row>
    <row r="240" spans="11:19" x14ac:dyDescent="0.25">
      <c r="K240" s="58"/>
      <c r="L240" s="59"/>
      <c r="M240" s="54"/>
      <c r="N240" s="55"/>
      <c r="P240" s="58"/>
      <c r="Q240" s="59"/>
      <c r="R240" s="54"/>
      <c r="S240" s="55"/>
    </row>
    <row r="241" spans="11:19" x14ac:dyDescent="0.25">
      <c r="K241" s="58"/>
      <c r="L241" s="59"/>
      <c r="M241" s="54"/>
      <c r="N241" s="55"/>
      <c r="P241" s="58"/>
      <c r="Q241" s="59"/>
      <c r="R241" s="54"/>
      <c r="S241" s="55"/>
    </row>
    <row r="242" spans="11:19" x14ac:dyDescent="0.25">
      <c r="K242" s="58"/>
      <c r="L242" s="59"/>
      <c r="M242" s="54"/>
      <c r="N242" s="55"/>
      <c r="P242" s="58"/>
      <c r="Q242" s="59"/>
      <c r="R242" s="54"/>
      <c r="S242" s="55"/>
    </row>
    <row r="243" spans="11:19" x14ac:dyDescent="0.25">
      <c r="K243" s="58"/>
      <c r="L243" s="59"/>
      <c r="M243" s="54"/>
      <c r="N243" s="55"/>
      <c r="P243" s="58"/>
      <c r="Q243" s="59"/>
      <c r="R243" s="54"/>
      <c r="S243" s="55"/>
    </row>
    <row r="244" spans="11:19" x14ac:dyDescent="0.25">
      <c r="K244" s="58"/>
      <c r="L244" s="59"/>
      <c r="M244" s="54"/>
      <c r="N244" s="55"/>
      <c r="P244" s="58"/>
      <c r="Q244" s="59"/>
      <c r="R244" s="54"/>
      <c r="S244" s="55"/>
    </row>
    <row r="245" spans="11:19" x14ac:dyDescent="0.25">
      <c r="K245" s="58"/>
      <c r="L245" s="59"/>
      <c r="M245" s="54"/>
      <c r="N245" s="55"/>
      <c r="P245" s="58"/>
      <c r="Q245" s="59"/>
      <c r="R245" s="54"/>
      <c r="S245" s="55"/>
    </row>
    <row r="246" spans="11:19" x14ac:dyDescent="0.25">
      <c r="K246" s="58"/>
      <c r="L246" s="59"/>
      <c r="M246" s="54"/>
      <c r="N246" s="55"/>
      <c r="P246" s="58"/>
      <c r="Q246" s="59"/>
      <c r="R246" s="54"/>
      <c r="S246" s="55"/>
    </row>
    <row r="247" spans="11:19" x14ac:dyDescent="0.25">
      <c r="K247" s="58"/>
      <c r="L247" s="59"/>
      <c r="M247" s="54"/>
      <c r="N247" s="55"/>
      <c r="P247" s="58"/>
      <c r="Q247" s="59"/>
      <c r="R247" s="54"/>
      <c r="S247" s="55"/>
    </row>
    <row r="248" spans="11:19" x14ac:dyDescent="0.25">
      <c r="K248" s="58"/>
      <c r="L248" s="59"/>
      <c r="M248" s="54"/>
      <c r="N248" s="55"/>
      <c r="P248" s="58"/>
      <c r="Q248" s="59"/>
      <c r="R248" s="54"/>
      <c r="S248" s="55"/>
    </row>
    <row r="249" spans="11:19" x14ac:dyDescent="0.25">
      <c r="K249" s="58"/>
      <c r="L249" s="59"/>
      <c r="M249" s="54"/>
      <c r="N249" s="55"/>
      <c r="P249" s="58"/>
      <c r="Q249" s="59"/>
      <c r="R249" s="54"/>
      <c r="S249" s="55"/>
    </row>
    <row r="250" spans="11:19" x14ac:dyDescent="0.25">
      <c r="K250" s="58"/>
      <c r="L250" s="59"/>
      <c r="M250" s="54"/>
      <c r="N250" s="55"/>
      <c r="P250" s="58"/>
      <c r="Q250" s="59"/>
      <c r="R250" s="54"/>
      <c r="S250" s="55"/>
    </row>
    <row r="251" spans="11:19" x14ac:dyDescent="0.25">
      <c r="K251" s="58"/>
      <c r="L251" s="59"/>
      <c r="M251" s="54"/>
      <c r="N251" s="55"/>
      <c r="P251" s="58"/>
      <c r="Q251" s="59"/>
      <c r="R251" s="54"/>
      <c r="S251" s="55"/>
    </row>
    <row r="252" spans="11:19" x14ac:dyDescent="0.25">
      <c r="K252" s="58"/>
      <c r="L252" s="59"/>
      <c r="M252" s="54"/>
      <c r="N252" s="55"/>
      <c r="P252" s="58"/>
      <c r="Q252" s="59"/>
      <c r="R252" s="54"/>
      <c r="S252" s="55"/>
    </row>
    <row r="253" spans="11:19" x14ac:dyDescent="0.25">
      <c r="K253" s="58"/>
      <c r="L253" s="59"/>
      <c r="M253" s="54"/>
      <c r="N253" s="55"/>
      <c r="P253" s="58"/>
      <c r="Q253" s="59"/>
      <c r="R253" s="54"/>
      <c r="S253" s="55"/>
    </row>
    <row r="254" spans="11:19" x14ac:dyDescent="0.25">
      <c r="K254" s="58"/>
      <c r="L254" s="59"/>
      <c r="M254" s="54"/>
      <c r="N254" s="55"/>
      <c r="P254" s="58"/>
      <c r="Q254" s="59"/>
      <c r="R254" s="54"/>
      <c r="S254" s="55"/>
    </row>
    <row r="255" spans="11:19" x14ac:dyDescent="0.25">
      <c r="K255" s="58"/>
      <c r="L255" s="59"/>
      <c r="M255" s="54"/>
      <c r="N255" s="55"/>
      <c r="P255" s="58"/>
      <c r="Q255" s="59"/>
      <c r="R255" s="54"/>
      <c r="S255" s="55"/>
    </row>
    <row r="256" spans="11:19" x14ac:dyDescent="0.25">
      <c r="K256" s="58"/>
      <c r="L256" s="59"/>
      <c r="M256" s="54"/>
      <c r="N256" s="55"/>
      <c r="P256" s="58"/>
      <c r="Q256" s="59"/>
      <c r="R256" s="54"/>
      <c r="S256" s="55"/>
    </row>
    <row r="257" spans="11:19" x14ac:dyDescent="0.25">
      <c r="K257" s="58"/>
      <c r="L257" s="59"/>
      <c r="M257" s="54"/>
      <c r="N257" s="55"/>
      <c r="P257" s="58"/>
      <c r="Q257" s="59"/>
      <c r="R257" s="54"/>
      <c r="S257" s="55"/>
    </row>
    <row r="258" spans="11:19" x14ac:dyDescent="0.25">
      <c r="K258" s="58"/>
      <c r="L258" s="59"/>
      <c r="M258" s="54"/>
      <c r="N258" s="55"/>
      <c r="P258" s="58"/>
      <c r="Q258" s="59"/>
      <c r="R258" s="54"/>
      <c r="S258" s="55"/>
    </row>
    <row r="259" spans="11:19" x14ac:dyDescent="0.25">
      <c r="K259" s="58"/>
      <c r="L259" s="59"/>
      <c r="M259" s="54"/>
      <c r="N259" s="55"/>
      <c r="P259" s="58"/>
      <c r="Q259" s="59"/>
      <c r="R259" s="54"/>
      <c r="S259" s="55"/>
    </row>
    <row r="260" spans="11:19" x14ac:dyDescent="0.25">
      <c r="K260" s="58"/>
      <c r="L260" s="59"/>
      <c r="M260" s="54"/>
      <c r="N260" s="55"/>
      <c r="P260" s="58"/>
      <c r="Q260" s="59"/>
      <c r="R260" s="54"/>
      <c r="S260" s="55"/>
    </row>
    <row r="261" spans="11:19" x14ac:dyDescent="0.25">
      <c r="K261" s="58"/>
      <c r="L261" s="59"/>
      <c r="M261" s="54"/>
      <c r="N261" s="55"/>
      <c r="P261" s="58"/>
      <c r="Q261" s="59"/>
      <c r="R261" s="54"/>
      <c r="S261" s="55"/>
    </row>
    <row r="262" spans="11:19" x14ac:dyDescent="0.25">
      <c r="K262" s="58"/>
      <c r="L262" s="59"/>
      <c r="M262" s="54"/>
      <c r="N262" s="55"/>
      <c r="P262" s="58"/>
      <c r="Q262" s="59"/>
      <c r="R262" s="54"/>
      <c r="S262" s="55"/>
    </row>
    <row r="263" spans="11:19" x14ac:dyDescent="0.25">
      <c r="K263" s="58"/>
      <c r="L263" s="59"/>
      <c r="M263" s="54"/>
      <c r="N263" s="55"/>
      <c r="P263" s="58"/>
      <c r="Q263" s="59"/>
      <c r="R263" s="54"/>
      <c r="S263" s="55"/>
    </row>
    <row r="264" spans="11:19" x14ac:dyDescent="0.25">
      <c r="K264" s="58"/>
      <c r="L264" s="59"/>
      <c r="M264" s="54"/>
      <c r="N264" s="55"/>
      <c r="P264" s="58"/>
      <c r="Q264" s="59"/>
      <c r="R264" s="54"/>
      <c r="S264" s="55"/>
    </row>
    <row r="265" spans="11:19" x14ac:dyDescent="0.25">
      <c r="K265" s="58"/>
      <c r="L265" s="59"/>
      <c r="M265" s="54"/>
      <c r="N265" s="55"/>
      <c r="P265" s="58"/>
      <c r="Q265" s="59"/>
      <c r="R265" s="54"/>
      <c r="S265" s="55"/>
    </row>
    <row r="266" spans="11:19" x14ac:dyDescent="0.25">
      <c r="K266" s="58"/>
      <c r="L266" s="59"/>
      <c r="M266" s="54"/>
      <c r="N266" s="55"/>
      <c r="P266" s="58"/>
      <c r="Q266" s="59"/>
      <c r="R266" s="54"/>
      <c r="S266" s="55"/>
    </row>
    <row r="267" spans="11:19" x14ac:dyDescent="0.25">
      <c r="K267" s="58"/>
      <c r="L267" s="59"/>
      <c r="M267" s="54"/>
      <c r="N267" s="55"/>
      <c r="P267" s="58"/>
      <c r="Q267" s="59"/>
      <c r="R267" s="54"/>
      <c r="S267" s="55"/>
    </row>
    <row r="268" spans="11:19" x14ac:dyDescent="0.25">
      <c r="K268" s="58"/>
      <c r="L268" s="59"/>
      <c r="M268" s="54"/>
      <c r="N268" s="55"/>
      <c r="P268" s="58"/>
      <c r="Q268" s="59"/>
      <c r="R268" s="54"/>
      <c r="S268" s="55"/>
    </row>
    <row r="269" spans="11:19" x14ac:dyDescent="0.25">
      <c r="K269" s="58"/>
      <c r="L269" s="59"/>
      <c r="M269" s="54"/>
      <c r="N269" s="55"/>
      <c r="P269" s="58"/>
      <c r="Q269" s="59"/>
      <c r="R269" s="54"/>
      <c r="S269" s="55"/>
    </row>
    <row r="270" spans="11:19" x14ac:dyDescent="0.25">
      <c r="K270" s="58"/>
      <c r="L270" s="59"/>
      <c r="M270" s="54"/>
      <c r="N270" s="55"/>
      <c r="P270" s="58"/>
      <c r="Q270" s="59"/>
      <c r="R270" s="54"/>
      <c r="S270" s="55"/>
    </row>
    <row r="271" spans="11:19" x14ac:dyDescent="0.25">
      <c r="K271" s="58"/>
      <c r="L271" s="59"/>
      <c r="M271" s="54"/>
      <c r="N271" s="55"/>
      <c r="P271" s="58"/>
      <c r="Q271" s="59"/>
      <c r="R271" s="54"/>
      <c r="S271" s="55"/>
    </row>
    <row r="272" spans="11:19" x14ac:dyDescent="0.25">
      <c r="K272" s="58"/>
      <c r="L272" s="59"/>
      <c r="M272" s="54"/>
      <c r="N272" s="55"/>
      <c r="P272" s="58"/>
      <c r="Q272" s="59"/>
      <c r="R272" s="54"/>
      <c r="S272" s="55"/>
    </row>
    <row r="273" spans="11:19" x14ac:dyDescent="0.25">
      <c r="K273" s="58"/>
      <c r="L273" s="59"/>
      <c r="M273" s="54"/>
      <c r="N273" s="55"/>
      <c r="P273" s="58"/>
      <c r="Q273" s="59"/>
      <c r="R273" s="54"/>
      <c r="S273" s="55"/>
    </row>
    <row r="274" spans="11:19" x14ac:dyDescent="0.25">
      <c r="K274" s="58"/>
      <c r="L274" s="59"/>
      <c r="M274" s="54"/>
      <c r="N274" s="55"/>
      <c r="P274" s="58"/>
      <c r="Q274" s="59"/>
      <c r="R274" s="54"/>
      <c r="S274" s="55"/>
    </row>
    <row r="275" spans="11:19" x14ac:dyDescent="0.25">
      <c r="K275" s="58"/>
      <c r="L275" s="59"/>
      <c r="M275" s="54"/>
      <c r="N275" s="55"/>
      <c r="P275" s="58"/>
      <c r="Q275" s="59"/>
      <c r="R275" s="54"/>
      <c r="S275" s="55"/>
    </row>
    <row r="276" spans="11:19" x14ac:dyDescent="0.25">
      <c r="K276" s="58"/>
      <c r="L276" s="59"/>
      <c r="M276" s="54"/>
      <c r="N276" s="55"/>
      <c r="P276" s="58"/>
      <c r="Q276" s="59"/>
      <c r="R276" s="54"/>
      <c r="S276" s="55"/>
    </row>
    <row r="277" spans="11:19" x14ac:dyDescent="0.25">
      <c r="K277" s="58"/>
      <c r="L277" s="59"/>
      <c r="M277" s="54"/>
      <c r="N277" s="55"/>
      <c r="P277" s="58"/>
      <c r="Q277" s="59"/>
      <c r="R277" s="54"/>
      <c r="S277" s="55"/>
    </row>
    <row r="278" spans="11:19" x14ac:dyDescent="0.25">
      <c r="K278" s="58"/>
      <c r="L278" s="59"/>
      <c r="M278" s="54"/>
      <c r="N278" s="55"/>
      <c r="P278" s="58"/>
      <c r="Q278" s="59"/>
      <c r="R278" s="54"/>
      <c r="S278" s="55"/>
    </row>
    <row r="279" spans="11:19" x14ac:dyDescent="0.25">
      <c r="K279" s="58"/>
      <c r="L279" s="59"/>
      <c r="M279" s="54"/>
      <c r="N279" s="55"/>
      <c r="P279" s="58"/>
      <c r="Q279" s="59"/>
      <c r="R279" s="54"/>
      <c r="S279" s="55"/>
    </row>
    <row r="280" spans="11:19" x14ac:dyDescent="0.25">
      <c r="K280" s="58"/>
      <c r="L280" s="59"/>
      <c r="M280" s="54"/>
      <c r="N280" s="55"/>
      <c r="P280" s="58"/>
      <c r="Q280" s="59"/>
      <c r="R280" s="54"/>
      <c r="S280" s="55"/>
    </row>
    <row r="281" spans="11:19" x14ac:dyDescent="0.25">
      <c r="K281" s="58"/>
      <c r="L281" s="59"/>
      <c r="M281" s="54"/>
      <c r="N281" s="55"/>
      <c r="P281" s="58"/>
      <c r="Q281" s="59"/>
      <c r="R281" s="54"/>
      <c r="S281" s="55"/>
    </row>
    <row r="282" spans="11:19" x14ac:dyDescent="0.25">
      <c r="K282" s="58"/>
      <c r="L282" s="59"/>
      <c r="M282" s="54"/>
      <c r="N282" s="55"/>
      <c r="P282" s="58"/>
      <c r="Q282" s="59"/>
      <c r="R282" s="54"/>
      <c r="S282" s="55"/>
    </row>
    <row r="283" spans="11:19" x14ac:dyDescent="0.25">
      <c r="K283" s="58"/>
      <c r="L283" s="59"/>
      <c r="M283" s="54"/>
      <c r="N283" s="55"/>
      <c r="P283" s="58"/>
      <c r="Q283" s="59"/>
      <c r="R283" s="54"/>
      <c r="S283" s="55"/>
    </row>
    <row r="284" spans="11:19" x14ac:dyDescent="0.25">
      <c r="K284" s="58"/>
      <c r="L284" s="59"/>
      <c r="M284" s="54"/>
      <c r="N284" s="55"/>
      <c r="P284" s="58"/>
      <c r="Q284" s="59"/>
      <c r="R284" s="54"/>
      <c r="S284" s="55"/>
    </row>
    <row r="285" spans="11:19" x14ac:dyDescent="0.25">
      <c r="K285" s="58"/>
      <c r="L285" s="59"/>
      <c r="M285" s="54"/>
      <c r="N285" s="55"/>
      <c r="P285" s="58"/>
      <c r="Q285" s="59"/>
      <c r="R285" s="54"/>
      <c r="S285" s="55"/>
    </row>
    <row r="286" spans="11:19" x14ac:dyDescent="0.25">
      <c r="K286" s="58"/>
      <c r="L286" s="59"/>
      <c r="M286" s="54"/>
      <c r="N286" s="55"/>
      <c r="P286" s="58"/>
      <c r="Q286" s="59"/>
      <c r="R286" s="54"/>
      <c r="S286" s="55"/>
    </row>
    <row r="287" spans="11:19" x14ac:dyDescent="0.25">
      <c r="K287" s="58"/>
      <c r="L287" s="59"/>
      <c r="M287" s="54"/>
      <c r="N287" s="55"/>
      <c r="P287" s="58"/>
      <c r="Q287" s="59"/>
      <c r="R287" s="54"/>
      <c r="S287" s="55"/>
    </row>
    <row r="288" spans="11:19" x14ac:dyDescent="0.25">
      <c r="K288" s="58"/>
      <c r="L288" s="59"/>
      <c r="M288" s="54"/>
      <c r="N288" s="55"/>
      <c r="P288" s="58"/>
      <c r="Q288" s="59"/>
      <c r="R288" s="54"/>
      <c r="S288" s="55"/>
    </row>
    <row r="289" spans="11:19" x14ac:dyDescent="0.25">
      <c r="K289" s="58"/>
      <c r="L289" s="59"/>
      <c r="M289" s="54"/>
      <c r="N289" s="55"/>
      <c r="P289" s="58"/>
      <c r="Q289" s="59"/>
      <c r="R289" s="54"/>
      <c r="S289" s="55"/>
    </row>
    <row r="290" spans="11:19" x14ac:dyDescent="0.25">
      <c r="K290" s="58"/>
      <c r="L290" s="59"/>
      <c r="M290" s="54"/>
      <c r="N290" s="55"/>
      <c r="P290" s="58"/>
      <c r="Q290" s="59"/>
      <c r="R290" s="54"/>
      <c r="S290" s="55"/>
    </row>
    <row r="291" spans="11:19" x14ac:dyDescent="0.25">
      <c r="K291" s="58"/>
      <c r="L291" s="59"/>
      <c r="M291" s="54"/>
      <c r="N291" s="55"/>
      <c r="P291" s="58"/>
      <c r="Q291" s="59"/>
      <c r="R291" s="54"/>
      <c r="S291" s="55"/>
    </row>
    <row r="292" spans="11:19" x14ac:dyDescent="0.25">
      <c r="K292" s="58"/>
      <c r="L292" s="59"/>
      <c r="M292" s="54"/>
      <c r="N292" s="55"/>
      <c r="P292" s="58"/>
      <c r="Q292" s="59"/>
      <c r="R292" s="54"/>
      <c r="S292" s="55"/>
    </row>
    <row r="293" spans="11:19" x14ac:dyDescent="0.25">
      <c r="K293" s="58"/>
      <c r="L293" s="59"/>
      <c r="M293" s="54"/>
      <c r="N293" s="55"/>
      <c r="P293" s="58"/>
      <c r="Q293" s="59"/>
      <c r="R293" s="54"/>
      <c r="S293" s="55"/>
    </row>
    <row r="294" spans="11:19" x14ac:dyDescent="0.25">
      <c r="K294" s="58"/>
      <c r="L294" s="59"/>
      <c r="M294" s="54"/>
      <c r="N294" s="55"/>
      <c r="P294" s="58"/>
      <c r="Q294" s="59"/>
      <c r="R294" s="54"/>
      <c r="S294" s="55"/>
    </row>
    <row r="295" spans="11:19" x14ac:dyDescent="0.25">
      <c r="K295" s="58"/>
      <c r="L295" s="59"/>
      <c r="M295" s="54"/>
      <c r="N295" s="55"/>
      <c r="P295" s="58"/>
      <c r="Q295" s="59"/>
      <c r="R295" s="54"/>
      <c r="S295" s="55"/>
    </row>
    <row r="296" spans="11:19" x14ac:dyDescent="0.25">
      <c r="K296" s="58"/>
      <c r="L296" s="59"/>
      <c r="M296" s="54"/>
      <c r="N296" s="55"/>
      <c r="P296" s="58"/>
      <c r="Q296" s="59"/>
      <c r="R296" s="54"/>
      <c r="S296" s="55"/>
    </row>
    <row r="297" spans="11:19" x14ac:dyDescent="0.25">
      <c r="K297" s="58"/>
      <c r="L297" s="59"/>
      <c r="M297" s="54"/>
      <c r="N297" s="55"/>
      <c r="P297" s="58"/>
      <c r="Q297" s="59"/>
      <c r="R297" s="54"/>
      <c r="S297" s="55"/>
    </row>
    <row r="298" spans="11:19" x14ac:dyDescent="0.25">
      <c r="K298" s="58"/>
      <c r="L298" s="59"/>
      <c r="M298" s="54"/>
      <c r="N298" s="55"/>
      <c r="P298" s="58"/>
      <c r="Q298" s="59"/>
      <c r="R298" s="54"/>
      <c r="S298" s="55"/>
    </row>
    <row r="299" spans="11:19" x14ac:dyDescent="0.25">
      <c r="K299" s="58"/>
      <c r="L299" s="59"/>
      <c r="M299" s="54"/>
      <c r="N299" s="55"/>
      <c r="P299" s="58"/>
      <c r="Q299" s="59"/>
      <c r="R299" s="54"/>
      <c r="S299" s="55"/>
    </row>
    <row r="300" spans="11:19" x14ac:dyDescent="0.25">
      <c r="K300" s="58"/>
      <c r="L300" s="59"/>
      <c r="M300" s="54"/>
      <c r="N300" s="55"/>
      <c r="P300" s="58"/>
      <c r="Q300" s="59"/>
      <c r="R300" s="54"/>
      <c r="S300" s="55"/>
    </row>
    <row r="301" spans="11:19" x14ac:dyDescent="0.25">
      <c r="K301" s="58"/>
      <c r="L301" s="59"/>
      <c r="M301" s="54"/>
      <c r="N301" s="55"/>
      <c r="P301" s="58"/>
      <c r="Q301" s="59"/>
      <c r="R301" s="54"/>
      <c r="S301" s="55"/>
    </row>
    <row r="302" spans="11:19" x14ac:dyDescent="0.25">
      <c r="K302" s="58"/>
      <c r="L302" s="59"/>
      <c r="M302" s="54"/>
      <c r="N302" s="55"/>
      <c r="P302" s="58"/>
      <c r="Q302" s="59"/>
      <c r="R302" s="54"/>
      <c r="S302" s="55"/>
    </row>
    <row r="303" spans="11:19" x14ac:dyDescent="0.25">
      <c r="K303" s="58"/>
      <c r="L303" s="59"/>
      <c r="M303" s="54"/>
      <c r="N303" s="55"/>
      <c r="P303" s="58"/>
      <c r="Q303" s="59"/>
      <c r="R303" s="54"/>
      <c r="S303" s="55"/>
    </row>
    <row r="304" spans="11:19" x14ac:dyDescent="0.25">
      <c r="K304" s="58"/>
      <c r="L304" s="59"/>
      <c r="M304" s="54"/>
      <c r="N304" s="55"/>
      <c r="P304" s="58"/>
      <c r="Q304" s="59"/>
      <c r="R304" s="54"/>
      <c r="S304" s="55"/>
    </row>
    <row r="305" spans="11:19" x14ac:dyDescent="0.25">
      <c r="K305" s="58"/>
      <c r="L305" s="59"/>
      <c r="M305" s="54"/>
      <c r="N305" s="55"/>
      <c r="P305" s="58"/>
      <c r="Q305" s="59"/>
      <c r="R305" s="54"/>
      <c r="S305" s="55"/>
    </row>
    <row r="306" spans="11:19" x14ac:dyDescent="0.25">
      <c r="K306" s="58"/>
      <c r="L306" s="59"/>
      <c r="M306" s="54"/>
      <c r="N306" s="55"/>
      <c r="P306" s="58"/>
      <c r="Q306" s="59"/>
      <c r="R306" s="54"/>
      <c r="S306" s="55"/>
    </row>
    <row r="307" spans="11:19" x14ac:dyDescent="0.25">
      <c r="K307" s="58"/>
      <c r="L307" s="59"/>
      <c r="M307" s="54"/>
      <c r="N307" s="55"/>
      <c r="P307" s="58"/>
      <c r="Q307" s="59"/>
      <c r="R307" s="54"/>
      <c r="S307" s="55"/>
    </row>
    <row r="308" spans="11:19" x14ac:dyDescent="0.25">
      <c r="K308" s="58"/>
      <c r="L308" s="59"/>
      <c r="M308" s="54"/>
      <c r="N308" s="55"/>
      <c r="P308" s="58"/>
      <c r="Q308" s="59"/>
      <c r="R308" s="54"/>
      <c r="S308" s="55"/>
    </row>
    <row r="309" spans="11:19" x14ac:dyDescent="0.25">
      <c r="K309" s="58"/>
      <c r="L309" s="59"/>
      <c r="M309" s="54"/>
      <c r="N309" s="55"/>
      <c r="P309" s="58"/>
      <c r="Q309" s="59"/>
      <c r="R309" s="54"/>
      <c r="S309" s="55"/>
    </row>
    <row r="310" spans="11:19" x14ac:dyDescent="0.25">
      <c r="K310" s="58"/>
      <c r="L310" s="59"/>
      <c r="M310" s="54"/>
      <c r="N310" s="55"/>
      <c r="P310" s="58"/>
      <c r="Q310" s="59"/>
      <c r="R310" s="54"/>
      <c r="S310" s="55"/>
    </row>
    <row r="311" spans="11:19" x14ac:dyDescent="0.25">
      <c r="K311" s="58"/>
      <c r="L311" s="59"/>
      <c r="M311" s="54"/>
      <c r="N311" s="55"/>
      <c r="P311" s="58"/>
      <c r="Q311" s="59"/>
      <c r="R311" s="54"/>
      <c r="S311" s="55"/>
    </row>
    <row r="312" spans="11:19" x14ac:dyDescent="0.25">
      <c r="K312" s="58"/>
      <c r="L312" s="59"/>
      <c r="M312" s="54"/>
      <c r="N312" s="55"/>
      <c r="P312" s="58"/>
      <c r="Q312" s="59"/>
      <c r="R312" s="54"/>
      <c r="S312" s="55"/>
    </row>
    <row r="313" spans="11:19" x14ac:dyDescent="0.25">
      <c r="K313" s="58"/>
      <c r="L313" s="59"/>
      <c r="M313" s="54"/>
      <c r="N313" s="55"/>
      <c r="P313" s="58"/>
      <c r="Q313" s="59"/>
      <c r="R313" s="54"/>
      <c r="S313" s="55"/>
    </row>
    <row r="314" spans="11:19" x14ac:dyDescent="0.25">
      <c r="K314" s="58"/>
      <c r="L314" s="59"/>
      <c r="M314" s="54"/>
      <c r="N314" s="55"/>
      <c r="P314" s="58"/>
      <c r="Q314" s="59"/>
      <c r="R314" s="54"/>
      <c r="S314" s="55"/>
    </row>
    <row r="315" spans="11:19" x14ac:dyDescent="0.25">
      <c r="K315" s="58"/>
      <c r="L315" s="59"/>
      <c r="M315" s="54"/>
      <c r="N315" s="55"/>
      <c r="P315" s="58"/>
      <c r="Q315" s="59"/>
      <c r="R315" s="54"/>
      <c r="S315" s="55"/>
    </row>
    <row r="316" spans="11:19" x14ac:dyDescent="0.25">
      <c r="K316" s="58"/>
      <c r="L316" s="59"/>
      <c r="M316" s="54"/>
      <c r="N316" s="55"/>
      <c r="P316" s="58"/>
      <c r="Q316" s="59"/>
      <c r="R316" s="54"/>
      <c r="S316" s="55"/>
    </row>
    <row r="317" spans="11:19" x14ac:dyDescent="0.25">
      <c r="K317" s="58"/>
      <c r="L317" s="59"/>
      <c r="M317" s="54"/>
      <c r="N317" s="55"/>
      <c r="P317" s="58"/>
      <c r="Q317" s="59"/>
      <c r="R317" s="54"/>
      <c r="S317" s="55"/>
    </row>
    <row r="318" spans="11:19" x14ac:dyDescent="0.25">
      <c r="K318" s="58"/>
      <c r="L318" s="59"/>
      <c r="M318" s="54"/>
      <c r="N318" s="55"/>
      <c r="P318" s="58"/>
      <c r="Q318" s="59"/>
      <c r="R318" s="54"/>
      <c r="S318" s="55"/>
    </row>
    <row r="319" spans="11:19" x14ac:dyDescent="0.25">
      <c r="K319" s="58"/>
      <c r="L319" s="59"/>
      <c r="M319" s="54"/>
      <c r="N319" s="55"/>
      <c r="P319" s="58"/>
      <c r="Q319" s="59"/>
      <c r="R319" s="54"/>
      <c r="S319" s="55"/>
    </row>
    <row r="320" spans="11:19" x14ac:dyDescent="0.25">
      <c r="K320" s="58"/>
      <c r="L320" s="59"/>
      <c r="M320" s="54"/>
      <c r="N320" s="55"/>
      <c r="P320" s="58"/>
      <c r="Q320" s="59"/>
      <c r="R320" s="54"/>
      <c r="S320" s="55"/>
    </row>
    <row r="321" spans="11:19" x14ac:dyDescent="0.25">
      <c r="K321" s="58"/>
      <c r="L321" s="59"/>
      <c r="M321" s="54"/>
      <c r="N321" s="55"/>
      <c r="P321" s="58"/>
      <c r="Q321" s="59"/>
      <c r="R321" s="54"/>
      <c r="S321" s="55"/>
    </row>
    <row r="322" spans="11:19" x14ac:dyDescent="0.25">
      <c r="K322" s="58"/>
      <c r="L322" s="59"/>
      <c r="M322" s="54"/>
      <c r="N322" s="55"/>
      <c r="P322" s="58"/>
      <c r="Q322" s="59"/>
      <c r="R322" s="54"/>
      <c r="S322" s="55"/>
    </row>
    <row r="323" spans="11:19" x14ac:dyDescent="0.25">
      <c r="K323" s="58"/>
      <c r="L323" s="59"/>
      <c r="M323" s="54"/>
      <c r="N323" s="55"/>
      <c r="P323" s="58"/>
      <c r="Q323" s="59"/>
      <c r="R323" s="54"/>
      <c r="S323" s="55"/>
    </row>
    <row r="324" spans="11:19" x14ac:dyDescent="0.25">
      <c r="K324" s="58"/>
      <c r="L324" s="59"/>
      <c r="M324" s="54"/>
      <c r="N324" s="55"/>
      <c r="P324" s="58"/>
      <c r="Q324" s="59"/>
      <c r="R324" s="54"/>
      <c r="S324" s="55"/>
    </row>
    <row r="325" spans="11:19" x14ac:dyDescent="0.25">
      <c r="K325" s="58"/>
      <c r="L325" s="59"/>
      <c r="M325" s="54"/>
      <c r="N325" s="55"/>
      <c r="P325" s="58"/>
      <c r="Q325" s="59"/>
      <c r="R325" s="54"/>
      <c r="S325" s="55"/>
    </row>
    <row r="326" spans="11:19" x14ac:dyDescent="0.25">
      <c r="K326" s="58"/>
      <c r="L326" s="59"/>
      <c r="M326" s="54"/>
      <c r="N326" s="55"/>
      <c r="P326" s="58"/>
      <c r="Q326" s="59"/>
      <c r="R326" s="54"/>
      <c r="S326" s="55"/>
    </row>
    <row r="327" spans="11:19" x14ac:dyDescent="0.25">
      <c r="K327" s="58"/>
      <c r="L327" s="59"/>
      <c r="M327" s="54"/>
      <c r="N327" s="55"/>
      <c r="P327" s="58"/>
      <c r="Q327" s="59"/>
      <c r="R327" s="54"/>
      <c r="S327" s="55"/>
    </row>
    <row r="328" spans="11:19" x14ac:dyDescent="0.25">
      <c r="K328" s="58"/>
      <c r="L328" s="59"/>
      <c r="M328" s="54"/>
      <c r="N328" s="55"/>
      <c r="P328" s="58"/>
      <c r="Q328" s="59"/>
      <c r="R328" s="54"/>
      <c r="S328" s="55"/>
    </row>
    <row r="329" spans="11:19" x14ac:dyDescent="0.25">
      <c r="K329" s="58"/>
      <c r="L329" s="59"/>
      <c r="M329" s="54"/>
      <c r="N329" s="55"/>
      <c r="P329" s="58"/>
      <c r="Q329" s="59"/>
      <c r="R329" s="54"/>
      <c r="S329" s="55"/>
    </row>
    <row r="330" spans="11:19" x14ac:dyDescent="0.25">
      <c r="K330" s="58"/>
      <c r="L330" s="59"/>
      <c r="M330" s="54"/>
      <c r="N330" s="55"/>
      <c r="P330" s="58"/>
      <c r="Q330" s="59"/>
      <c r="R330" s="54"/>
      <c r="S330" s="55"/>
    </row>
    <row r="331" spans="11:19" x14ac:dyDescent="0.25">
      <c r="K331" s="58"/>
      <c r="L331" s="59"/>
      <c r="M331" s="54"/>
      <c r="N331" s="55"/>
      <c r="P331" s="58"/>
      <c r="Q331" s="59"/>
      <c r="R331" s="54"/>
      <c r="S331" s="55"/>
    </row>
    <row r="332" spans="11:19" x14ac:dyDescent="0.25">
      <c r="K332" s="58"/>
      <c r="L332" s="59"/>
      <c r="M332" s="54"/>
      <c r="N332" s="55"/>
      <c r="P332" s="58"/>
      <c r="Q332" s="59"/>
      <c r="R332" s="54"/>
      <c r="S332" s="55"/>
    </row>
    <row r="333" spans="11:19" x14ac:dyDescent="0.25">
      <c r="K333" s="58"/>
      <c r="L333" s="59"/>
      <c r="M333" s="54"/>
      <c r="N333" s="55"/>
      <c r="P333" s="58"/>
      <c r="Q333" s="59"/>
      <c r="R333" s="54"/>
      <c r="S333" s="55"/>
    </row>
    <row r="334" spans="11:19" x14ac:dyDescent="0.25">
      <c r="K334" s="58"/>
      <c r="L334" s="59"/>
      <c r="M334" s="54"/>
      <c r="N334" s="55"/>
      <c r="P334" s="58"/>
      <c r="Q334" s="59"/>
      <c r="R334" s="54"/>
      <c r="S334" s="55"/>
    </row>
    <row r="335" spans="11:19" x14ac:dyDescent="0.25">
      <c r="K335" s="58"/>
      <c r="L335" s="59"/>
      <c r="M335" s="54"/>
      <c r="N335" s="55"/>
      <c r="P335" s="58"/>
      <c r="Q335" s="59"/>
      <c r="R335" s="54"/>
      <c r="S335" s="55"/>
    </row>
    <row r="336" spans="11:19" x14ac:dyDescent="0.25">
      <c r="K336" s="58"/>
      <c r="L336" s="59"/>
      <c r="M336" s="54"/>
      <c r="N336" s="55"/>
      <c r="P336" s="58"/>
      <c r="Q336" s="59"/>
      <c r="R336" s="54"/>
      <c r="S336" s="55"/>
    </row>
    <row r="337" spans="11:19" x14ac:dyDescent="0.25">
      <c r="K337" s="58"/>
      <c r="L337" s="59"/>
      <c r="M337" s="54"/>
      <c r="N337" s="55"/>
      <c r="P337" s="58"/>
      <c r="Q337" s="59"/>
      <c r="R337" s="54"/>
      <c r="S337" s="55"/>
    </row>
    <row r="338" spans="11:19" x14ac:dyDescent="0.25">
      <c r="K338" s="58"/>
      <c r="L338" s="59"/>
      <c r="M338" s="54"/>
      <c r="N338" s="55"/>
      <c r="P338" s="58"/>
      <c r="Q338" s="59"/>
      <c r="R338" s="54"/>
      <c r="S338" s="55"/>
    </row>
    <row r="339" spans="11:19" x14ac:dyDescent="0.25">
      <c r="K339" s="58"/>
      <c r="L339" s="59"/>
      <c r="M339" s="54"/>
      <c r="N339" s="55"/>
      <c r="P339" s="58"/>
      <c r="Q339" s="59"/>
      <c r="R339" s="54"/>
      <c r="S339" s="55"/>
    </row>
    <row r="340" spans="11:19" x14ac:dyDescent="0.25">
      <c r="K340" s="58"/>
      <c r="L340" s="59"/>
      <c r="M340" s="54"/>
      <c r="N340" s="55"/>
      <c r="P340" s="58"/>
      <c r="Q340" s="59"/>
      <c r="R340" s="54"/>
      <c r="S340" s="55"/>
    </row>
    <row r="341" spans="11:19" x14ac:dyDescent="0.25">
      <c r="K341" s="58"/>
      <c r="L341" s="59"/>
      <c r="M341" s="54"/>
      <c r="N341" s="55"/>
      <c r="P341" s="58"/>
      <c r="Q341" s="59"/>
      <c r="R341" s="54"/>
      <c r="S341" s="55"/>
    </row>
    <row r="342" spans="11:19" x14ac:dyDescent="0.25">
      <c r="K342" s="58"/>
      <c r="L342" s="59"/>
      <c r="M342" s="54"/>
      <c r="N342" s="55"/>
      <c r="P342" s="58"/>
      <c r="Q342" s="59"/>
      <c r="R342" s="54"/>
      <c r="S342" s="55"/>
    </row>
    <row r="343" spans="11:19" x14ac:dyDescent="0.25">
      <c r="K343" s="58"/>
      <c r="L343" s="59"/>
      <c r="M343" s="54"/>
      <c r="N343" s="55"/>
      <c r="P343" s="58"/>
      <c r="Q343" s="59"/>
      <c r="R343" s="54"/>
      <c r="S343" s="55"/>
    </row>
    <row r="344" spans="11:19" x14ac:dyDescent="0.25">
      <c r="K344" s="58"/>
      <c r="L344" s="59"/>
      <c r="M344" s="54"/>
      <c r="N344" s="55"/>
      <c r="P344" s="58"/>
      <c r="Q344" s="59"/>
      <c r="R344" s="54"/>
      <c r="S344" s="55"/>
    </row>
    <row r="345" spans="11:19" x14ac:dyDescent="0.25">
      <c r="K345" s="58"/>
      <c r="L345" s="59"/>
      <c r="M345" s="54"/>
      <c r="N345" s="55"/>
      <c r="P345" s="58"/>
      <c r="Q345" s="59"/>
      <c r="R345" s="54"/>
      <c r="S345" s="55"/>
    </row>
    <row r="346" spans="11:19" x14ac:dyDescent="0.25">
      <c r="K346" s="58"/>
      <c r="L346" s="59"/>
      <c r="M346" s="54"/>
      <c r="N346" s="55"/>
      <c r="P346" s="58"/>
      <c r="Q346" s="59"/>
      <c r="R346" s="54"/>
      <c r="S346" s="55"/>
    </row>
    <row r="347" spans="11:19" x14ac:dyDescent="0.25">
      <c r="K347" s="58"/>
      <c r="L347" s="59"/>
      <c r="M347" s="54"/>
      <c r="N347" s="55"/>
      <c r="P347" s="58"/>
      <c r="Q347" s="59"/>
      <c r="R347" s="54"/>
      <c r="S347" s="55"/>
    </row>
    <row r="348" spans="11:19" ht="15.75" thickBot="1" x14ac:dyDescent="0.3">
      <c r="K348" s="60"/>
      <c r="L348" s="61"/>
      <c r="M348" s="56"/>
      <c r="N348" s="57"/>
      <c r="P348" s="60"/>
      <c r="Q348" s="61"/>
      <c r="R348" s="56"/>
      <c r="S348" s="57"/>
    </row>
  </sheetData>
  <mergeCells count="4">
    <mergeCell ref="A8:D8"/>
    <mergeCell ref="F8:I8"/>
    <mergeCell ref="K8:N8"/>
    <mergeCell ref="P8:S8"/>
  </mergeCells>
  <conditionalFormatting sqref="G3">
    <cfRule type="cellIs" dxfId="64" priority="5" operator="greaterThan">
      <formula>$J$4</formula>
    </cfRule>
  </conditionalFormatting>
  <conditionalFormatting sqref="T5">
    <cfRule type="cellIs" dxfId="63" priority="1" operator="greaterThan">
      <formula>$T$6</formula>
    </cfRule>
    <cfRule type="cellIs" dxfId="62" priority="4" operator="lessThan">
      <formula>$T$6</formula>
    </cfRule>
  </conditionalFormatting>
  <conditionalFormatting sqref="T6">
    <cfRule type="cellIs" dxfId="61" priority="2" operator="greaterThan">
      <formula>$T$5</formula>
    </cfRule>
    <cfRule type="cellIs" dxfId="60" priority="3" operator="lessThan">
      <formula>$T$5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F72995-27BA-4006-B432-70FF89250B27}">
  <sheetPr codeName="Sheet40"/>
  <dimension ref="A1:T348"/>
  <sheetViews>
    <sheetView zoomScale="90" zoomScaleNormal="90" workbookViewId="0">
      <pane ySplit="9" topLeftCell="A10" activePane="bottomLeft" state="frozen"/>
      <selection pane="bottomLeft" activeCell="E16" sqref="E16"/>
    </sheetView>
  </sheetViews>
  <sheetFormatPr baseColWidth="10" defaultColWidth="9.140625" defaultRowHeight="15" x14ac:dyDescent="0.25"/>
  <cols>
    <col min="2" max="2" width="11.85546875" bestFit="1" customWidth="1"/>
    <col min="3" max="3" width="17.140625" bestFit="1" customWidth="1"/>
    <col min="4" max="4" width="14.5703125" customWidth="1"/>
    <col min="5" max="7" width="14.5703125" bestFit="1" customWidth="1"/>
    <col min="8" max="8" width="18.7109375" bestFit="1" customWidth="1"/>
    <col min="9" max="9" width="16.28515625" bestFit="1" customWidth="1"/>
    <col min="10" max="10" width="14" bestFit="1" customWidth="1"/>
    <col min="12" max="12" width="11.85546875" bestFit="1" customWidth="1"/>
    <col min="13" max="13" width="17.140625" bestFit="1" customWidth="1"/>
    <col min="14" max="14" width="14.42578125" bestFit="1" customWidth="1"/>
    <col min="15" max="15" width="8.7109375" customWidth="1"/>
    <col min="17" max="17" width="14.85546875" bestFit="1" customWidth="1"/>
    <col min="18" max="18" width="17.140625" bestFit="1" customWidth="1"/>
    <col min="19" max="19" width="14.85546875" bestFit="1" customWidth="1"/>
    <col min="20" max="20" width="12.42578125" bestFit="1" customWidth="1"/>
    <col min="22" max="23" width="14.5703125" bestFit="1" customWidth="1"/>
    <col min="24" max="24" width="15.85546875" bestFit="1" customWidth="1"/>
    <col min="26" max="26" width="15.85546875" bestFit="1" customWidth="1"/>
  </cols>
  <sheetData>
    <row r="1" spans="1:20" ht="15.75" thickBot="1" x14ac:dyDescent="0.3">
      <c r="C1" s="1" t="s">
        <v>0</v>
      </c>
      <c r="D1" s="2" t="s">
        <v>1</v>
      </c>
      <c r="E1" s="1" t="s">
        <v>2</v>
      </c>
      <c r="F1" s="2" t="s">
        <v>3</v>
      </c>
      <c r="G1" s="63" t="s">
        <v>4</v>
      </c>
      <c r="H1" s="81" t="s">
        <v>24</v>
      </c>
      <c r="I1" s="66" t="s">
        <v>5</v>
      </c>
      <c r="J1" s="3">
        <v>368</v>
      </c>
      <c r="M1" s="1" t="s">
        <v>5</v>
      </c>
      <c r="N1" s="4" t="s">
        <v>6</v>
      </c>
      <c r="P1" t="s">
        <v>0</v>
      </c>
      <c r="Q1">
        <f>SUM(E10:E54)</f>
        <v>7.333333333333333</v>
      </c>
      <c r="R1" t="s">
        <v>2</v>
      </c>
      <c r="S1">
        <f>(M3/M2)*Q1</f>
        <v>4.8888888888888893</v>
      </c>
      <c r="T1">
        <f>S1-4</f>
        <v>0.88888888888888928</v>
      </c>
    </row>
    <row r="2" spans="1:20" ht="15.75" thickBot="1" x14ac:dyDescent="0.3">
      <c r="B2" s="5" t="s">
        <v>7</v>
      </c>
      <c r="C2" s="6">
        <f>SUMPRODUCT(C10:C118,E10:E118)</f>
        <v>4551225.333333333</v>
      </c>
      <c r="D2" s="7">
        <f>SUMPRODUCT(H10:H118,J10:J118)</f>
        <v>831665.66666666628</v>
      </c>
      <c r="E2" s="6">
        <f>SUMPRODUCT(M10:M348,O10:O348)</f>
        <v>3878561.2222222225</v>
      </c>
      <c r="F2" s="7">
        <f>SUMPRODUCT(R10:R348,T10:T348)</f>
        <v>2348994</v>
      </c>
      <c r="G2" s="64">
        <f>C2+D2+E2+F2</f>
        <v>11610446.222222222</v>
      </c>
      <c r="H2" s="82">
        <v>24786935</v>
      </c>
      <c r="I2" s="67" t="s">
        <v>6</v>
      </c>
      <c r="J2" s="8">
        <v>334</v>
      </c>
      <c r="L2" s="5" t="s">
        <v>8</v>
      </c>
      <c r="M2" s="9">
        <v>0.6</v>
      </c>
      <c r="N2" s="10">
        <v>0.25</v>
      </c>
      <c r="P2" t="s">
        <v>3</v>
      </c>
      <c r="Q2">
        <f>SUM(T10:T64)</f>
        <v>3</v>
      </c>
      <c r="R2" t="s">
        <v>1</v>
      </c>
      <c r="S2">
        <f>(N2/N3)*Q2</f>
        <v>1</v>
      </c>
      <c r="T2">
        <f>S2-0.666666666666667</f>
        <v>0.33333333333333304</v>
      </c>
    </row>
    <row r="3" spans="1:20" ht="15.75" thickBot="1" x14ac:dyDescent="0.3">
      <c r="B3" s="11" t="s">
        <v>9</v>
      </c>
      <c r="C3" s="12">
        <f>SUMPRODUCT(B10:B118,E10:E118)</f>
        <v>222.39130434782609</v>
      </c>
      <c r="D3" s="13">
        <f>SUMPRODUCT(G10:G118,J10:J118)</f>
        <v>33.413173652694596</v>
      </c>
      <c r="E3" s="12">
        <f>SUMPRODUCT(L10:L348,O10:O348)</f>
        <v>148.2608695652174</v>
      </c>
      <c r="F3" s="13">
        <f>SUMPRODUCT(Q10:Q348,T10:T348)</f>
        <v>100.23952095808383</v>
      </c>
      <c r="G3" s="65">
        <f>SUM(C3:F3)</f>
        <v>504.30486852382194</v>
      </c>
      <c r="H3" s="80">
        <f>(H2-G2)/G2</f>
        <v>1.1348822022497442</v>
      </c>
      <c r="I3" s="67" t="s">
        <v>10</v>
      </c>
      <c r="J3" s="8">
        <f>11160</f>
        <v>11160</v>
      </c>
      <c r="L3" s="14" t="s">
        <v>11</v>
      </c>
      <c r="M3" s="15">
        <v>0.4</v>
      </c>
      <c r="N3" s="16">
        <v>0.75</v>
      </c>
      <c r="P3" t="s">
        <v>0</v>
      </c>
      <c r="Q3">
        <v>1</v>
      </c>
      <c r="R3" t="s">
        <v>2</v>
      </c>
      <c r="S3">
        <f>(M3/M2)*Q3</f>
        <v>0.66666666666666674</v>
      </c>
    </row>
    <row r="4" spans="1:20" ht="15.75" thickBot="1" x14ac:dyDescent="0.3">
      <c r="B4" s="14" t="s">
        <v>12</v>
      </c>
      <c r="C4" s="17">
        <f>SUM(E10:E118)*J3</f>
        <v>81840</v>
      </c>
      <c r="D4" s="18">
        <f>SUM(J10:J118)*J3</f>
        <v>11159.999999999996</v>
      </c>
      <c r="E4" s="17">
        <f>SUM(O10:O348)*J3</f>
        <v>54560.000000000007</v>
      </c>
      <c r="F4" s="18">
        <f>SUM(T10:T348)*J3</f>
        <v>33480</v>
      </c>
      <c r="G4" s="19">
        <f>SUM(C4:F4)</f>
        <v>181040</v>
      </c>
      <c r="H4" s="20"/>
      <c r="I4" s="21" t="s">
        <v>13</v>
      </c>
      <c r="J4" s="22">
        <v>100000</v>
      </c>
      <c r="L4" s="5" t="s">
        <v>14</v>
      </c>
      <c r="M4" s="76">
        <f>C4/(C4+E4)</f>
        <v>0.6</v>
      </c>
      <c r="N4" s="77">
        <f>D4/(D4+F4)</f>
        <v>0.24999999999999992</v>
      </c>
      <c r="O4" s="23"/>
      <c r="P4" t="s">
        <v>3</v>
      </c>
      <c r="Q4">
        <v>1</v>
      </c>
      <c r="R4" t="s">
        <v>1</v>
      </c>
      <c r="S4">
        <f>(N2/N3)*Q4</f>
        <v>0.33333333333333331</v>
      </c>
    </row>
    <row r="5" spans="1:20" ht="15.75" thickBot="1" x14ac:dyDescent="0.3">
      <c r="B5" s="24" t="s">
        <v>15</v>
      </c>
      <c r="C5" s="25">
        <v>217620</v>
      </c>
      <c r="D5" s="26">
        <v>74400</v>
      </c>
      <c r="E5" s="27">
        <v>145080</v>
      </c>
      <c r="F5" s="26">
        <v>223200</v>
      </c>
      <c r="G5" s="28">
        <f>SUM(C5:F5)</f>
        <v>660300</v>
      </c>
      <c r="H5" s="20"/>
      <c r="I5" s="20"/>
      <c r="L5" s="29" t="s">
        <v>16</v>
      </c>
      <c r="M5" s="78">
        <f>E4/(C4+E4)</f>
        <v>0.40000000000000008</v>
      </c>
      <c r="N5" s="79">
        <f>F4/(D4+F4)</f>
        <v>0.75</v>
      </c>
      <c r="O5" s="23"/>
      <c r="P5" t="s">
        <v>0</v>
      </c>
      <c r="Q5" s="88">
        <v>13629.915412186379</v>
      </c>
      <c r="R5" t="s">
        <v>2</v>
      </c>
      <c r="S5" s="88">
        <v>24384.682437275987</v>
      </c>
      <c r="T5">
        <f>Q5*Q3+S5*S3</f>
        <v>29886.370370370372</v>
      </c>
    </row>
    <row r="6" spans="1:20" ht="15.75" thickBot="1" x14ac:dyDescent="0.3">
      <c r="B6" s="24" t="s">
        <v>17</v>
      </c>
      <c r="C6" s="27">
        <f>C5-C4</f>
        <v>135780</v>
      </c>
      <c r="D6" s="30">
        <f>D5-D4</f>
        <v>63240</v>
      </c>
      <c r="E6" s="27">
        <f>E5-E4</f>
        <v>90520</v>
      </c>
      <c r="F6" s="30">
        <f>F5-F4</f>
        <v>189720</v>
      </c>
      <c r="H6" s="20"/>
      <c r="I6" s="20"/>
      <c r="J6" s="62"/>
      <c r="N6" s="23"/>
      <c r="O6" s="23"/>
      <c r="P6" t="s">
        <v>3</v>
      </c>
      <c r="Q6" s="88">
        <v>21214.327240143371</v>
      </c>
      <c r="R6" t="s">
        <v>1</v>
      </c>
      <c r="S6" s="88">
        <v>24441.826702508963</v>
      </c>
      <c r="T6">
        <f>Q6*Q4+S6*S4</f>
        <v>29361.602807646359</v>
      </c>
    </row>
    <row r="7" spans="1:20" ht="15.75" thickBot="1" x14ac:dyDescent="0.3"/>
    <row r="8" spans="1:20" ht="15.75" thickBot="1" x14ac:dyDescent="0.3">
      <c r="A8" s="113" t="s">
        <v>18</v>
      </c>
      <c r="B8" s="114"/>
      <c r="C8" s="114"/>
      <c r="D8" s="115"/>
      <c r="E8" s="31"/>
      <c r="F8" s="113" t="s">
        <v>19</v>
      </c>
      <c r="G8" s="114"/>
      <c r="H8" s="114"/>
      <c r="I8" s="115"/>
      <c r="J8" s="31"/>
      <c r="K8" s="113" t="s">
        <v>20</v>
      </c>
      <c r="L8" s="114"/>
      <c r="M8" s="114"/>
      <c r="N8" s="115"/>
      <c r="O8" s="31"/>
      <c r="P8" s="113" t="s">
        <v>21</v>
      </c>
      <c r="Q8" s="114"/>
      <c r="R8" s="114"/>
      <c r="S8" s="115"/>
    </row>
    <row r="9" spans="1:20" ht="15.75" thickBot="1" x14ac:dyDescent="0.3">
      <c r="A9" s="32" t="s">
        <v>22</v>
      </c>
      <c r="B9" s="33" t="s">
        <v>9</v>
      </c>
      <c r="C9" s="33" t="s">
        <v>7</v>
      </c>
      <c r="D9" s="34" t="s">
        <v>23</v>
      </c>
      <c r="E9" s="31"/>
      <c r="F9" s="32" t="s">
        <v>22</v>
      </c>
      <c r="G9" s="33" t="s">
        <v>9</v>
      </c>
      <c r="H9" s="33" t="s">
        <v>7</v>
      </c>
      <c r="I9" s="34" t="s">
        <v>23</v>
      </c>
      <c r="J9" s="31"/>
      <c r="K9" s="32" t="s">
        <v>22</v>
      </c>
      <c r="L9" s="33" t="s">
        <v>9</v>
      </c>
      <c r="M9" s="33" t="s">
        <v>7</v>
      </c>
      <c r="N9" s="34" t="s">
        <v>23</v>
      </c>
      <c r="O9" s="31"/>
      <c r="P9" s="35" t="s">
        <v>22</v>
      </c>
      <c r="Q9" s="36" t="s">
        <v>9</v>
      </c>
      <c r="R9" s="36" t="s">
        <v>7</v>
      </c>
      <c r="S9" s="37" t="s">
        <v>23</v>
      </c>
    </row>
    <row r="10" spans="1:20" x14ac:dyDescent="0.25">
      <c r="A10" s="38">
        <v>15</v>
      </c>
      <c r="B10" s="39">
        <f>$J$3/$J$1</f>
        <v>30.326086956521738</v>
      </c>
      <c r="C10" s="40">
        <v>823261</v>
      </c>
      <c r="D10" s="41">
        <f>C10/B10</f>
        <v>27146.957706093192</v>
      </c>
      <c r="E10">
        <v>1</v>
      </c>
      <c r="F10" s="103">
        <v>9</v>
      </c>
      <c r="G10" s="104">
        <f>$J$3/$J$2</f>
        <v>33.41317365269461</v>
      </c>
      <c r="H10" s="105">
        <v>839159</v>
      </c>
      <c r="I10" s="106">
        <f>H10/G10</f>
        <v>25114.615232974909</v>
      </c>
      <c r="J10">
        <v>0.66666666666666663</v>
      </c>
      <c r="K10" s="38">
        <v>99</v>
      </c>
      <c r="L10" s="39">
        <f>$J$3/$J$1</f>
        <v>30.326086956521738</v>
      </c>
      <c r="M10" s="40">
        <v>891762</v>
      </c>
      <c r="N10" s="41">
        <f>M10/L10</f>
        <v>29405.772043010755</v>
      </c>
      <c r="O10">
        <v>1</v>
      </c>
      <c r="P10" s="42">
        <v>31</v>
      </c>
      <c r="Q10" s="43">
        <f>$J$3/$J$2</f>
        <v>33.41317365269461</v>
      </c>
      <c r="R10" s="44">
        <v>828146</v>
      </c>
      <c r="S10" s="45">
        <f>R10/Q10</f>
        <v>24785.014695340502</v>
      </c>
      <c r="T10">
        <v>1</v>
      </c>
    </row>
    <row r="11" spans="1:20" x14ac:dyDescent="0.25">
      <c r="A11" s="46">
        <v>4</v>
      </c>
      <c r="B11" s="39">
        <f t="shared" ref="B11:B54" si="0">$J$3/$J$1</f>
        <v>30.326086956521738</v>
      </c>
      <c r="C11" s="47">
        <v>748702</v>
      </c>
      <c r="D11" s="41">
        <f t="shared" ref="D11:D54" si="1">C11/B11</f>
        <v>24688.381362007171</v>
      </c>
      <c r="E11">
        <v>1</v>
      </c>
      <c r="F11" s="93">
        <v>1</v>
      </c>
      <c r="G11" s="90">
        <f t="shared" ref="G11:G54" si="2">$J$3/$J$2</f>
        <v>33.41317365269461</v>
      </c>
      <c r="H11" s="94">
        <v>816679</v>
      </c>
      <c r="I11" s="92">
        <f t="shared" ref="I11:I54" si="3">H11/G11</f>
        <v>24441.826702508963</v>
      </c>
      <c r="J11">
        <v>0.33333333333333304</v>
      </c>
      <c r="K11" s="46">
        <v>22</v>
      </c>
      <c r="L11" s="39">
        <f t="shared" ref="L11:L64" si="4">$J$3/$J$1</f>
        <v>30.326086956521738</v>
      </c>
      <c r="M11" s="47">
        <v>787867</v>
      </c>
      <c r="N11" s="41">
        <f t="shared" ref="N11:N64" si="5">M11/L11</f>
        <v>25979.843727598567</v>
      </c>
      <c r="O11">
        <v>1</v>
      </c>
      <c r="P11" s="48">
        <v>95</v>
      </c>
      <c r="Q11" s="43">
        <f t="shared" ref="Q11:Q64" si="6">$J$3/$J$2</f>
        <v>33.41317365269461</v>
      </c>
      <c r="R11" s="49">
        <v>778683</v>
      </c>
      <c r="S11" s="45">
        <f t="shared" ref="S11:S64" si="7">R11/Q11</f>
        <v>23304.670430107526</v>
      </c>
      <c r="T11">
        <v>1</v>
      </c>
    </row>
    <row r="12" spans="1:20" x14ac:dyDescent="0.25">
      <c r="A12" s="46">
        <v>75</v>
      </c>
      <c r="B12" s="39">
        <f t="shared" si="0"/>
        <v>30.326086956521738</v>
      </c>
      <c r="C12" s="47">
        <v>700923</v>
      </c>
      <c r="D12" s="41">
        <f t="shared" si="1"/>
        <v>23112.873118279571</v>
      </c>
      <c r="E12">
        <v>1</v>
      </c>
      <c r="F12" s="58">
        <v>3</v>
      </c>
      <c r="G12" s="68">
        <f t="shared" si="2"/>
        <v>33.41317365269461</v>
      </c>
      <c r="H12" s="54">
        <v>637399</v>
      </c>
      <c r="I12" s="69">
        <f t="shared" si="3"/>
        <v>19076.278315412186</v>
      </c>
      <c r="K12" s="46">
        <v>83</v>
      </c>
      <c r="L12" s="39">
        <f t="shared" si="4"/>
        <v>30.326086956521738</v>
      </c>
      <c r="M12" s="47">
        <v>776669</v>
      </c>
      <c r="N12" s="41">
        <f t="shared" si="5"/>
        <v>25610.590681003585</v>
      </c>
      <c r="O12">
        <v>1</v>
      </c>
      <c r="P12" s="48">
        <v>32</v>
      </c>
      <c r="Q12" s="43">
        <f t="shared" si="6"/>
        <v>33.41317365269461</v>
      </c>
      <c r="R12" s="49">
        <v>742165</v>
      </c>
      <c r="S12" s="45">
        <f t="shared" si="7"/>
        <v>22211.748207885306</v>
      </c>
      <c r="T12">
        <v>1</v>
      </c>
    </row>
    <row r="13" spans="1:20" x14ac:dyDescent="0.25">
      <c r="A13" s="46">
        <v>61</v>
      </c>
      <c r="B13" s="39">
        <f t="shared" si="0"/>
        <v>30.326086956521738</v>
      </c>
      <c r="C13" s="47">
        <v>594344</v>
      </c>
      <c r="D13" s="41">
        <f t="shared" si="1"/>
        <v>19598.440143369175</v>
      </c>
      <c r="E13">
        <v>1</v>
      </c>
      <c r="F13" s="58">
        <v>89</v>
      </c>
      <c r="G13" s="68">
        <f t="shared" si="2"/>
        <v>33.41317365269461</v>
      </c>
      <c r="H13" s="54">
        <v>626952</v>
      </c>
      <c r="I13" s="69">
        <f t="shared" si="3"/>
        <v>18763.617204301077</v>
      </c>
      <c r="K13" s="46">
        <v>57</v>
      </c>
      <c r="L13" s="39">
        <f t="shared" si="4"/>
        <v>30.326086956521738</v>
      </c>
      <c r="M13" s="47">
        <v>764937</v>
      </c>
      <c r="N13" s="41">
        <f t="shared" si="5"/>
        <v>25223.729032258067</v>
      </c>
      <c r="O13">
        <v>1</v>
      </c>
      <c r="P13" s="58">
        <v>86</v>
      </c>
      <c r="Q13" s="68">
        <f t="shared" si="6"/>
        <v>33.41317365269461</v>
      </c>
      <c r="R13" s="54">
        <v>708838</v>
      </c>
      <c r="S13" s="69">
        <f t="shared" si="7"/>
        <v>21214.327240143371</v>
      </c>
    </row>
    <row r="14" spans="1:20" x14ac:dyDescent="0.25">
      <c r="A14" s="46">
        <v>2</v>
      </c>
      <c r="B14" s="39">
        <f t="shared" si="0"/>
        <v>30.326086956521738</v>
      </c>
      <c r="C14" s="47">
        <v>573963</v>
      </c>
      <c r="D14" s="41">
        <f t="shared" si="1"/>
        <v>18926.378494623656</v>
      </c>
      <c r="E14">
        <v>1</v>
      </c>
      <c r="F14" s="58">
        <v>74</v>
      </c>
      <c r="G14" s="68">
        <f t="shared" si="2"/>
        <v>33.41317365269461</v>
      </c>
      <c r="H14" s="54">
        <v>528188</v>
      </c>
      <c r="I14" s="69">
        <f t="shared" si="3"/>
        <v>15807.7770609319</v>
      </c>
      <c r="K14" s="99">
        <v>33</v>
      </c>
      <c r="L14" s="100">
        <f t="shared" si="4"/>
        <v>30.326086956521738</v>
      </c>
      <c r="M14" s="101">
        <v>739492</v>
      </c>
      <c r="N14" s="102">
        <f t="shared" si="5"/>
        <v>24384.682437275987</v>
      </c>
      <c r="O14">
        <v>0.88888888888888928</v>
      </c>
      <c r="P14" s="58">
        <v>44</v>
      </c>
      <c r="Q14" s="68">
        <f t="shared" si="6"/>
        <v>33.41317365269461</v>
      </c>
      <c r="R14" s="54">
        <v>644475</v>
      </c>
      <c r="S14" s="69">
        <f t="shared" si="7"/>
        <v>19288.051075268817</v>
      </c>
    </row>
    <row r="15" spans="1:20" x14ac:dyDescent="0.25">
      <c r="A15" s="46">
        <v>66</v>
      </c>
      <c r="B15" s="39">
        <f t="shared" si="0"/>
        <v>30.326086956521738</v>
      </c>
      <c r="C15" s="47">
        <v>543888</v>
      </c>
      <c r="D15" s="41">
        <f t="shared" si="1"/>
        <v>17934.65806451613</v>
      </c>
      <c r="E15">
        <v>1</v>
      </c>
      <c r="F15" s="58">
        <v>7</v>
      </c>
      <c r="G15" s="68">
        <f t="shared" si="2"/>
        <v>33.41317365269461</v>
      </c>
      <c r="H15" s="54">
        <v>517706</v>
      </c>
      <c r="I15" s="69">
        <f t="shared" si="3"/>
        <v>15494.068458781363</v>
      </c>
      <c r="K15" s="58">
        <v>34</v>
      </c>
      <c r="L15" s="68">
        <f t="shared" si="4"/>
        <v>30.326086956521738</v>
      </c>
      <c r="M15" s="54">
        <v>706466</v>
      </c>
      <c r="N15" s="69">
        <f t="shared" si="5"/>
        <v>23295.653046594984</v>
      </c>
      <c r="P15" s="58">
        <v>43</v>
      </c>
      <c r="Q15" s="68">
        <f t="shared" si="6"/>
        <v>33.41317365269461</v>
      </c>
      <c r="R15" s="54">
        <v>600711</v>
      </c>
      <c r="S15" s="69">
        <f t="shared" si="7"/>
        <v>17978.268279569893</v>
      </c>
    </row>
    <row r="16" spans="1:20" x14ac:dyDescent="0.25">
      <c r="A16" s="107">
        <v>9</v>
      </c>
      <c r="B16" s="104">
        <f t="shared" si="0"/>
        <v>30.326086956521738</v>
      </c>
      <c r="C16" s="108">
        <v>458407</v>
      </c>
      <c r="D16" s="106">
        <f t="shared" si="1"/>
        <v>15115.929749103943</v>
      </c>
      <c r="E16">
        <f>1-0.666666666666667</f>
        <v>0.33333333333333304</v>
      </c>
      <c r="F16" s="58">
        <v>16</v>
      </c>
      <c r="G16" s="68">
        <f t="shared" si="2"/>
        <v>33.41317365269461</v>
      </c>
      <c r="H16" s="54">
        <v>471825</v>
      </c>
      <c r="I16" s="69">
        <f t="shared" si="3"/>
        <v>14120.927419354839</v>
      </c>
      <c r="K16" s="58">
        <v>54</v>
      </c>
      <c r="L16" s="68">
        <f t="shared" si="4"/>
        <v>30.326086956521738</v>
      </c>
      <c r="M16" s="54">
        <v>704680</v>
      </c>
      <c r="N16" s="69">
        <f t="shared" si="5"/>
        <v>23236.759856630826</v>
      </c>
      <c r="P16" s="58">
        <v>54</v>
      </c>
      <c r="Q16" s="68">
        <f t="shared" si="6"/>
        <v>33.41317365269461</v>
      </c>
      <c r="R16" s="54">
        <v>600526</v>
      </c>
      <c r="S16" s="69">
        <f t="shared" si="7"/>
        <v>17972.73154121864</v>
      </c>
    </row>
    <row r="17" spans="1:20" x14ac:dyDescent="0.25">
      <c r="A17" s="46">
        <v>6</v>
      </c>
      <c r="B17" s="39">
        <f t="shared" si="0"/>
        <v>30.326086956521738</v>
      </c>
      <c r="C17" s="47">
        <v>413342</v>
      </c>
      <c r="D17" s="41">
        <f t="shared" si="1"/>
        <v>13629.915412186379</v>
      </c>
      <c r="E17">
        <v>1</v>
      </c>
      <c r="F17" s="58">
        <v>20</v>
      </c>
      <c r="G17" s="68">
        <f t="shared" si="2"/>
        <v>33.41317365269461</v>
      </c>
      <c r="H17" s="54">
        <v>465526</v>
      </c>
      <c r="I17" s="69">
        <f t="shared" si="3"/>
        <v>13932.408960573477</v>
      </c>
      <c r="K17" s="58">
        <v>46</v>
      </c>
      <c r="L17" s="68">
        <f t="shared" si="4"/>
        <v>30.326086956521738</v>
      </c>
      <c r="M17" s="54">
        <v>647685</v>
      </c>
      <c r="N17" s="69">
        <f t="shared" si="5"/>
        <v>21357.354838709678</v>
      </c>
      <c r="P17" s="99">
        <v>33</v>
      </c>
      <c r="Q17" s="100">
        <f t="shared" si="6"/>
        <v>33.41317365269461</v>
      </c>
      <c r="R17" s="101">
        <v>533105</v>
      </c>
      <c r="S17" s="102">
        <f t="shared" si="7"/>
        <v>15954.934587813621</v>
      </c>
    </row>
    <row r="18" spans="1:20" x14ac:dyDescent="0.25">
      <c r="A18" s="58">
        <v>90</v>
      </c>
      <c r="B18" s="68">
        <f t="shared" si="0"/>
        <v>30.326086956521738</v>
      </c>
      <c r="C18" s="54">
        <v>390167</v>
      </c>
      <c r="D18" s="69">
        <f t="shared" si="1"/>
        <v>12865.721863799283</v>
      </c>
      <c r="F18" s="58">
        <v>71</v>
      </c>
      <c r="G18" s="68">
        <f t="shared" si="2"/>
        <v>33.41317365269461</v>
      </c>
      <c r="H18" s="54">
        <v>459240</v>
      </c>
      <c r="I18" s="69">
        <f t="shared" si="3"/>
        <v>13744.279569892473</v>
      </c>
      <c r="K18" s="58">
        <v>35</v>
      </c>
      <c r="L18" s="68">
        <f t="shared" si="4"/>
        <v>30.326086956521738</v>
      </c>
      <c r="M18" s="54">
        <v>520964</v>
      </c>
      <c r="N18" s="69">
        <f t="shared" si="5"/>
        <v>17178.741218637992</v>
      </c>
      <c r="P18" s="58">
        <v>29</v>
      </c>
      <c r="Q18" s="68">
        <f t="shared" si="6"/>
        <v>33.41317365269461</v>
      </c>
      <c r="R18" s="54">
        <v>466819</v>
      </c>
      <c r="S18" s="69">
        <f t="shared" si="7"/>
        <v>13971.106272401434</v>
      </c>
    </row>
    <row r="19" spans="1:20" x14ac:dyDescent="0.25">
      <c r="A19" s="58">
        <v>10</v>
      </c>
      <c r="B19" s="68">
        <f t="shared" si="0"/>
        <v>30.326086956521738</v>
      </c>
      <c r="C19" s="54">
        <v>374487</v>
      </c>
      <c r="D19" s="69">
        <f t="shared" si="1"/>
        <v>12348.675268817206</v>
      </c>
      <c r="F19" s="58">
        <v>73</v>
      </c>
      <c r="G19" s="68">
        <f t="shared" si="2"/>
        <v>33.41317365269461</v>
      </c>
      <c r="H19" s="54">
        <v>435675</v>
      </c>
      <c r="I19" s="69">
        <f t="shared" si="3"/>
        <v>13039.018817204302</v>
      </c>
      <c r="K19" s="58">
        <v>28</v>
      </c>
      <c r="L19" s="68">
        <f t="shared" si="4"/>
        <v>30.326086956521738</v>
      </c>
      <c r="M19" s="54">
        <v>485282</v>
      </c>
      <c r="N19" s="69">
        <f t="shared" si="5"/>
        <v>16002.130465949822</v>
      </c>
      <c r="P19" s="58">
        <v>39</v>
      </c>
      <c r="Q19" s="68">
        <f t="shared" si="6"/>
        <v>33.41317365269461</v>
      </c>
      <c r="R19" s="54">
        <v>443533</v>
      </c>
      <c r="S19" s="69">
        <f t="shared" si="7"/>
        <v>13274.195519713261</v>
      </c>
    </row>
    <row r="20" spans="1:20" x14ac:dyDescent="0.25">
      <c r="A20" s="58">
        <v>72</v>
      </c>
      <c r="B20" s="68">
        <f t="shared" si="0"/>
        <v>30.326086956521738</v>
      </c>
      <c r="C20" s="54">
        <v>339217</v>
      </c>
      <c r="D20" s="69">
        <f t="shared" si="1"/>
        <v>11185.65017921147</v>
      </c>
      <c r="F20" s="95">
        <v>4</v>
      </c>
      <c r="G20" s="96">
        <f t="shared" si="2"/>
        <v>33.41317365269461</v>
      </c>
      <c r="H20" s="97">
        <v>435251</v>
      </c>
      <c r="I20" s="98">
        <f t="shared" si="3"/>
        <v>13026.329211469534</v>
      </c>
      <c r="J20">
        <v>0</v>
      </c>
      <c r="K20" s="58">
        <v>25</v>
      </c>
      <c r="L20" s="68">
        <f t="shared" si="4"/>
        <v>30.326086956521738</v>
      </c>
      <c r="M20" s="54">
        <v>428682</v>
      </c>
      <c r="N20" s="69">
        <f t="shared" si="5"/>
        <v>14135.750537634409</v>
      </c>
      <c r="P20" s="58">
        <v>85</v>
      </c>
      <c r="Q20" s="68">
        <f t="shared" si="6"/>
        <v>33.41317365269461</v>
      </c>
      <c r="R20" s="54">
        <v>400656</v>
      </c>
      <c r="S20" s="69">
        <f t="shared" si="7"/>
        <v>11990.959139784947</v>
      </c>
    </row>
    <row r="21" spans="1:20" x14ac:dyDescent="0.25">
      <c r="A21" s="58">
        <v>63</v>
      </c>
      <c r="B21" s="68">
        <f t="shared" si="0"/>
        <v>30.326086956521738</v>
      </c>
      <c r="C21" s="54">
        <v>148379</v>
      </c>
      <c r="D21" s="69">
        <f t="shared" si="1"/>
        <v>4892.7842293906815</v>
      </c>
      <c r="F21" s="58">
        <v>58</v>
      </c>
      <c r="G21" s="68">
        <f t="shared" si="2"/>
        <v>33.41317365269461</v>
      </c>
      <c r="H21" s="54">
        <v>425212</v>
      </c>
      <c r="I21" s="69">
        <f t="shared" si="3"/>
        <v>12725.878853046595</v>
      </c>
      <c r="K21" s="58">
        <v>53</v>
      </c>
      <c r="L21" s="68">
        <f t="shared" si="4"/>
        <v>30.326086956521738</v>
      </c>
      <c r="M21" s="54">
        <v>427876</v>
      </c>
      <c r="N21" s="69">
        <f t="shared" si="5"/>
        <v>14109.17275985663</v>
      </c>
      <c r="P21" s="58">
        <v>51</v>
      </c>
      <c r="Q21" s="68">
        <f t="shared" si="6"/>
        <v>33.41317365269461</v>
      </c>
      <c r="R21" s="54">
        <v>295735</v>
      </c>
      <c r="S21" s="69">
        <f t="shared" si="7"/>
        <v>8850.8503584229402</v>
      </c>
    </row>
    <row r="22" spans="1:20" x14ac:dyDescent="0.25">
      <c r="A22" s="58">
        <v>5</v>
      </c>
      <c r="B22" s="68">
        <f t="shared" si="0"/>
        <v>30.326086956521738</v>
      </c>
      <c r="C22" s="54">
        <v>135603</v>
      </c>
      <c r="D22" s="69">
        <f t="shared" si="1"/>
        <v>4471.4967741935488</v>
      </c>
      <c r="F22" s="58">
        <v>69</v>
      </c>
      <c r="G22" s="68">
        <f t="shared" si="2"/>
        <v>33.41317365269461</v>
      </c>
      <c r="H22" s="54">
        <v>301059</v>
      </c>
      <c r="I22" s="69">
        <f t="shared" si="3"/>
        <v>9010.188709677419</v>
      </c>
      <c r="K22" s="58">
        <v>30</v>
      </c>
      <c r="L22" s="68">
        <f t="shared" si="4"/>
        <v>30.326086956521738</v>
      </c>
      <c r="M22" s="54">
        <v>412457</v>
      </c>
      <c r="N22" s="69">
        <f t="shared" si="5"/>
        <v>13600.732616487456</v>
      </c>
      <c r="P22" s="58">
        <v>84</v>
      </c>
      <c r="Q22" s="68">
        <f t="shared" si="6"/>
        <v>33.41317365269461</v>
      </c>
      <c r="R22" s="54">
        <v>277116</v>
      </c>
      <c r="S22" s="69">
        <f t="shared" si="7"/>
        <v>8293.6150537634403</v>
      </c>
    </row>
    <row r="23" spans="1:20" x14ac:dyDescent="0.25">
      <c r="A23" s="58">
        <v>89</v>
      </c>
      <c r="B23" s="68">
        <f t="shared" si="0"/>
        <v>30.326086956521738</v>
      </c>
      <c r="C23" s="54">
        <v>43767</v>
      </c>
      <c r="D23" s="69">
        <f t="shared" si="1"/>
        <v>1443.2129032258065</v>
      </c>
      <c r="F23" s="58">
        <v>91</v>
      </c>
      <c r="G23" s="68">
        <f t="shared" si="2"/>
        <v>33.41317365269461</v>
      </c>
      <c r="H23" s="54">
        <v>248437</v>
      </c>
      <c r="I23" s="69">
        <f t="shared" si="3"/>
        <v>7435.3008960573479</v>
      </c>
      <c r="K23" s="58">
        <v>45</v>
      </c>
      <c r="L23" s="68">
        <f t="shared" si="4"/>
        <v>30.326086956521738</v>
      </c>
      <c r="M23" s="54">
        <v>411553</v>
      </c>
      <c r="N23" s="69">
        <f t="shared" si="5"/>
        <v>13570.923297491039</v>
      </c>
      <c r="P23" s="58">
        <v>100</v>
      </c>
      <c r="Q23" s="68">
        <f t="shared" si="6"/>
        <v>33.41317365269461</v>
      </c>
      <c r="R23" s="54">
        <v>196154</v>
      </c>
      <c r="S23" s="69">
        <f t="shared" si="7"/>
        <v>5870.5587813620077</v>
      </c>
    </row>
    <row r="24" spans="1:20" x14ac:dyDescent="0.25">
      <c r="A24" s="58">
        <v>8</v>
      </c>
      <c r="B24" s="68">
        <f t="shared" si="0"/>
        <v>30.326086956521738</v>
      </c>
      <c r="C24" s="54">
        <v>-31569</v>
      </c>
      <c r="D24" s="69">
        <f t="shared" si="1"/>
        <v>-1040.9849462365592</v>
      </c>
      <c r="F24" s="95">
        <v>75</v>
      </c>
      <c r="G24" s="96">
        <f t="shared" si="2"/>
        <v>33.41317365269461</v>
      </c>
      <c r="H24" s="97">
        <v>241104</v>
      </c>
      <c r="I24" s="98">
        <f t="shared" si="3"/>
        <v>7215.8365591397851</v>
      </c>
      <c r="J24">
        <v>0</v>
      </c>
      <c r="K24" s="58">
        <v>43</v>
      </c>
      <c r="L24" s="68">
        <f t="shared" si="4"/>
        <v>30.326086956521738</v>
      </c>
      <c r="M24" s="54">
        <v>287718</v>
      </c>
      <c r="N24" s="69">
        <f t="shared" si="5"/>
        <v>9487.4752688172048</v>
      </c>
      <c r="P24" s="58">
        <v>56</v>
      </c>
      <c r="Q24" s="68">
        <f t="shared" si="6"/>
        <v>33.41317365269461</v>
      </c>
      <c r="R24" s="54">
        <v>175558</v>
      </c>
      <c r="S24" s="69">
        <f t="shared" si="7"/>
        <v>5254.1551971326162</v>
      </c>
    </row>
    <row r="25" spans="1:20" x14ac:dyDescent="0.25">
      <c r="A25" s="58">
        <v>62</v>
      </c>
      <c r="B25" s="68">
        <f t="shared" si="0"/>
        <v>30.326086956521738</v>
      </c>
      <c r="C25" s="54">
        <v>-50310</v>
      </c>
      <c r="D25" s="69">
        <f t="shared" si="1"/>
        <v>-1658.9677419354839</v>
      </c>
      <c r="F25" s="58">
        <v>21</v>
      </c>
      <c r="G25" s="68">
        <f t="shared" si="2"/>
        <v>33.41317365269461</v>
      </c>
      <c r="H25" s="54">
        <v>182068</v>
      </c>
      <c r="I25" s="69">
        <f t="shared" si="3"/>
        <v>5448.9885304659501</v>
      </c>
      <c r="K25" s="58">
        <v>47</v>
      </c>
      <c r="L25" s="68">
        <f t="shared" si="4"/>
        <v>30.326086956521738</v>
      </c>
      <c r="M25" s="54">
        <v>244892</v>
      </c>
      <c r="N25" s="69">
        <f t="shared" si="5"/>
        <v>8075.2917562724015</v>
      </c>
      <c r="P25" s="58">
        <v>24</v>
      </c>
      <c r="Q25" s="68">
        <f t="shared" si="6"/>
        <v>33.41317365269461</v>
      </c>
      <c r="R25" s="54">
        <v>71007</v>
      </c>
      <c r="S25" s="69">
        <f t="shared" si="7"/>
        <v>2125.1198924731184</v>
      </c>
    </row>
    <row r="26" spans="1:20" x14ac:dyDescent="0.25">
      <c r="A26" s="58">
        <v>20</v>
      </c>
      <c r="B26" s="68">
        <f t="shared" si="0"/>
        <v>30.326086956521738</v>
      </c>
      <c r="C26" s="54">
        <v>-55320</v>
      </c>
      <c r="D26" s="69">
        <f t="shared" si="1"/>
        <v>-1824.1720430107528</v>
      </c>
      <c r="F26" s="58">
        <v>59</v>
      </c>
      <c r="G26" s="68">
        <f t="shared" si="2"/>
        <v>33.41317365269461</v>
      </c>
      <c r="H26" s="54">
        <v>167225</v>
      </c>
      <c r="I26" s="69">
        <f t="shared" si="3"/>
        <v>5004.7625448028675</v>
      </c>
      <c r="K26" s="58">
        <v>27</v>
      </c>
      <c r="L26" s="68">
        <f t="shared" si="4"/>
        <v>30.326086956521738</v>
      </c>
      <c r="M26" s="54">
        <v>217246</v>
      </c>
      <c r="N26" s="69">
        <f t="shared" si="5"/>
        <v>7163.6673835125448</v>
      </c>
      <c r="P26" s="58">
        <v>94</v>
      </c>
      <c r="Q26" s="68">
        <f t="shared" si="6"/>
        <v>33.41317365269461</v>
      </c>
      <c r="R26" s="54">
        <v>48569</v>
      </c>
      <c r="S26" s="69">
        <f t="shared" si="7"/>
        <v>1453.5883512544804</v>
      </c>
    </row>
    <row r="27" spans="1:20" x14ac:dyDescent="0.25">
      <c r="A27" s="58">
        <v>14</v>
      </c>
      <c r="B27" s="68">
        <f t="shared" si="0"/>
        <v>30.326086956521738</v>
      </c>
      <c r="C27" s="54">
        <v>-99929</v>
      </c>
      <c r="D27" s="69">
        <f t="shared" si="1"/>
        <v>-3295.1498207885306</v>
      </c>
      <c r="F27" s="58">
        <v>63</v>
      </c>
      <c r="G27" s="68">
        <f t="shared" si="2"/>
        <v>33.41317365269461</v>
      </c>
      <c r="H27" s="54">
        <v>-59023</v>
      </c>
      <c r="I27" s="69">
        <f t="shared" si="3"/>
        <v>-1766.4589605734768</v>
      </c>
      <c r="K27" s="58">
        <v>98</v>
      </c>
      <c r="L27" s="68">
        <f t="shared" si="4"/>
        <v>30.326086956521738</v>
      </c>
      <c r="M27" s="54">
        <v>186371</v>
      </c>
      <c r="N27" s="69">
        <f t="shared" si="5"/>
        <v>6145.5670250896055</v>
      </c>
      <c r="P27" s="58">
        <v>98</v>
      </c>
      <c r="Q27" s="68">
        <f t="shared" si="6"/>
        <v>33.41317365269461</v>
      </c>
      <c r="R27" s="54">
        <v>42432</v>
      </c>
      <c r="S27" s="69">
        <f t="shared" si="7"/>
        <v>1269.9182795698925</v>
      </c>
    </row>
    <row r="28" spans="1:20" x14ac:dyDescent="0.25">
      <c r="A28" s="58">
        <v>59</v>
      </c>
      <c r="B28" s="68">
        <f t="shared" si="0"/>
        <v>30.326086956521738</v>
      </c>
      <c r="C28" s="54">
        <v>-120499</v>
      </c>
      <c r="D28" s="69">
        <f t="shared" si="1"/>
        <v>-3973.4437275985665</v>
      </c>
      <c r="F28" s="58">
        <v>70</v>
      </c>
      <c r="G28" s="68">
        <f t="shared" si="2"/>
        <v>33.41317365269461</v>
      </c>
      <c r="H28" s="54">
        <v>-82956</v>
      </c>
      <c r="I28" s="69">
        <f t="shared" si="3"/>
        <v>-2482.7333333333336</v>
      </c>
      <c r="K28" s="58">
        <v>82</v>
      </c>
      <c r="L28" s="68">
        <f t="shared" si="4"/>
        <v>30.326086956521738</v>
      </c>
      <c r="M28" s="54">
        <v>157735</v>
      </c>
      <c r="N28" s="69">
        <f t="shared" si="5"/>
        <v>5201.2974910394269</v>
      </c>
      <c r="P28" s="58">
        <v>79</v>
      </c>
      <c r="Q28" s="68">
        <f t="shared" si="6"/>
        <v>33.41317365269461</v>
      </c>
      <c r="R28" s="54">
        <v>-17472</v>
      </c>
      <c r="S28" s="69">
        <f t="shared" si="7"/>
        <v>-522.9075268817204</v>
      </c>
    </row>
    <row r="29" spans="1:20" x14ac:dyDescent="0.25">
      <c r="A29" s="58">
        <v>11</v>
      </c>
      <c r="B29" s="68">
        <f t="shared" si="0"/>
        <v>30.326086956521738</v>
      </c>
      <c r="C29" s="54">
        <v>-150180</v>
      </c>
      <c r="D29" s="69">
        <f t="shared" si="1"/>
        <v>-4952.1720430107525</v>
      </c>
      <c r="F29" s="58">
        <v>64</v>
      </c>
      <c r="G29" s="68">
        <f t="shared" si="2"/>
        <v>33.41317365269461</v>
      </c>
      <c r="H29" s="54">
        <v>-163863</v>
      </c>
      <c r="I29" s="69">
        <f t="shared" si="3"/>
        <v>-4904.1435483870973</v>
      </c>
      <c r="K29" s="58">
        <v>39</v>
      </c>
      <c r="L29" s="68">
        <f t="shared" si="4"/>
        <v>30.326086956521738</v>
      </c>
      <c r="M29" s="54">
        <v>75371</v>
      </c>
      <c r="N29" s="69">
        <f t="shared" si="5"/>
        <v>2485.3519713261649</v>
      </c>
      <c r="P29" s="58">
        <v>30</v>
      </c>
      <c r="Q29" s="68">
        <f t="shared" si="6"/>
        <v>33.41317365269461</v>
      </c>
      <c r="R29" s="54">
        <v>-18899</v>
      </c>
      <c r="S29" s="69">
        <f t="shared" si="7"/>
        <v>-565.61523297491044</v>
      </c>
    </row>
    <row r="30" spans="1:20" x14ac:dyDescent="0.25">
      <c r="A30" s="58">
        <v>19</v>
      </c>
      <c r="B30" s="68">
        <f t="shared" si="0"/>
        <v>30.326086956521738</v>
      </c>
      <c r="C30" s="54">
        <v>-212225</v>
      </c>
      <c r="D30" s="69">
        <f t="shared" si="1"/>
        <v>-6998.1003584229393</v>
      </c>
      <c r="F30" s="58">
        <v>8</v>
      </c>
      <c r="G30" s="68">
        <f t="shared" si="2"/>
        <v>33.41317365269461</v>
      </c>
      <c r="H30" s="54">
        <v>-187009</v>
      </c>
      <c r="I30" s="69">
        <f t="shared" si="3"/>
        <v>-5596.8643369175625</v>
      </c>
      <c r="K30" s="58">
        <v>79</v>
      </c>
      <c r="L30" s="68">
        <f t="shared" si="4"/>
        <v>30.326086956521738</v>
      </c>
      <c r="M30" s="54">
        <v>42924</v>
      </c>
      <c r="N30" s="69">
        <f t="shared" si="5"/>
        <v>1415.4150537634409</v>
      </c>
      <c r="P30" s="95">
        <v>99</v>
      </c>
      <c r="Q30" s="96">
        <f t="shared" si="6"/>
        <v>33.41317365269461</v>
      </c>
      <c r="R30" s="97">
        <v>-53380</v>
      </c>
      <c r="S30" s="98">
        <f t="shared" si="7"/>
        <v>-1597.573476702509</v>
      </c>
      <c r="T30">
        <v>0</v>
      </c>
    </row>
    <row r="31" spans="1:20" x14ac:dyDescent="0.25">
      <c r="A31" s="58">
        <v>7</v>
      </c>
      <c r="B31" s="68">
        <f t="shared" si="0"/>
        <v>30.326086956521738</v>
      </c>
      <c r="C31" s="54">
        <v>-425925</v>
      </c>
      <c r="D31" s="69">
        <f t="shared" si="1"/>
        <v>-14044.83870967742</v>
      </c>
      <c r="F31" s="95">
        <v>61</v>
      </c>
      <c r="G31" s="96">
        <f t="shared" si="2"/>
        <v>33.41317365269461</v>
      </c>
      <c r="H31" s="97">
        <v>-223907</v>
      </c>
      <c r="I31" s="98">
        <f t="shared" si="3"/>
        <v>-6701.159318996416</v>
      </c>
      <c r="J31">
        <v>0</v>
      </c>
      <c r="K31" s="58">
        <v>49</v>
      </c>
      <c r="L31" s="68">
        <f t="shared" si="4"/>
        <v>30.326086956521738</v>
      </c>
      <c r="M31" s="54">
        <v>-35135</v>
      </c>
      <c r="N31" s="69">
        <f t="shared" si="5"/>
        <v>-1158.573476702509</v>
      </c>
      <c r="P31" s="58">
        <v>76</v>
      </c>
      <c r="Q31" s="68">
        <f t="shared" si="6"/>
        <v>33.41317365269461</v>
      </c>
      <c r="R31" s="54">
        <v>-134133</v>
      </c>
      <c r="S31" s="69">
        <f t="shared" si="7"/>
        <v>-4014.3747311827956</v>
      </c>
    </row>
    <row r="32" spans="1:20" x14ac:dyDescent="0.25">
      <c r="A32" s="58">
        <v>88</v>
      </c>
      <c r="B32" s="68">
        <f t="shared" si="0"/>
        <v>30.326086956521738</v>
      </c>
      <c r="C32" s="54">
        <v>-426293</v>
      </c>
      <c r="D32" s="69">
        <f t="shared" si="1"/>
        <v>-14056.973476702509</v>
      </c>
      <c r="F32" s="58">
        <v>92</v>
      </c>
      <c r="G32" s="68">
        <f t="shared" si="2"/>
        <v>33.41317365269461</v>
      </c>
      <c r="H32" s="54">
        <v>-299484</v>
      </c>
      <c r="I32" s="69">
        <f t="shared" si="3"/>
        <v>-8963.0516129032258</v>
      </c>
      <c r="K32" s="58">
        <v>86</v>
      </c>
      <c r="L32" s="68">
        <f t="shared" si="4"/>
        <v>30.326086956521738</v>
      </c>
      <c r="M32" s="54">
        <v>-36114</v>
      </c>
      <c r="N32" s="69">
        <f t="shared" si="5"/>
        <v>-1190.8559139784948</v>
      </c>
      <c r="P32" s="58">
        <v>27</v>
      </c>
      <c r="Q32" s="68">
        <f t="shared" si="6"/>
        <v>33.41317365269461</v>
      </c>
      <c r="R32" s="54">
        <v>-237585</v>
      </c>
      <c r="S32" s="69">
        <f t="shared" si="7"/>
        <v>-7110.5188172043008</v>
      </c>
    </row>
    <row r="33" spans="1:20" x14ac:dyDescent="0.25">
      <c r="A33" s="58">
        <v>1</v>
      </c>
      <c r="B33" s="68">
        <f t="shared" si="0"/>
        <v>30.326086956521738</v>
      </c>
      <c r="C33" s="54">
        <v>-436549</v>
      </c>
      <c r="D33" s="69">
        <f t="shared" si="1"/>
        <v>-14395.164157706093</v>
      </c>
      <c r="F33" s="58">
        <v>93</v>
      </c>
      <c r="G33" s="68">
        <f t="shared" si="2"/>
        <v>33.41317365269461</v>
      </c>
      <c r="H33" s="54">
        <v>-392062</v>
      </c>
      <c r="I33" s="69">
        <f t="shared" si="3"/>
        <v>-11733.755197132617</v>
      </c>
      <c r="K33" s="109">
        <v>95</v>
      </c>
      <c r="L33" s="110">
        <f t="shared" si="4"/>
        <v>30.326086956521738</v>
      </c>
      <c r="M33" s="111">
        <v>-117870</v>
      </c>
      <c r="N33" s="112">
        <f t="shared" si="5"/>
        <v>-3886.7526881720432</v>
      </c>
      <c r="O33">
        <v>0</v>
      </c>
      <c r="P33" s="58">
        <v>49</v>
      </c>
      <c r="Q33" s="68">
        <f t="shared" si="6"/>
        <v>33.41317365269461</v>
      </c>
      <c r="R33" s="54">
        <v>-320509</v>
      </c>
      <c r="S33" s="69">
        <f t="shared" si="7"/>
        <v>-9592.2944444444438</v>
      </c>
    </row>
    <row r="34" spans="1:20" x14ac:dyDescent="0.25">
      <c r="A34" s="58">
        <v>16</v>
      </c>
      <c r="B34" s="68">
        <f t="shared" si="0"/>
        <v>30.326086956521738</v>
      </c>
      <c r="C34" s="54">
        <v>-516654</v>
      </c>
      <c r="D34" s="69">
        <f t="shared" si="1"/>
        <v>-17036.619354838709</v>
      </c>
      <c r="F34" s="58">
        <v>17</v>
      </c>
      <c r="G34" s="68">
        <f t="shared" si="2"/>
        <v>33.41317365269461</v>
      </c>
      <c r="H34" s="54">
        <v>-421127</v>
      </c>
      <c r="I34" s="69">
        <f t="shared" si="3"/>
        <v>-12603.621684587813</v>
      </c>
      <c r="K34" s="58">
        <v>42</v>
      </c>
      <c r="L34" s="68">
        <f t="shared" si="4"/>
        <v>30.326086956521738</v>
      </c>
      <c r="M34" s="54">
        <v>-137859</v>
      </c>
      <c r="N34" s="69">
        <f t="shared" si="5"/>
        <v>-4545.8881720430109</v>
      </c>
      <c r="P34" s="58">
        <v>47</v>
      </c>
      <c r="Q34" s="68">
        <f t="shared" si="6"/>
        <v>33.41317365269461</v>
      </c>
      <c r="R34" s="54">
        <v>-338573</v>
      </c>
      <c r="S34" s="69">
        <f t="shared" si="7"/>
        <v>-10132.919534050179</v>
      </c>
    </row>
    <row r="35" spans="1:20" x14ac:dyDescent="0.25">
      <c r="A35" s="58">
        <v>73</v>
      </c>
      <c r="B35" s="68">
        <f t="shared" si="0"/>
        <v>30.326086956521738</v>
      </c>
      <c r="C35" s="54">
        <v>-526062</v>
      </c>
      <c r="D35" s="69">
        <f t="shared" si="1"/>
        <v>-17346.847311827958</v>
      </c>
      <c r="F35" s="58">
        <v>5</v>
      </c>
      <c r="G35" s="68">
        <f t="shared" si="2"/>
        <v>33.41317365269461</v>
      </c>
      <c r="H35" s="54">
        <v>-473972</v>
      </c>
      <c r="I35" s="69">
        <f t="shared" si="3"/>
        <v>-14185.183512544803</v>
      </c>
      <c r="K35" s="58">
        <v>50</v>
      </c>
      <c r="L35" s="68">
        <f t="shared" si="4"/>
        <v>30.326086956521738</v>
      </c>
      <c r="M35" s="54">
        <v>-141217</v>
      </c>
      <c r="N35" s="69">
        <f t="shared" si="5"/>
        <v>-4656.6179211469534</v>
      </c>
      <c r="P35" s="58">
        <v>34</v>
      </c>
      <c r="Q35" s="68">
        <f t="shared" si="6"/>
        <v>33.41317365269461</v>
      </c>
      <c r="R35" s="54">
        <v>-343537</v>
      </c>
      <c r="S35" s="69">
        <f t="shared" si="7"/>
        <v>-10281.483691756273</v>
      </c>
    </row>
    <row r="36" spans="1:20" x14ac:dyDescent="0.25">
      <c r="A36" s="58">
        <v>69</v>
      </c>
      <c r="B36" s="68">
        <f t="shared" si="0"/>
        <v>30.326086956521738</v>
      </c>
      <c r="C36" s="54">
        <v>-582190</v>
      </c>
      <c r="D36" s="69">
        <f t="shared" si="1"/>
        <v>-19197.663082437277</v>
      </c>
      <c r="F36" s="58">
        <v>67</v>
      </c>
      <c r="G36" s="68">
        <f t="shared" si="2"/>
        <v>33.41317365269461</v>
      </c>
      <c r="H36" s="54">
        <v>-479440</v>
      </c>
      <c r="I36" s="69">
        <f t="shared" si="3"/>
        <v>-14348.831541218638</v>
      </c>
      <c r="K36" s="58">
        <v>24</v>
      </c>
      <c r="L36" s="68">
        <f t="shared" si="4"/>
        <v>30.326086956521738</v>
      </c>
      <c r="M36" s="54">
        <v>-265494</v>
      </c>
      <c r="N36" s="69">
        <f t="shared" si="5"/>
        <v>-8754.6408602150532</v>
      </c>
      <c r="P36" s="58">
        <v>26</v>
      </c>
      <c r="Q36" s="68">
        <f t="shared" si="6"/>
        <v>33.41317365269461</v>
      </c>
      <c r="R36" s="54">
        <v>-410208</v>
      </c>
      <c r="S36" s="69">
        <f t="shared" si="7"/>
        <v>-12276.834408602152</v>
      </c>
    </row>
    <row r="37" spans="1:20" x14ac:dyDescent="0.25">
      <c r="A37" s="58">
        <v>17</v>
      </c>
      <c r="B37" s="68">
        <f t="shared" si="0"/>
        <v>30.326086956521738</v>
      </c>
      <c r="C37" s="54">
        <v>-710390</v>
      </c>
      <c r="D37" s="69">
        <f t="shared" si="1"/>
        <v>-23425.046594982079</v>
      </c>
      <c r="F37" s="58">
        <v>65</v>
      </c>
      <c r="G37" s="68">
        <f t="shared" si="2"/>
        <v>33.41317365269461</v>
      </c>
      <c r="H37" s="54">
        <v>-681880</v>
      </c>
      <c r="I37" s="69">
        <f t="shared" si="3"/>
        <v>-20407.519713261649</v>
      </c>
      <c r="K37" s="58">
        <v>44</v>
      </c>
      <c r="L37" s="68">
        <f t="shared" si="4"/>
        <v>30.326086956521738</v>
      </c>
      <c r="M37" s="54">
        <v>-279807</v>
      </c>
      <c r="N37" s="69">
        <f t="shared" si="5"/>
        <v>-9226.6107526881715</v>
      </c>
      <c r="P37" s="58">
        <v>55</v>
      </c>
      <c r="Q37" s="68">
        <f t="shared" si="6"/>
        <v>33.41317365269461</v>
      </c>
      <c r="R37" s="54">
        <v>-412943</v>
      </c>
      <c r="S37" s="69">
        <f t="shared" si="7"/>
        <v>-12358.688351254481</v>
      </c>
    </row>
    <row r="38" spans="1:20" x14ac:dyDescent="0.25">
      <c r="A38" s="58">
        <v>12</v>
      </c>
      <c r="B38" s="68">
        <f t="shared" si="0"/>
        <v>30.326086956521738</v>
      </c>
      <c r="C38" s="54">
        <v>-753136</v>
      </c>
      <c r="D38" s="69">
        <f t="shared" si="1"/>
        <v>-24834.592114695341</v>
      </c>
      <c r="F38" s="95">
        <v>15</v>
      </c>
      <c r="G38" s="96">
        <f t="shared" si="2"/>
        <v>33.41317365269461</v>
      </c>
      <c r="H38" s="97">
        <v>-737370</v>
      </c>
      <c r="I38" s="98">
        <f t="shared" si="3"/>
        <v>-22068.241935483871</v>
      </c>
      <c r="J38">
        <v>0</v>
      </c>
      <c r="K38" s="58">
        <v>78</v>
      </c>
      <c r="L38" s="68">
        <f t="shared" si="4"/>
        <v>30.326086956521738</v>
      </c>
      <c r="M38" s="54">
        <v>-450754</v>
      </c>
      <c r="N38" s="69">
        <f t="shared" si="5"/>
        <v>-14863.572759856632</v>
      </c>
      <c r="P38" s="95">
        <v>22</v>
      </c>
      <c r="Q38" s="96">
        <f t="shared" si="6"/>
        <v>33.41317365269461</v>
      </c>
      <c r="R38" s="97">
        <v>-443480</v>
      </c>
      <c r="S38" s="98">
        <f t="shared" si="7"/>
        <v>-13272.609318996416</v>
      </c>
      <c r="T38">
        <v>0</v>
      </c>
    </row>
    <row r="39" spans="1:20" x14ac:dyDescent="0.25">
      <c r="A39" s="58">
        <v>58</v>
      </c>
      <c r="B39" s="68">
        <f t="shared" si="0"/>
        <v>30.326086956521738</v>
      </c>
      <c r="C39" s="54">
        <v>-793953</v>
      </c>
      <c r="D39" s="69">
        <f t="shared" si="1"/>
        <v>-26180.529032258066</v>
      </c>
      <c r="F39" s="58">
        <v>6</v>
      </c>
      <c r="G39" s="68">
        <f t="shared" si="2"/>
        <v>33.41317365269461</v>
      </c>
      <c r="H39" s="54">
        <v>-760719</v>
      </c>
      <c r="I39" s="69">
        <f t="shared" si="3"/>
        <v>-22767.038172043012</v>
      </c>
      <c r="K39" s="58">
        <v>81</v>
      </c>
      <c r="L39" s="68">
        <f t="shared" si="4"/>
        <v>30.326086956521738</v>
      </c>
      <c r="M39" s="54">
        <v>-460974</v>
      </c>
      <c r="N39" s="69">
        <f t="shared" si="5"/>
        <v>-15200.576344086023</v>
      </c>
      <c r="P39" s="58">
        <v>97</v>
      </c>
      <c r="Q39" s="68">
        <f t="shared" si="6"/>
        <v>33.41317365269461</v>
      </c>
      <c r="R39" s="54">
        <v>-474669</v>
      </c>
      <c r="S39" s="69">
        <f t="shared" si="7"/>
        <v>-14206.043548387097</v>
      </c>
    </row>
    <row r="40" spans="1:20" x14ac:dyDescent="0.25">
      <c r="A40" s="58">
        <v>68</v>
      </c>
      <c r="B40" s="68">
        <f t="shared" si="0"/>
        <v>30.326086956521738</v>
      </c>
      <c r="C40" s="54">
        <v>-803861</v>
      </c>
      <c r="D40" s="69">
        <f t="shared" si="1"/>
        <v>-26507.244444444445</v>
      </c>
      <c r="F40" s="58">
        <v>18</v>
      </c>
      <c r="G40" s="68">
        <f t="shared" si="2"/>
        <v>33.41317365269461</v>
      </c>
      <c r="H40" s="54">
        <v>-824942</v>
      </c>
      <c r="I40" s="69">
        <f t="shared" si="3"/>
        <v>-24689.124372759856</v>
      </c>
      <c r="K40" s="58">
        <v>48</v>
      </c>
      <c r="L40" s="68">
        <f t="shared" si="4"/>
        <v>30.326086956521738</v>
      </c>
      <c r="M40" s="54">
        <v>-522318</v>
      </c>
      <c r="N40" s="69">
        <f t="shared" si="5"/>
        <v>-17223.389247311829</v>
      </c>
      <c r="P40" s="58">
        <v>57</v>
      </c>
      <c r="Q40" s="68">
        <f t="shared" si="6"/>
        <v>33.41317365269461</v>
      </c>
      <c r="R40" s="54">
        <v>-519769</v>
      </c>
      <c r="S40" s="69">
        <f t="shared" si="7"/>
        <v>-15555.810573476703</v>
      </c>
    </row>
    <row r="41" spans="1:20" x14ac:dyDescent="0.25">
      <c r="A41" s="58">
        <v>60</v>
      </c>
      <c r="B41" s="68">
        <f t="shared" si="0"/>
        <v>30.326086956521738</v>
      </c>
      <c r="C41" s="54">
        <v>-850901</v>
      </c>
      <c r="D41" s="69">
        <f t="shared" si="1"/>
        <v>-28058.384229390682</v>
      </c>
      <c r="F41" s="58">
        <v>11</v>
      </c>
      <c r="G41" s="68">
        <f t="shared" si="2"/>
        <v>33.41317365269461</v>
      </c>
      <c r="H41" s="54">
        <v>-906527</v>
      </c>
      <c r="I41" s="69">
        <f t="shared" si="3"/>
        <v>-27130.825985663083</v>
      </c>
      <c r="K41" s="58">
        <v>87</v>
      </c>
      <c r="L41" s="68">
        <f t="shared" si="4"/>
        <v>30.326086956521738</v>
      </c>
      <c r="M41" s="54">
        <v>-542332</v>
      </c>
      <c r="N41" s="69">
        <f t="shared" si="5"/>
        <v>-17883.349103942652</v>
      </c>
      <c r="P41" s="58">
        <v>35</v>
      </c>
      <c r="Q41" s="68">
        <f t="shared" si="6"/>
        <v>33.41317365269461</v>
      </c>
      <c r="R41" s="54">
        <v>-552149</v>
      </c>
      <c r="S41" s="69">
        <f t="shared" si="7"/>
        <v>-16524.889426523299</v>
      </c>
    </row>
    <row r="42" spans="1:20" x14ac:dyDescent="0.25">
      <c r="A42" s="58">
        <v>74</v>
      </c>
      <c r="B42" s="68">
        <f t="shared" si="0"/>
        <v>30.326086956521738</v>
      </c>
      <c r="C42" s="54">
        <v>-871942</v>
      </c>
      <c r="D42" s="69">
        <f t="shared" si="1"/>
        <v>-28752.209318996418</v>
      </c>
      <c r="F42" s="58">
        <v>14</v>
      </c>
      <c r="G42" s="68">
        <f t="shared" si="2"/>
        <v>33.41317365269461</v>
      </c>
      <c r="H42" s="54">
        <v>-923878</v>
      </c>
      <c r="I42" s="69">
        <f t="shared" si="3"/>
        <v>-27650.112186379931</v>
      </c>
      <c r="K42" s="58">
        <v>41</v>
      </c>
      <c r="L42" s="68">
        <f t="shared" si="4"/>
        <v>30.326086956521738</v>
      </c>
      <c r="M42" s="54">
        <v>-545075</v>
      </c>
      <c r="N42" s="69">
        <f t="shared" si="5"/>
        <v>-17973.799283154123</v>
      </c>
      <c r="P42" s="58">
        <v>81</v>
      </c>
      <c r="Q42" s="68">
        <f t="shared" si="6"/>
        <v>33.41317365269461</v>
      </c>
      <c r="R42" s="54">
        <v>-553719</v>
      </c>
      <c r="S42" s="69">
        <f t="shared" si="7"/>
        <v>-16571.876881720429</v>
      </c>
    </row>
    <row r="43" spans="1:20" x14ac:dyDescent="0.25">
      <c r="A43" s="58">
        <v>71</v>
      </c>
      <c r="B43" s="68">
        <f t="shared" si="0"/>
        <v>30.326086956521738</v>
      </c>
      <c r="C43" s="54">
        <v>-879757</v>
      </c>
      <c r="D43" s="69">
        <f t="shared" si="1"/>
        <v>-29009.908243727601</v>
      </c>
      <c r="F43" s="58">
        <v>90</v>
      </c>
      <c r="G43" s="68">
        <f t="shared" si="2"/>
        <v>33.41317365269461</v>
      </c>
      <c r="H43" s="54">
        <v>-944796</v>
      </c>
      <c r="I43" s="69">
        <f t="shared" si="3"/>
        <v>-28276.152688172042</v>
      </c>
      <c r="K43" s="58">
        <v>23</v>
      </c>
      <c r="L43" s="68">
        <f t="shared" si="4"/>
        <v>30.326086956521738</v>
      </c>
      <c r="M43" s="54">
        <v>-550483</v>
      </c>
      <c r="N43" s="69">
        <f t="shared" si="5"/>
        <v>-18152.127598566309</v>
      </c>
      <c r="P43" s="58">
        <v>25</v>
      </c>
      <c r="Q43" s="68">
        <f t="shared" si="6"/>
        <v>33.41317365269461</v>
      </c>
      <c r="R43" s="54">
        <v>-602771</v>
      </c>
      <c r="S43" s="69">
        <f t="shared" si="7"/>
        <v>-18039.920609318997</v>
      </c>
    </row>
    <row r="44" spans="1:20" x14ac:dyDescent="0.25">
      <c r="A44" s="58">
        <v>13</v>
      </c>
      <c r="B44" s="68">
        <f t="shared" si="0"/>
        <v>30.326086956521738</v>
      </c>
      <c r="C44" s="54">
        <v>-1072053</v>
      </c>
      <c r="D44" s="69">
        <f t="shared" si="1"/>
        <v>-35350.851612903229</v>
      </c>
      <c r="F44" s="58">
        <v>88</v>
      </c>
      <c r="G44" s="68">
        <f t="shared" si="2"/>
        <v>33.41317365269461</v>
      </c>
      <c r="H44" s="54">
        <v>-964689</v>
      </c>
      <c r="I44" s="69">
        <f t="shared" si="3"/>
        <v>-28871.516666666666</v>
      </c>
      <c r="K44" s="58">
        <v>55</v>
      </c>
      <c r="L44" s="68">
        <f t="shared" si="4"/>
        <v>30.326086956521738</v>
      </c>
      <c r="M44" s="54">
        <v>-592287</v>
      </c>
      <c r="N44" s="69">
        <f t="shared" si="5"/>
        <v>-19530.610752688171</v>
      </c>
      <c r="P44" s="58">
        <v>23</v>
      </c>
      <c r="Q44" s="68">
        <f t="shared" si="6"/>
        <v>33.41317365269461</v>
      </c>
      <c r="R44" s="54">
        <v>-625997</v>
      </c>
      <c r="S44" s="69">
        <f t="shared" si="7"/>
        <v>-18735.035663082439</v>
      </c>
    </row>
    <row r="45" spans="1:20" x14ac:dyDescent="0.25">
      <c r="A45" s="58">
        <v>92</v>
      </c>
      <c r="B45" s="68">
        <f t="shared" si="0"/>
        <v>30.326086956521738</v>
      </c>
      <c r="C45" s="54">
        <v>-1105120</v>
      </c>
      <c r="D45" s="69">
        <f t="shared" si="1"/>
        <v>-36441.232974910396</v>
      </c>
      <c r="F45" s="58">
        <v>10</v>
      </c>
      <c r="G45" s="68">
        <f t="shared" si="2"/>
        <v>33.41317365269461</v>
      </c>
      <c r="H45" s="54">
        <v>-1019506</v>
      </c>
      <c r="I45" s="69">
        <f t="shared" si="3"/>
        <v>-30512.097132616487</v>
      </c>
      <c r="K45" s="95">
        <v>31</v>
      </c>
      <c r="L45" s="96">
        <f t="shared" si="4"/>
        <v>30.326086956521738</v>
      </c>
      <c r="M45" s="97">
        <v>-620072</v>
      </c>
      <c r="N45" s="98">
        <f t="shared" si="5"/>
        <v>-20446.818637992834</v>
      </c>
      <c r="O45">
        <v>0</v>
      </c>
      <c r="P45" s="58">
        <v>78</v>
      </c>
      <c r="Q45" s="68">
        <f t="shared" si="6"/>
        <v>33.41317365269461</v>
      </c>
      <c r="R45" s="54">
        <v>-732192</v>
      </c>
      <c r="S45" s="69">
        <f t="shared" si="7"/>
        <v>-21913.273118279569</v>
      </c>
    </row>
    <row r="46" spans="1:20" x14ac:dyDescent="0.25">
      <c r="A46" s="58">
        <v>21</v>
      </c>
      <c r="B46" s="68">
        <f t="shared" si="0"/>
        <v>30.326086956521738</v>
      </c>
      <c r="C46" s="54">
        <v>-1124143</v>
      </c>
      <c r="D46" s="69">
        <f t="shared" si="1"/>
        <v>-37068.514695340506</v>
      </c>
      <c r="F46" s="95">
        <v>2</v>
      </c>
      <c r="G46" s="96">
        <f t="shared" si="2"/>
        <v>33.41317365269461</v>
      </c>
      <c r="H46" s="97">
        <v>-1048073</v>
      </c>
      <c r="I46" s="98">
        <f t="shared" si="3"/>
        <v>-31367.059318996417</v>
      </c>
      <c r="J46">
        <v>0</v>
      </c>
      <c r="K46" s="58">
        <v>40</v>
      </c>
      <c r="L46" s="68">
        <f t="shared" si="4"/>
        <v>30.326086956521738</v>
      </c>
      <c r="M46" s="54">
        <v>-658386</v>
      </c>
      <c r="N46" s="69">
        <f t="shared" si="5"/>
        <v>-21710.219354838711</v>
      </c>
      <c r="P46" s="58">
        <v>41</v>
      </c>
      <c r="Q46" s="68">
        <f t="shared" si="6"/>
        <v>33.41317365269461</v>
      </c>
      <c r="R46" s="54">
        <v>-890843</v>
      </c>
      <c r="S46" s="69">
        <f t="shared" si="7"/>
        <v>-26661.430286738352</v>
      </c>
    </row>
    <row r="47" spans="1:20" x14ac:dyDescent="0.25">
      <c r="A47" s="58">
        <v>64</v>
      </c>
      <c r="B47" s="68">
        <f t="shared" si="0"/>
        <v>30.326086956521738</v>
      </c>
      <c r="C47" s="54">
        <v>-1198677</v>
      </c>
      <c r="D47" s="69">
        <f t="shared" si="1"/>
        <v>-39526.26666666667</v>
      </c>
      <c r="F47" s="58">
        <v>12</v>
      </c>
      <c r="G47" s="68">
        <f t="shared" si="2"/>
        <v>33.41317365269461</v>
      </c>
      <c r="H47" s="54">
        <v>-1098022</v>
      </c>
      <c r="I47" s="69">
        <f t="shared" si="3"/>
        <v>-32861.948745519716</v>
      </c>
      <c r="K47" s="58">
        <v>97</v>
      </c>
      <c r="L47" s="68">
        <f t="shared" si="4"/>
        <v>30.326086956521738</v>
      </c>
      <c r="M47" s="54">
        <v>-661431</v>
      </c>
      <c r="N47" s="69">
        <f t="shared" si="5"/>
        <v>-21810.627956989247</v>
      </c>
      <c r="P47" s="58">
        <v>48</v>
      </c>
      <c r="Q47" s="68">
        <f t="shared" si="6"/>
        <v>33.41317365269461</v>
      </c>
      <c r="R47" s="54">
        <v>-914243</v>
      </c>
      <c r="S47" s="69">
        <f t="shared" si="7"/>
        <v>-27361.752867383515</v>
      </c>
    </row>
    <row r="48" spans="1:20" x14ac:dyDescent="0.25">
      <c r="A48" s="58">
        <v>3</v>
      </c>
      <c r="B48" s="68">
        <f t="shared" si="0"/>
        <v>30.326086956521738</v>
      </c>
      <c r="C48" s="54">
        <v>-1231829</v>
      </c>
      <c r="D48" s="69">
        <f t="shared" si="1"/>
        <v>-40619.450896057351</v>
      </c>
      <c r="F48" s="58">
        <v>72</v>
      </c>
      <c r="G48" s="68">
        <f t="shared" si="2"/>
        <v>33.41317365269461</v>
      </c>
      <c r="H48" s="54">
        <v>-1168137</v>
      </c>
      <c r="I48" s="69">
        <f t="shared" si="3"/>
        <v>-34960.372580645162</v>
      </c>
      <c r="K48" s="58">
        <v>56</v>
      </c>
      <c r="L48" s="68">
        <f t="shared" si="4"/>
        <v>30.326086956521738</v>
      </c>
      <c r="M48" s="54">
        <v>-736742</v>
      </c>
      <c r="N48" s="69">
        <f t="shared" si="5"/>
        <v>-24294.001433691756</v>
      </c>
      <c r="P48" s="58">
        <v>96</v>
      </c>
      <c r="Q48" s="68">
        <f t="shared" si="6"/>
        <v>33.41317365269461</v>
      </c>
      <c r="R48" s="54">
        <v>-944950</v>
      </c>
      <c r="S48" s="69">
        <f t="shared" si="7"/>
        <v>-28280.76164874552</v>
      </c>
    </row>
    <row r="49" spans="1:20" x14ac:dyDescent="0.25">
      <c r="A49" s="58">
        <v>70</v>
      </c>
      <c r="B49" s="68">
        <f t="shared" si="0"/>
        <v>30.326086956521738</v>
      </c>
      <c r="C49" s="54">
        <v>-1290356</v>
      </c>
      <c r="D49" s="69">
        <f t="shared" si="1"/>
        <v>-42549.373476702509</v>
      </c>
      <c r="F49" s="58">
        <v>62</v>
      </c>
      <c r="G49" s="68">
        <f t="shared" si="2"/>
        <v>33.41317365269461</v>
      </c>
      <c r="H49" s="54">
        <v>-1177761</v>
      </c>
      <c r="I49" s="69">
        <f t="shared" si="3"/>
        <v>-35248.402688172042</v>
      </c>
      <c r="K49" s="58">
        <v>85</v>
      </c>
      <c r="L49" s="68">
        <f t="shared" si="4"/>
        <v>30.326086956521738</v>
      </c>
      <c r="M49" s="54">
        <v>-789944</v>
      </c>
      <c r="N49" s="69">
        <f t="shared" si="5"/>
        <v>-26048.332616487456</v>
      </c>
      <c r="P49" s="58">
        <v>82</v>
      </c>
      <c r="Q49" s="68">
        <f t="shared" si="6"/>
        <v>33.41317365269461</v>
      </c>
      <c r="R49" s="54">
        <v>-954865</v>
      </c>
      <c r="S49" s="69">
        <f t="shared" si="7"/>
        <v>-28577.500896057347</v>
      </c>
    </row>
    <row r="50" spans="1:20" x14ac:dyDescent="0.25">
      <c r="A50" s="58">
        <v>65</v>
      </c>
      <c r="B50" s="68">
        <f t="shared" si="0"/>
        <v>30.326086956521738</v>
      </c>
      <c r="C50" s="54">
        <v>-1335361</v>
      </c>
      <c r="D50" s="69">
        <f t="shared" si="1"/>
        <v>-44033.409318996419</v>
      </c>
      <c r="F50" s="58">
        <v>19</v>
      </c>
      <c r="G50" s="68">
        <f t="shared" si="2"/>
        <v>33.41317365269461</v>
      </c>
      <c r="H50" s="54">
        <v>-1251057</v>
      </c>
      <c r="I50" s="69">
        <f t="shared" si="3"/>
        <v>-37442.028494623657</v>
      </c>
      <c r="K50" s="58">
        <v>26</v>
      </c>
      <c r="L50" s="68">
        <f t="shared" si="4"/>
        <v>30.326086956521738</v>
      </c>
      <c r="M50" s="54">
        <v>-946136</v>
      </c>
      <c r="N50" s="69">
        <f t="shared" si="5"/>
        <v>-31198.749820788533</v>
      </c>
      <c r="P50" s="58">
        <v>50</v>
      </c>
      <c r="Q50" s="68">
        <f t="shared" si="6"/>
        <v>33.41317365269461</v>
      </c>
      <c r="R50" s="54">
        <v>-1011749</v>
      </c>
      <c r="S50" s="69">
        <f t="shared" si="7"/>
        <v>-30279.943189964157</v>
      </c>
    </row>
    <row r="51" spans="1:20" x14ac:dyDescent="0.25">
      <c r="A51" s="58">
        <v>18</v>
      </c>
      <c r="B51" s="68">
        <f t="shared" si="0"/>
        <v>30.326086956521738</v>
      </c>
      <c r="C51" s="54">
        <v>-1388548</v>
      </c>
      <c r="D51" s="69">
        <f t="shared" si="1"/>
        <v>-45787.2458781362</v>
      </c>
      <c r="F51" s="58">
        <v>68</v>
      </c>
      <c r="G51" s="68">
        <f t="shared" si="2"/>
        <v>33.41317365269461</v>
      </c>
      <c r="H51" s="54">
        <v>-1292553</v>
      </c>
      <c r="I51" s="69">
        <f t="shared" si="3"/>
        <v>-38683.933870967739</v>
      </c>
      <c r="K51" s="58">
        <v>84</v>
      </c>
      <c r="L51" s="68">
        <f t="shared" si="4"/>
        <v>30.326086956521738</v>
      </c>
      <c r="M51" s="54">
        <v>-948146</v>
      </c>
      <c r="N51" s="69">
        <f t="shared" si="5"/>
        <v>-31265.029390681004</v>
      </c>
      <c r="P51" s="58">
        <v>40</v>
      </c>
      <c r="Q51" s="68">
        <f t="shared" si="6"/>
        <v>33.41317365269461</v>
      </c>
      <c r="R51" s="54">
        <v>-1028317</v>
      </c>
      <c r="S51" s="69">
        <f t="shared" si="7"/>
        <v>-30775.795519713261</v>
      </c>
    </row>
    <row r="52" spans="1:20" x14ac:dyDescent="0.25">
      <c r="A52" s="58">
        <v>91</v>
      </c>
      <c r="B52" s="68">
        <f t="shared" si="0"/>
        <v>30.326086956521738</v>
      </c>
      <c r="C52" s="54">
        <v>-1477388</v>
      </c>
      <c r="D52" s="69">
        <f t="shared" si="1"/>
        <v>-48716.736917562725</v>
      </c>
      <c r="F52" s="58">
        <v>60</v>
      </c>
      <c r="G52" s="68">
        <f t="shared" si="2"/>
        <v>33.41317365269461</v>
      </c>
      <c r="H52" s="54">
        <v>-1363928</v>
      </c>
      <c r="I52" s="69">
        <f t="shared" si="3"/>
        <v>-40820.067383512549</v>
      </c>
      <c r="K52" s="58">
        <v>37</v>
      </c>
      <c r="L52" s="68">
        <f t="shared" si="4"/>
        <v>30.326086956521738</v>
      </c>
      <c r="M52" s="54">
        <v>-1123636</v>
      </c>
      <c r="N52" s="69">
        <f t="shared" si="5"/>
        <v>-37051.796415770608</v>
      </c>
      <c r="P52" s="58">
        <v>45</v>
      </c>
      <c r="Q52" s="68">
        <f t="shared" si="6"/>
        <v>33.41317365269461</v>
      </c>
      <c r="R52" s="54">
        <v>-1108132</v>
      </c>
      <c r="S52" s="69">
        <f t="shared" si="7"/>
        <v>-33164.524014336916</v>
      </c>
    </row>
    <row r="53" spans="1:20" x14ac:dyDescent="0.25">
      <c r="A53" s="58">
        <v>67</v>
      </c>
      <c r="B53" s="68">
        <f t="shared" si="0"/>
        <v>30.326086956521738</v>
      </c>
      <c r="C53" s="54">
        <v>-1558535</v>
      </c>
      <c r="D53" s="69">
        <f t="shared" si="1"/>
        <v>-51392.551971326167</v>
      </c>
      <c r="F53" s="58">
        <v>66</v>
      </c>
      <c r="G53" s="68">
        <f t="shared" si="2"/>
        <v>33.41317365269461</v>
      </c>
      <c r="H53" s="54">
        <v>-1541082</v>
      </c>
      <c r="I53" s="69">
        <f t="shared" si="3"/>
        <v>-46121.988172043013</v>
      </c>
      <c r="K53" s="58">
        <v>77</v>
      </c>
      <c r="L53" s="68">
        <f t="shared" si="4"/>
        <v>30.326086956521738</v>
      </c>
      <c r="M53" s="54">
        <v>-1136517</v>
      </c>
      <c r="N53" s="69">
        <f t="shared" si="5"/>
        <v>-37476.546236559137</v>
      </c>
      <c r="P53" s="58">
        <v>37</v>
      </c>
      <c r="Q53" s="68">
        <f t="shared" si="6"/>
        <v>33.41317365269461</v>
      </c>
      <c r="R53" s="54">
        <v>-1231599</v>
      </c>
      <c r="S53" s="69">
        <f t="shared" si="7"/>
        <v>-36859.683333333334</v>
      </c>
    </row>
    <row r="54" spans="1:20" x14ac:dyDescent="0.25">
      <c r="A54" s="58">
        <v>93</v>
      </c>
      <c r="B54" s="68">
        <f t="shared" si="0"/>
        <v>30.326086956521738</v>
      </c>
      <c r="C54" s="54">
        <v>-1560391</v>
      </c>
      <c r="D54" s="69">
        <f t="shared" si="1"/>
        <v>-51453.753405017924</v>
      </c>
      <c r="F54" s="58">
        <v>13</v>
      </c>
      <c r="G54" s="68">
        <f t="shared" si="2"/>
        <v>33.41317365269461</v>
      </c>
      <c r="H54" s="54">
        <v>-1570807</v>
      </c>
      <c r="I54" s="69">
        <f t="shared" si="3"/>
        <v>-47011.607347670251</v>
      </c>
      <c r="K54" s="58">
        <v>94</v>
      </c>
      <c r="L54" s="68">
        <f t="shared" si="4"/>
        <v>30.326086956521738</v>
      </c>
      <c r="M54" s="54">
        <v>-1189690</v>
      </c>
      <c r="N54" s="69">
        <f t="shared" si="5"/>
        <v>-39229.921146953406</v>
      </c>
      <c r="P54" s="58">
        <v>80</v>
      </c>
      <c r="Q54" s="68">
        <f t="shared" si="6"/>
        <v>33.41317365269461</v>
      </c>
      <c r="R54" s="54">
        <v>-1261366</v>
      </c>
      <c r="S54" s="69">
        <f t="shared" si="7"/>
        <v>-37750.559498207884</v>
      </c>
    </row>
    <row r="55" spans="1:20" x14ac:dyDescent="0.25">
      <c r="A55" s="58"/>
      <c r="B55" s="59"/>
      <c r="C55" s="54"/>
      <c r="D55" s="55"/>
      <c r="F55" s="58"/>
      <c r="G55" s="59"/>
      <c r="H55" s="54"/>
      <c r="I55" s="55"/>
      <c r="K55" s="58">
        <v>32</v>
      </c>
      <c r="L55" s="68">
        <f t="shared" si="4"/>
        <v>30.326086956521738</v>
      </c>
      <c r="M55" s="54">
        <v>-1238968</v>
      </c>
      <c r="N55" s="69">
        <f t="shared" si="5"/>
        <v>-40854.858781362011</v>
      </c>
      <c r="P55" s="58">
        <v>52</v>
      </c>
      <c r="Q55" s="68">
        <f t="shared" si="6"/>
        <v>33.41317365269461</v>
      </c>
      <c r="R55" s="54">
        <v>-1306284</v>
      </c>
      <c r="S55" s="69">
        <f t="shared" si="7"/>
        <v>-39094.879569892473</v>
      </c>
    </row>
    <row r="56" spans="1:20" x14ac:dyDescent="0.25">
      <c r="A56" s="58"/>
      <c r="B56" s="59"/>
      <c r="C56" s="54"/>
      <c r="D56" s="55"/>
      <c r="F56" s="58"/>
      <c r="G56" s="59"/>
      <c r="H56" s="54"/>
      <c r="I56" s="55"/>
      <c r="K56" s="58">
        <v>36</v>
      </c>
      <c r="L56" s="68">
        <f t="shared" si="4"/>
        <v>30.326086956521738</v>
      </c>
      <c r="M56" s="54">
        <v>-1281241</v>
      </c>
      <c r="N56" s="69">
        <f t="shared" si="5"/>
        <v>-42248.807168458785</v>
      </c>
      <c r="P56" s="58">
        <v>38</v>
      </c>
      <c r="Q56" s="68">
        <f t="shared" si="6"/>
        <v>33.41317365269461</v>
      </c>
      <c r="R56" s="54">
        <v>-1308829</v>
      </c>
      <c r="S56" s="69">
        <f t="shared" si="7"/>
        <v>-39171.047132616492</v>
      </c>
    </row>
    <row r="57" spans="1:20" x14ac:dyDescent="0.25">
      <c r="A57" s="58"/>
      <c r="B57" s="59"/>
      <c r="C57" s="54"/>
      <c r="D57" s="55"/>
      <c r="F57" s="58"/>
      <c r="G57" s="59"/>
      <c r="H57" s="54"/>
      <c r="I57" s="55"/>
      <c r="K57" s="58">
        <v>29</v>
      </c>
      <c r="L57" s="68">
        <f t="shared" si="4"/>
        <v>30.326086956521738</v>
      </c>
      <c r="M57" s="54">
        <v>-1329121</v>
      </c>
      <c r="N57" s="69">
        <f t="shared" si="5"/>
        <v>-43827.645878136202</v>
      </c>
      <c r="P57" s="58">
        <v>46</v>
      </c>
      <c r="Q57" s="68">
        <f t="shared" si="6"/>
        <v>33.41317365269461</v>
      </c>
      <c r="R57" s="54">
        <v>-1311822</v>
      </c>
      <c r="S57" s="69">
        <f t="shared" si="7"/>
        <v>-39260.622580645162</v>
      </c>
    </row>
    <row r="58" spans="1:20" x14ac:dyDescent="0.25">
      <c r="A58" s="58"/>
      <c r="B58" s="59"/>
      <c r="C58" s="54"/>
      <c r="D58" s="55"/>
      <c r="F58" s="58"/>
      <c r="G58" s="59"/>
      <c r="H58" s="54"/>
      <c r="I58" s="55"/>
      <c r="K58" s="58">
        <v>80</v>
      </c>
      <c r="L58" s="68">
        <f t="shared" si="4"/>
        <v>30.326086956521738</v>
      </c>
      <c r="M58" s="54">
        <v>-1382584</v>
      </c>
      <c r="N58" s="69">
        <f t="shared" si="5"/>
        <v>-45590.583512544807</v>
      </c>
      <c r="P58" s="58">
        <v>53</v>
      </c>
      <c r="Q58" s="68">
        <f t="shared" si="6"/>
        <v>33.41317365269461</v>
      </c>
      <c r="R58" s="54">
        <v>-1316172</v>
      </c>
      <c r="S58" s="69">
        <f t="shared" si="7"/>
        <v>-39390.810752688172</v>
      </c>
    </row>
    <row r="59" spans="1:20" x14ac:dyDescent="0.25">
      <c r="A59" s="58"/>
      <c r="B59" s="59"/>
      <c r="C59" s="54"/>
      <c r="D59" s="55"/>
      <c r="F59" s="58"/>
      <c r="G59" s="59"/>
      <c r="H59" s="54"/>
      <c r="I59" s="55"/>
      <c r="K59" s="58">
        <v>38</v>
      </c>
      <c r="L59" s="68">
        <f t="shared" si="4"/>
        <v>30.326086956521738</v>
      </c>
      <c r="M59" s="54">
        <v>-1454904</v>
      </c>
      <c r="N59" s="69">
        <f t="shared" si="5"/>
        <v>-47975.329032258065</v>
      </c>
      <c r="P59" s="58">
        <v>87</v>
      </c>
      <c r="Q59" s="68">
        <f t="shared" si="6"/>
        <v>33.41317365269461</v>
      </c>
      <c r="R59" s="54">
        <v>-1394051</v>
      </c>
      <c r="S59" s="69">
        <f t="shared" si="7"/>
        <v>-41721.598028673834</v>
      </c>
    </row>
    <row r="60" spans="1:20" x14ac:dyDescent="0.25">
      <c r="A60" s="58"/>
      <c r="B60" s="59"/>
      <c r="C60" s="54"/>
      <c r="D60" s="55"/>
      <c r="F60" s="58"/>
      <c r="G60" s="59"/>
      <c r="H60" s="54"/>
      <c r="I60" s="55"/>
      <c r="K60" s="58">
        <v>96</v>
      </c>
      <c r="L60" s="68">
        <f t="shared" si="4"/>
        <v>30.326086956521738</v>
      </c>
      <c r="M60" s="54">
        <v>-1495940</v>
      </c>
      <c r="N60" s="69">
        <f t="shared" si="5"/>
        <v>-49328.487455197137</v>
      </c>
      <c r="P60" s="58">
        <v>36</v>
      </c>
      <c r="Q60" s="68">
        <f t="shared" si="6"/>
        <v>33.41317365269461</v>
      </c>
      <c r="R60" s="54">
        <v>-1395762</v>
      </c>
      <c r="S60" s="69">
        <f t="shared" si="7"/>
        <v>-41772.805376344084</v>
      </c>
    </row>
    <row r="61" spans="1:20" x14ac:dyDescent="0.25">
      <c r="A61" s="58"/>
      <c r="B61" s="59"/>
      <c r="C61" s="54"/>
      <c r="D61" s="55"/>
      <c r="F61" s="58"/>
      <c r="G61" s="59"/>
      <c r="H61" s="54"/>
      <c r="I61" s="55"/>
      <c r="K61" s="58">
        <v>76</v>
      </c>
      <c r="L61" s="68">
        <f t="shared" si="4"/>
        <v>30.326086956521738</v>
      </c>
      <c r="M61" s="54">
        <v>-1505954</v>
      </c>
      <c r="N61" s="69">
        <f t="shared" si="5"/>
        <v>-49658.698207885303</v>
      </c>
      <c r="P61" s="58">
        <v>42</v>
      </c>
      <c r="Q61" s="68">
        <f t="shared" si="6"/>
        <v>33.41317365269461</v>
      </c>
      <c r="R61" s="54">
        <v>-1449513</v>
      </c>
      <c r="S61" s="69">
        <f t="shared" si="7"/>
        <v>-43381.48225806452</v>
      </c>
    </row>
    <row r="62" spans="1:20" x14ac:dyDescent="0.25">
      <c r="A62" s="58"/>
      <c r="B62" s="59"/>
      <c r="C62" s="54"/>
      <c r="D62" s="55"/>
      <c r="F62" s="58"/>
      <c r="G62" s="59"/>
      <c r="H62" s="54"/>
      <c r="I62" s="55"/>
      <c r="K62" s="58">
        <v>52</v>
      </c>
      <c r="L62" s="68">
        <f t="shared" si="4"/>
        <v>30.326086956521738</v>
      </c>
      <c r="M62" s="54">
        <v>-1572435</v>
      </c>
      <c r="N62" s="69">
        <f t="shared" si="5"/>
        <v>-51850.903225806454</v>
      </c>
      <c r="P62" s="58">
        <v>28</v>
      </c>
      <c r="Q62" s="68">
        <f t="shared" si="6"/>
        <v>33.41317365269461</v>
      </c>
      <c r="R62" s="54">
        <v>-1475625</v>
      </c>
      <c r="S62" s="69">
        <f t="shared" si="7"/>
        <v>-44162.970430107525</v>
      </c>
    </row>
    <row r="63" spans="1:20" x14ac:dyDescent="0.25">
      <c r="A63" s="58"/>
      <c r="B63" s="59"/>
      <c r="C63" s="54"/>
      <c r="D63" s="55"/>
      <c r="F63" s="58"/>
      <c r="G63" s="59"/>
      <c r="H63" s="54"/>
      <c r="I63" s="55"/>
      <c r="K63" s="58">
        <v>100</v>
      </c>
      <c r="L63" s="68">
        <f t="shared" si="4"/>
        <v>30.326086956521738</v>
      </c>
      <c r="M63" s="54">
        <v>-1597710</v>
      </c>
      <c r="N63" s="69">
        <f t="shared" si="5"/>
        <v>-52684.344086021505</v>
      </c>
      <c r="P63" s="95">
        <v>83</v>
      </c>
      <c r="Q63" s="96">
        <f t="shared" si="6"/>
        <v>33.41317365269461</v>
      </c>
      <c r="R63" s="97">
        <v>-1533913</v>
      </c>
      <c r="S63" s="98">
        <f t="shared" si="7"/>
        <v>-45907.432078853046</v>
      </c>
      <c r="T63">
        <v>0</v>
      </c>
    </row>
    <row r="64" spans="1:20" x14ac:dyDescent="0.25">
      <c r="A64" s="58"/>
      <c r="B64" s="59"/>
      <c r="C64" s="54"/>
      <c r="D64" s="55"/>
      <c r="F64" s="58"/>
      <c r="G64" s="59"/>
      <c r="H64" s="54"/>
      <c r="I64" s="55"/>
      <c r="K64" s="58">
        <v>51</v>
      </c>
      <c r="L64" s="68">
        <f t="shared" si="4"/>
        <v>30.326086956521738</v>
      </c>
      <c r="M64" s="54">
        <v>-1602000</v>
      </c>
      <c r="N64" s="69">
        <f t="shared" si="5"/>
        <v>-52825.806451612902</v>
      </c>
      <c r="P64" s="58">
        <v>77</v>
      </c>
      <c r="Q64" s="68">
        <f t="shared" si="6"/>
        <v>33.41317365269461</v>
      </c>
      <c r="R64" s="54">
        <v>-1545855</v>
      </c>
      <c r="S64" s="69">
        <f t="shared" si="7"/>
        <v>-46264.836021505376</v>
      </c>
    </row>
    <row r="65" spans="1:19" x14ac:dyDescent="0.25">
      <c r="A65" s="58"/>
      <c r="B65" s="59"/>
      <c r="C65" s="54"/>
      <c r="D65" s="55"/>
      <c r="F65" s="58"/>
      <c r="G65" s="59"/>
      <c r="H65" s="54"/>
      <c r="I65" s="55"/>
      <c r="K65" s="58"/>
      <c r="L65" s="59"/>
      <c r="M65" s="54"/>
      <c r="N65" s="55"/>
      <c r="P65" s="58"/>
      <c r="Q65" s="59"/>
      <c r="R65" s="54"/>
      <c r="S65" s="55"/>
    </row>
    <row r="66" spans="1:19" x14ac:dyDescent="0.25">
      <c r="A66" s="58"/>
      <c r="B66" s="59"/>
      <c r="C66" s="54"/>
      <c r="D66" s="55"/>
      <c r="F66" s="58"/>
      <c r="G66" s="59"/>
      <c r="H66" s="54"/>
      <c r="I66" s="55"/>
      <c r="K66" s="58"/>
      <c r="L66" s="59"/>
      <c r="M66" s="54"/>
      <c r="N66" s="55"/>
      <c r="P66" s="58"/>
      <c r="Q66" s="59"/>
      <c r="R66" s="54"/>
      <c r="S66" s="55"/>
    </row>
    <row r="67" spans="1:19" x14ac:dyDescent="0.25">
      <c r="A67" s="58"/>
      <c r="B67" s="59"/>
      <c r="C67" s="54"/>
      <c r="D67" s="55"/>
      <c r="F67" s="58"/>
      <c r="G67" s="59"/>
      <c r="H67" s="54"/>
      <c r="I67" s="55"/>
      <c r="K67" s="58"/>
      <c r="L67" s="59"/>
      <c r="M67" s="54"/>
      <c r="N67" s="55"/>
      <c r="P67" s="58"/>
      <c r="Q67" s="59"/>
      <c r="R67" s="54"/>
      <c r="S67" s="55"/>
    </row>
    <row r="68" spans="1:19" x14ac:dyDescent="0.25">
      <c r="A68" s="58"/>
      <c r="B68" s="59"/>
      <c r="C68" s="54"/>
      <c r="D68" s="55"/>
      <c r="F68" s="58"/>
      <c r="G68" s="59"/>
      <c r="H68" s="54"/>
      <c r="I68" s="55"/>
      <c r="K68" s="58"/>
      <c r="L68" s="59"/>
      <c r="M68" s="54"/>
      <c r="N68" s="55"/>
      <c r="P68" s="58"/>
      <c r="Q68" s="59"/>
      <c r="R68" s="54"/>
      <c r="S68" s="55"/>
    </row>
    <row r="69" spans="1:19" x14ac:dyDescent="0.25">
      <c r="A69" s="58"/>
      <c r="B69" s="59"/>
      <c r="C69" s="54"/>
      <c r="D69" s="55"/>
      <c r="F69" s="58"/>
      <c r="G69" s="59"/>
      <c r="H69" s="54"/>
      <c r="I69" s="55"/>
      <c r="K69" s="58"/>
      <c r="L69" s="59"/>
      <c r="M69" s="54"/>
      <c r="N69" s="55"/>
      <c r="P69" s="58"/>
      <c r="Q69" s="59"/>
      <c r="R69" s="54"/>
      <c r="S69" s="55"/>
    </row>
    <row r="70" spans="1:19" x14ac:dyDescent="0.25">
      <c r="A70" s="58"/>
      <c r="B70" s="59"/>
      <c r="C70" s="54"/>
      <c r="D70" s="55"/>
      <c r="F70" s="58"/>
      <c r="G70" s="59"/>
      <c r="H70" s="54"/>
      <c r="I70" s="55"/>
      <c r="K70" s="58"/>
      <c r="L70" s="59"/>
      <c r="M70" s="54"/>
      <c r="N70" s="55"/>
      <c r="P70" s="58"/>
      <c r="Q70" s="59"/>
      <c r="R70" s="54"/>
      <c r="S70" s="55"/>
    </row>
    <row r="71" spans="1:19" x14ac:dyDescent="0.25">
      <c r="A71" s="58"/>
      <c r="B71" s="59"/>
      <c r="C71" s="54"/>
      <c r="D71" s="55"/>
      <c r="F71" s="58"/>
      <c r="G71" s="59"/>
      <c r="H71" s="54"/>
      <c r="I71" s="55"/>
      <c r="K71" s="58"/>
      <c r="L71" s="59"/>
      <c r="M71" s="54"/>
      <c r="N71" s="55"/>
      <c r="P71" s="58"/>
      <c r="Q71" s="59"/>
      <c r="R71" s="54"/>
      <c r="S71" s="55"/>
    </row>
    <row r="72" spans="1:19" x14ac:dyDescent="0.25">
      <c r="A72" s="58"/>
      <c r="B72" s="59"/>
      <c r="C72" s="54"/>
      <c r="D72" s="55"/>
      <c r="F72" s="58"/>
      <c r="G72" s="59"/>
      <c r="H72" s="54"/>
      <c r="I72" s="55"/>
      <c r="K72" s="58"/>
      <c r="L72" s="59"/>
      <c r="M72" s="54"/>
      <c r="N72" s="55"/>
      <c r="P72" s="58"/>
      <c r="Q72" s="59"/>
      <c r="R72" s="54"/>
      <c r="S72" s="55"/>
    </row>
    <row r="73" spans="1:19" x14ac:dyDescent="0.25">
      <c r="A73" s="58"/>
      <c r="B73" s="59"/>
      <c r="C73" s="54"/>
      <c r="D73" s="55"/>
      <c r="F73" s="58"/>
      <c r="G73" s="59"/>
      <c r="H73" s="54"/>
      <c r="I73" s="55"/>
      <c r="K73" s="58"/>
      <c r="L73" s="59"/>
      <c r="M73" s="54"/>
      <c r="N73" s="55"/>
      <c r="P73" s="58"/>
      <c r="Q73" s="59"/>
      <c r="R73" s="54"/>
      <c r="S73" s="55"/>
    </row>
    <row r="74" spans="1:19" x14ac:dyDescent="0.25">
      <c r="A74" s="58"/>
      <c r="B74" s="59"/>
      <c r="C74" s="54"/>
      <c r="D74" s="55"/>
      <c r="F74" s="58"/>
      <c r="G74" s="59"/>
      <c r="H74" s="54"/>
      <c r="I74" s="55"/>
      <c r="K74" s="58"/>
      <c r="L74" s="59"/>
      <c r="M74" s="54"/>
      <c r="N74" s="55"/>
      <c r="P74" s="58"/>
      <c r="Q74" s="59"/>
      <c r="R74" s="54"/>
      <c r="S74" s="55"/>
    </row>
    <row r="75" spans="1:19" x14ac:dyDescent="0.25">
      <c r="A75" s="58"/>
      <c r="B75" s="59"/>
      <c r="C75" s="54"/>
      <c r="D75" s="55"/>
      <c r="F75" s="58"/>
      <c r="G75" s="59"/>
      <c r="H75" s="54"/>
      <c r="I75" s="55"/>
      <c r="K75" s="58"/>
      <c r="L75" s="59"/>
      <c r="M75" s="54"/>
      <c r="N75" s="55"/>
      <c r="P75" s="58"/>
      <c r="Q75" s="59"/>
      <c r="R75" s="54"/>
      <c r="S75" s="55"/>
    </row>
    <row r="76" spans="1:19" x14ac:dyDescent="0.25">
      <c r="A76" s="58"/>
      <c r="B76" s="59"/>
      <c r="C76" s="54"/>
      <c r="D76" s="55"/>
      <c r="F76" s="58"/>
      <c r="G76" s="59"/>
      <c r="H76" s="54"/>
      <c r="I76" s="55"/>
      <c r="K76" s="58"/>
      <c r="L76" s="59"/>
      <c r="M76" s="54"/>
      <c r="N76" s="55"/>
      <c r="P76" s="58"/>
      <c r="Q76" s="59"/>
      <c r="R76" s="54"/>
      <c r="S76" s="55"/>
    </row>
    <row r="77" spans="1:19" x14ac:dyDescent="0.25">
      <c r="A77" s="58"/>
      <c r="B77" s="59"/>
      <c r="C77" s="54"/>
      <c r="D77" s="55"/>
      <c r="F77" s="58"/>
      <c r="G77" s="59"/>
      <c r="H77" s="54"/>
      <c r="I77" s="55"/>
      <c r="K77" s="58"/>
      <c r="L77" s="59"/>
      <c r="M77" s="54"/>
      <c r="N77" s="55"/>
      <c r="P77" s="58"/>
      <c r="Q77" s="59"/>
      <c r="R77" s="54"/>
      <c r="S77" s="55"/>
    </row>
    <row r="78" spans="1:19" x14ac:dyDescent="0.25">
      <c r="A78" s="58"/>
      <c r="B78" s="59"/>
      <c r="C78" s="54"/>
      <c r="D78" s="55"/>
      <c r="F78" s="58"/>
      <c r="G78" s="59"/>
      <c r="H78" s="54"/>
      <c r="I78" s="55"/>
      <c r="K78" s="58"/>
      <c r="L78" s="59"/>
      <c r="M78" s="54"/>
      <c r="N78" s="55"/>
      <c r="P78" s="58"/>
      <c r="Q78" s="59"/>
      <c r="R78" s="54"/>
      <c r="S78" s="55"/>
    </row>
    <row r="79" spans="1:19" x14ac:dyDescent="0.25">
      <c r="A79" s="58"/>
      <c r="B79" s="59"/>
      <c r="C79" s="54"/>
      <c r="D79" s="55"/>
      <c r="F79" s="58"/>
      <c r="G79" s="59"/>
      <c r="H79" s="54"/>
      <c r="I79" s="55"/>
      <c r="K79" s="58"/>
      <c r="L79" s="59"/>
      <c r="M79" s="54"/>
      <c r="N79" s="55"/>
      <c r="P79" s="58"/>
      <c r="Q79" s="59"/>
      <c r="R79" s="54"/>
      <c r="S79" s="55"/>
    </row>
    <row r="80" spans="1:19" x14ac:dyDescent="0.25">
      <c r="A80" s="58"/>
      <c r="B80" s="59"/>
      <c r="C80" s="54"/>
      <c r="D80" s="55"/>
      <c r="F80" s="58"/>
      <c r="G80" s="59"/>
      <c r="H80" s="54"/>
      <c r="I80" s="55"/>
      <c r="K80" s="58"/>
      <c r="L80" s="59"/>
      <c r="M80" s="54"/>
      <c r="N80" s="55"/>
      <c r="P80" s="58"/>
      <c r="Q80" s="59"/>
      <c r="R80" s="54"/>
      <c r="S80" s="55"/>
    </row>
    <row r="81" spans="1:19" x14ac:dyDescent="0.25">
      <c r="A81" s="58"/>
      <c r="B81" s="59"/>
      <c r="C81" s="54"/>
      <c r="D81" s="55"/>
      <c r="F81" s="58"/>
      <c r="G81" s="59"/>
      <c r="H81" s="54"/>
      <c r="I81" s="55"/>
      <c r="K81" s="58"/>
      <c r="L81" s="59"/>
      <c r="M81" s="54"/>
      <c r="N81" s="55"/>
      <c r="P81" s="58"/>
      <c r="Q81" s="59"/>
      <c r="R81" s="54"/>
      <c r="S81" s="55"/>
    </row>
    <row r="82" spans="1:19" x14ac:dyDescent="0.25">
      <c r="A82" s="58"/>
      <c r="B82" s="59"/>
      <c r="C82" s="54"/>
      <c r="D82" s="55"/>
      <c r="F82" s="58"/>
      <c r="G82" s="59"/>
      <c r="H82" s="54"/>
      <c r="I82" s="55"/>
      <c r="K82" s="58"/>
      <c r="L82" s="59"/>
      <c r="M82" s="54"/>
      <c r="N82" s="55"/>
      <c r="P82" s="58"/>
      <c r="Q82" s="59"/>
      <c r="R82" s="54"/>
      <c r="S82" s="55"/>
    </row>
    <row r="83" spans="1:19" x14ac:dyDescent="0.25">
      <c r="A83" s="58"/>
      <c r="B83" s="59"/>
      <c r="C83" s="54"/>
      <c r="D83" s="55"/>
      <c r="F83" s="58"/>
      <c r="G83" s="59"/>
      <c r="H83" s="54"/>
      <c r="I83" s="55"/>
      <c r="K83" s="58"/>
      <c r="L83" s="59"/>
      <c r="M83" s="54"/>
      <c r="N83" s="55"/>
      <c r="P83" s="58"/>
      <c r="Q83" s="59"/>
      <c r="R83" s="54"/>
      <c r="S83" s="55"/>
    </row>
    <row r="84" spans="1:19" x14ac:dyDescent="0.25">
      <c r="A84" s="58"/>
      <c r="B84" s="59"/>
      <c r="C84" s="54"/>
      <c r="D84" s="55"/>
      <c r="F84" s="58"/>
      <c r="G84" s="59"/>
      <c r="H84" s="54"/>
      <c r="I84" s="55"/>
      <c r="K84" s="58"/>
      <c r="L84" s="59"/>
      <c r="M84" s="54"/>
      <c r="N84" s="55"/>
      <c r="P84" s="58"/>
      <c r="Q84" s="59"/>
      <c r="R84" s="54"/>
      <c r="S84" s="55"/>
    </row>
    <row r="85" spans="1:19" x14ac:dyDescent="0.25">
      <c r="A85" s="58"/>
      <c r="B85" s="59"/>
      <c r="C85" s="54"/>
      <c r="D85" s="55"/>
      <c r="F85" s="58"/>
      <c r="G85" s="59"/>
      <c r="H85" s="54"/>
      <c r="I85" s="55"/>
      <c r="K85" s="58"/>
      <c r="L85" s="59"/>
      <c r="M85" s="54"/>
      <c r="N85" s="55"/>
      <c r="P85" s="58"/>
      <c r="Q85" s="59"/>
      <c r="R85" s="54"/>
      <c r="S85" s="55"/>
    </row>
    <row r="86" spans="1:19" x14ac:dyDescent="0.25">
      <c r="A86" s="58"/>
      <c r="B86" s="59"/>
      <c r="C86" s="54"/>
      <c r="D86" s="55"/>
      <c r="F86" s="58"/>
      <c r="G86" s="59"/>
      <c r="H86" s="54"/>
      <c r="I86" s="55"/>
      <c r="K86" s="58"/>
      <c r="L86" s="59"/>
      <c r="M86" s="54"/>
      <c r="N86" s="55"/>
      <c r="P86" s="58"/>
      <c r="Q86" s="59"/>
      <c r="R86" s="54"/>
      <c r="S86" s="55"/>
    </row>
    <row r="87" spans="1:19" x14ac:dyDescent="0.25">
      <c r="A87" s="58"/>
      <c r="B87" s="59"/>
      <c r="C87" s="54"/>
      <c r="D87" s="55"/>
      <c r="F87" s="58"/>
      <c r="G87" s="59"/>
      <c r="H87" s="54"/>
      <c r="I87" s="55"/>
      <c r="K87" s="58"/>
      <c r="L87" s="59"/>
      <c r="M87" s="54"/>
      <c r="N87" s="55"/>
      <c r="P87" s="58"/>
      <c r="Q87" s="59"/>
      <c r="R87" s="54"/>
      <c r="S87" s="55"/>
    </row>
    <row r="88" spans="1:19" x14ac:dyDescent="0.25">
      <c r="A88" s="58"/>
      <c r="B88" s="59"/>
      <c r="C88" s="54"/>
      <c r="D88" s="55"/>
      <c r="F88" s="58"/>
      <c r="G88" s="59"/>
      <c r="H88" s="54"/>
      <c r="I88" s="55"/>
      <c r="K88" s="58"/>
      <c r="L88" s="59"/>
      <c r="M88" s="54"/>
      <c r="N88" s="55"/>
      <c r="P88" s="58"/>
      <c r="Q88" s="59"/>
      <c r="R88" s="54"/>
      <c r="S88" s="55"/>
    </row>
    <row r="89" spans="1:19" x14ac:dyDescent="0.25">
      <c r="A89" s="58"/>
      <c r="B89" s="59"/>
      <c r="C89" s="54"/>
      <c r="D89" s="55"/>
      <c r="F89" s="58"/>
      <c r="G89" s="59"/>
      <c r="H89" s="54"/>
      <c r="I89" s="55"/>
      <c r="K89" s="58"/>
      <c r="L89" s="59"/>
      <c r="M89" s="54"/>
      <c r="N89" s="55"/>
      <c r="P89" s="58"/>
      <c r="Q89" s="59"/>
      <c r="R89" s="54"/>
      <c r="S89" s="55"/>
    </row>
    <row r="90" spans="1:19" x14ac:dyDescent="0.25">
      <c r="A90" s="58"/>
      <c r="B90" s="59"/>
      <c r="C90" s="54"/>
      <c r="D90" s="55"/>
      <c r="F90" s="58"/>
      <c r="G90" s="59"/>
      <c r="H90" s="54"/>
      <c r="I90" s="55"/>
      <c r="K90" s="58"/>
      <c r="L90" s="59"/>
      <c r="M90" s="54"/>
      <c r="N90" s="55"/>
      <c r="P90" s="58"/>
      <c r="Q90" s="59"/>
      <c r="R90" s="54"/>
      <c r="S90" s="55"/>
    </row>
    <row r="91" spans="1:19" x14ac:dyDescent="0.25">
      <c r="A91" s="58"/>
      <c r="B91" s="59"/>
      <c r="C91" s="54"/>
      <c r="D91" s="55"/>
      <c r="F91" s="58"/>
      <c r="G91" s="59"/>
      <c r="H91" s="54"/>
      <c r="I91" s="55"/>
      <c r="K91" s="58"/>
      <c r="L91" s="59"/>
      <c r="M91" s="54"/>
      <c r="N91" s="55"/>
      <c r="P91" s="58"/>
      <c r="Q91" s="59"/>
      <c r="R91" s="54"/>
      <c r="S91" s="55"/>
    </row>
    <row r="92" spans="1:19" x14ac:dyDescent="0.25">
      <c r="A92" s="58"/>
      <c r="B92" s="59"/>
      <c r="C92" s="54"/>
      <c r="D92" s="55"/>
      <c r="F92" s="58"/>
      <c r="G92" s="59"/>
      <c r="H92" s="54"/>
      <c r="I92" s="55"/>
      <c r="K92" s="58"/>
      <c r="L92" s="59"/>
      <c r="M92" s="54"/>
      <c r="N92" s="55"/>
      <c r="P92" s="58"/>
      <c r="Q92" s="59"/>
      <c r="R92" s="54"/>
      <c r="S92" s="55"/>
    </row>
    <row r="93" spans="1:19" x14ac:dyDescent="0.25">
      <c r="A93" s="58"/>
      <c r="B93" s="59"/>
      <c r="C93" s="54"/>
      <c r="D93" s="55"/>
      <c r="F93" s="58"/>
      <c r="G93" s="59"/>
      <c r="H93" s="54"/>
      <c r="I93" s="55"/>
      <c r="K93" s="58"/>
      <c r="L93" s="59"/>
      <c r="M93" s="54"/>
      <c r="N93" s="55"/>
      <c r="P93" s="58"/>
      <c r="Q93" s="59"/>
      <c r="R93" s="54"/>
      <c r="S93" s="55"/>
    </row>
    <row r="94" spans="1:19" x14ac:dyDescent="0.25">
      <c r="A94" s="58"/>
      <c r="B94" s="59"/>
      <c r="C94" s="54"/>
      <c r="D94" s="55"/>
      <c r="F94" s="58"/>
      <c r="G94" s="59"/>
      <c r="H94" s="54"/>
      <c r="I94" s="55"/>
      <c r="K94" s="58"/>
      <c r="L94" s="59"/>
      <c r="M94" s="54"/>
      <c r="N94" s="55"/>
      <c r="P94" s="58"/>
      <c r="Q94" s="59"/>
      <c r="R94" s="54"/>
      <c r="S94" s="55"/>
    </row>
    <row r="95" spans="1:19" x14ac:dyDescent="0.25">
      <c r="A95" s="58"/>
      <c r="B95" s="59"/>
      <c r="C95" s="54"/>
      <c r="D95" s="55"/>
      <c r="F95" s="58"/>
      <c r="G95" s="59"/>
      <c r="H95" s="54"/>
      <c r="I95" s="55"/>
      <c r="K95" s="58"/>
      <c r="L95" s="59"/>
      <c r="M95" s="54"/>
      <c r="N95" s="55"/>
      <c r="P95" s="58"/>
      <c r="Q95" s="59"/>
      <c r="R95" s="54"/>
      <c r="S95" s="55"/>
    </row>
    <row r="96" spans="1:19" x14ac:dyDescent="0.25">
      <c r="A96" s="58"/>
      <c r="B96" s="59"/>
      <c r="C96" s="54"/>
      <c r="D96" s="55"/>
      <c r="F96" s="58"/>
      <c r="G96" s="59"/>
      <c r="H96" s="54"/>
      <c r="I96" s="55"/>
      <c r="K96" s="58"/>
      <c r="L96" s="59"/>
      <c r="M96" s="54"/>
      <c r="N96" s="55"/>
      <c r="P96" s="58"/>
      <c r="Q96" s="59"/>
      <c r="R96" s="54"/>
      <c r="S96" s="55"/>
    </row>
    <row r="97" spans="1:19" x14ac:dyDescent="0.25">
      <c r="A97" s="58"/>
      <c r="B97" s="59"/>
      <c r="C97" s="54"/>
      <c r="D97" s="55"/>
      <c r="F97" s="58"/>
      <c r="G97" s="59"/>
      <c r="H97" s="54"/>
      <c r="I97" s="55"/>
      <c r="K97" s="58"/>
      <c r="L97" s="59"/>
      <c r="M97" s="54"/>
      <c r="N97" s="55"/>
      <c r="P97" s="58"/>
      <c r="Q97" s="59"/>
      <c r="R97" s="54"/>
      <c r="S97" s="55"/>
    </row>
    <row r="98" spans="1:19" x14ac:dyDescent="0.25">
      <c r="A98" s="58"/>
      <c r="B98" s="59"/>
      <c r="C98" s="54"/>
      <c r="D98" s="55"/>
      <c r="F98" s="58"/>
      <c r="G98" s="59"/>
      <c r="H98" s="54"/>
      <c r="I98" s="55"/>
      <c r="K98" s="58"/>
      <c r="L98" s="59"/>
      <c r="M98" s="54"/>
      <c r="N98" s="55"/>
      <c r="P98" s="58"/>
      <c r="Q98" s="59"/>
      <c r="R98" s="54"/>
      <c r="S98" s="55"/>
    </row>
    <row r="99" spans="1:19" x14ac:dyDescent="0.25">
      <c r="A99" s="58"/>
      <c r="B99" s="59"/>
      <c r="C99" s="54"/>
      <c r="D99" s="55"/>
      <c r="F99" s="58"/>
      <c r="G99" s="59"/>
      <c r="H99" s="54"/>
      <c r="I99" s="55"/>
      <c r="K99" s="58"/>
      <c r="L99" s="59"/>
      <c r="M99" s="54"/>
      <c r="N99" s="55"/>
      <c r="P99" s="58"/>
      <c r="Q99" s="59"/>
      <c r="R99" s="54"/>
      <c r="S99" s="55"/>
    </row>
    <row r="100" spans="1:19" x14ac:dyDescent="0.25">
      <c r="A100" s="58"/>
      <c r="B100" s="59"/>
      <c r="C100" s="54"/>
      <c r="D100" s="55"/>
      <c r="F100" s="58"/>
      <c r="G100" s="59"/>
      <c r="H100" s="54"/>
      <c r="I100" s="55"/>
      <c r="K100" s="58"/>
      <c r="L100" s="59"/>
      <c r="M100" s="54"/>
      <c r="N100" s="55"/>
      <c r="P100" s="58"/>
      <c r="Q100" s="59"/>
      <c r="R100" s="54"/>
      <c r="S100" s="55"/>
    </row>
    <row r="101" spans="1:19" x14ac:dyDescent="0.25">
      <c r="A101" s="58"/>
      <c r="B101" s="59"/>
      <c r="C101" s="54"/>
      <c r="D101" s="55"/>
      <c r="F101" s="58"/>
      <c r="G101" s="59"/>
      <c r="H101" s="54"/>
      <c r="I101" s="55"/>
      <c r="K101" s="58"/>
      <c r="L101" s="59"/>
      <c r="M101" s="54"/>
      <c r="N101" s="55"/>
      <c r="P101" s="58"/>
      <c r="Q101" s="59"/>
      <c r="R101" s="54"/>
      <c r="S101" s="55"/>
    </row>
    <row r="102" spans="1:19" x14ac:dyDescent="0.25">
      <c r="A102" s="58"/>
      <c r="B102" s="59"/>
      <c r="C102" s="54"/>
      <c r="D102" s="55"/>
      <c r="F102" s="58"/>
      <c r="G102" s="59"/>
      <c r="H102" s="54"/>
      <c r="I102" s="55"/>
      <c r="K102" s="58"/>
      <c r="L102" s="59"/>
      <c r="M102" s="54"/>
      <c r="N102" s="55"/>
      <c r="P102" s="58"/>
      <c r="Q102" s="59"/>
      <c r="R102" s="54"/>
      <c r="S102" s="55"/>
    </row>
    <row r="103" spans="1:19" x14ac:dyDescent="0.25">
      <c r="A103" s="58"/>
      <c r="B103" s="59"/>
      <c r="C103" s="54"/>
      <c r="D103" s="55"/>
      <c r="F103" s="58"/>
      <c r="G103" s="59"/>
      <c r="H103" s="54"/>
      <c r="I103" s="55"/>
      <c r="K103" s="58"/>
      <c r="L103" s="59"/>
      <c r="M103" s="54"/>
      <c r="N103" s="55"/>
      <c r="P103" s="58"/>
      <c r="Q103" s="59"/>
      <c r="R103" s="54"/>
      <c r="S103" s="55"/>
    </row>
    <row r="104" spans="1:19" x14ac:dyDescent="0.25">
      <c r="A104" s="58"/>
      <c r="B104" s="59"/>
      <c r="C104" s="54"/>
      <c r="D104" s="55"/>
      <c r="F104" s="58"/>
      <c r="G104" s="59"/>
      <c r="H104" s="54"/>
      <c r="I104" s="55"/>
      <c r="K104" s="58"/>
      <c r="L104" s="59"/>
      <c r="M104" s="54"/>
      <c r="N104" s="55"/>
      <c r="P104" s="58"/>
      <c r="Q104" s="59"/>
      <c r="R104" s="54"/>
      <c r="S104" s="55"/>
    </row>
    <row r="105" spans="1:19" x14ac:dyDescent="0.25">
      <c r="A105" s="58"/>
      <c r="B105" s="59"/>
      <c r="C105" s="54"/>
      <c r="D105" s="55"/>
      <c r="F105" s="58"/>
      <c r="G105" s="59"/>
      <c r="H105" s="54"/>
      <c r="I105" s="55"/>
      <c r="K105" s="58"/>
      <c r="L105" s="59"/>
      <c r="M105" s="54"/>
      <c r="N105" s="55"/>
      <c r="P105" s="58"/>
      <c r="Q105" s="59"/>
      <c r="R105" s="54"/>
      <c r="S105" s="55"/>
    </row>
    <row r="106" spans="1:19" x14ac:dyDescent="0.25">
      <c r="A106" s="58"/>
      <c r="B106" s="59"/>
      <c r="C106" s="54"/>
      <c r="D106" s="55"/>
      <c r="F106" s="58"/>
      <c r="G106" s="59"/>
      <c r="H106" s="54"/>
      <c r="I106" s="55"/>
      <c r="K106" s="58"/>
      <c r="L106" s="59"/>
      <c r="M106" s="54"/>
      <c r="N106" s="55"/>
      <c r="P106" s="58"/>
      <c r="Q106" s="59"/>
      <c r="R106" s="54"/>
      <c r="S106" s="55"/>
    </row>
    <row r="107" spans="1:19" x14ac:dyDescent="0.25">
      <c r="A107" s="58"/>
      <c r="B107" s="59"/>
      <c r="C107" s="54"/>
      <c r="D107" s="55"/>
      <c r="F107" s="58"/>
      <c r="G107" s="59"/>
      <c r="H107" s="54"/>
      <c r="I107" s="55"/>
      <c r="K107" s="58"/>
      <c r="L107" s="59"/>
      <c r="M107" s="54"/>
      <c r="N107" s="55"/>
      <c r="P107" s="58"/>
      <c r="Q107" s="59"/>
      <c r="R107" s="54"/>
      <c r="S107" s="55"/>
    </row>
    <row r="108" spans="1:19" x14ac:dyDescent="0.25">
      <c r="A108" s="58"/>
      <c r="B108" s="59"/>
      <c r="C108" s="54"/>
      <c r="D108" s="55"/>
      <c r="F108" s="58"/>
      <c r="G108" s="59"/>
      <c r="H108" s="54"/>
      <c r="I108" s="55"/>
      <c r="K108" s="58"/>
      <c r="L108" s="59"/>
      <c r="M108" s="54"/>
      <c r="N108" s="55"/>
      <c r="P108" s="58"/>
      <c r="Q108" s="59"/>
      <c r="R108" s="54"/>
      <c r="S108" s="55"/>
    </row>
    <row r="109" spans="1:19" x14ac:dyDescent="0.25">
      <c r="A109" s="58"/>
      <c r="B109" s="59"/>
      <c r="C109" s="54"/>
      <c r="D109" s="55"/>
      <c r="F109" s="58"/>
      <c r="G109" s="59"/>
      <c r="H109" s="54"/>
      <c r="I109" s="55"/>
      <c r="K109" s="58"/>
      <c r="L109" s="59"/>
      <c r="M109" s="54"/>
      <c r="N109" s="55"/>
      <c r="P109" s="58"/>
      <c r="Q109" s="59"/>
      <c r="R109" s="54"/>
      <c r="S109" s="55"/>
    </row>
    <row r="110" spans="1:19" x14ac:dyDescent="0.25">
      <c r="A110" s="58"/>
      <c r="B110" s="59"/>
      <c r="C110" s="54"/>
      <c r="D110" s="55"/>
      <c r="F110" s="58"/>
      <c r="G110" s="59"/>
      <c r="H110" s="54"/>
      <c r="I110" s="55"/>
      <c r="K110" s="58"/>
      <c r="L110" s="59"/>
      <c r="M110" s="54"/>
      <c r="N110" s="55"/>
      <c r="P110" s="58"/>
      <c r="Q110" s="59"/>
      <c r="R110" s="54"/>
      <c r="S110" s="55"/>
    </row>
    <row r="111" spans="1:19" x14ac:dyDescent="0.25">
      <c r="A111" s="58"/>
      <c r="B111" s="59"/>
      <c r="C111" s="54"/>
      <c r="D111" s="55"/>
      <c r="F111" s="58"/>
      <c r="G111" s="59"/>
      <c r="H111" s="54"/>
      <c r="I111" s="55"/>
      <c r="K111" s="58"/>
      <c r="L111" s="59"/>
      <c r="M111" s="54"/>
      <c r="N111" s="55"/>
      <c r="P111" s="58"/>
      <c r="Q111" s="59"/>
      <c r="R111" s="54"/>
      <c r="S111" s="55"/>
    </row>
    <row r="112" spans="1:19" x14ac:dyDescent="0.25">
      <c r="A112" s="58"/>
      <c r="B112" s="59"/>
      <c r="C112" s="54"/>
      <c r="D112" s="55"/>
      <c r="F112" s="58"/>
      <c r="G112" s="59"/>
      <c r="H112" s="54"/>
      <c r="I112" s="55"/>
      <c r="K112" s="58"/>
      <c r="L112" s="59"/>
      <c r="M112" s="54"/>
      <c r="N112" s="55"/>
      <c r="P112" s="58"/>
      <c r="Q112" s="59"/>
      <c r="R112" s="54"/>
      <c r="S112" s="55"/>
    </row>
    <row r="113" spans="1:19" x14ac:dyDescent="0.25">
      <c r="A113" s="58"/>
      <c r="B113" s="59"/>
      <c r="C113" s="54"/>
      <c r="D113" s="55"/>
      <c r="F113" s="58"/>
      <c r="G113" s="59"/>
      <c r="H113" s="54"/>
      <c r="I113" s="55"/>
      <c r="K113" s="58"/>
      <c r="L113" s="59"/>
      <c r="M113" s="54"/>
      <c r="N113" s="55"/>
      <c r="P113" s="58"/>
      <c r="Q113" s="59"/>
      <c r="R113" s="54"/>
      <c r="S113" s="55"/>
    </row>
    <row r="114" spans="1:19" x14ac:dyDescent="0.25">
      <c r="A114" s="58"/>
      <c r="B114" s="59"/>
      <c r="C114" s="54"/>
      <c r="D114" s="55"/>
      <c r="F114" s="58"/>
      <c r="G114" s="59"/>
      <c r="H114" s="54"/>
      <c r="I114" s="55"/>
      <c r="K114" s="58"/>
      <c r="L114" s="59"/>
      <c r="M114" s="54"/>
      <c r="N114" s="55"/>
      <c r="P114" s="58"/>
      <c r="Q114" s="59"/>
      <c r="R114" s="54"/>
      <c r="S114" s="55"/>
    </row>
    <row r="115" spans="1:19" x14ac:dyDescent="0.25">
      <c r="A115" s="58"/>
      <c r="B115" s="59"/>
      <c r="C115" s="54"/>
      <c r="D115" s="55"/>
      <c r="F115" s="58"/>
      <c r="G115" s="59"/>
      <c r="H115" s="54"/>
      <c r="I115" s="55"/>
      <c r="K115" s="58"/>
      <c r="L115" s="59"/>
      <c r="M115" s="54"/>
      <c r="N115" s="55"/>
      <c r="P115" s="58"/>
      <c r="Q115" s="59"/>
      <c r="R115" s="54"/>
      <c r="S115" s="55"/>
    </row>
    <row r="116" spans="1:19" x14ac:dyDescent="0.25">
      <c r="A116" s="58"/>
      <c r="B116" s="59"/>
      <c r="C116" s="54"/>
      <c r="D116" s="55"/>
      <c r="F116" s="58"/>
      <c r="G116" s="59"/>
      <c r="H116" s="54"/>
      <c r="I116" s="55"/>
      <c r="K116" s="58"/>
      <c r="L116" s="59"/>
      <c r="M116" s="54"/>
      <c r="N116" s="55"/>
      <c r="P116" s="58"/>
      <c r="Q116" s="59"/>
      <c r="R116" s="54"/>
      <c r="S116" s="55"/>
    </row>
    <row r="117" spans="1:19" x14ac:dyDescent="0.25">
      <c r="A117" s="58"/>
      <c r="B117" s="59"/>
      <c r="C117" s="54"/>
      <c r="D117" s="55"/>
      <c r="F117" s="58"/>
      <c r="G117" s="59"/>
      <c r="H117" s="54"/>
      <c r="I117" s="55"/>
      <c r="K117" s="58"/>
      <c r="L117" s="59"/>
      <c r="M117" s="54"/>
      <c r="N117" s="55"/>
      <c r="P117" s="58"/>
      <c r="Q117" s="59"/>
      <c r="R117" s="54"/>
      <c r="S117" s="55"/>
    </row>
    <row r="118" spans="1:19" ht="15.75" thickBot="1" x14ac:dyDescent="0.3">
      <c r="A118" s="60"/>
      <c r="B118" s="61"/>
      <c r="C118" s="56"/>
      <c r="D118" s="57"/>
      <c r="F118" s="60"/>
      <c r="G118" s="61"/>
      <c r="H118" s="56"/>
      <c r="I118" s="57"/>
      <c r="K118" s="58"/>
      <c r="L118" s="59"/>
      <c r="M118" s="54"/>
      <c r="N118" s="55"/>
      <c r="P118" s="58"/>
      <c r="Q118" s="59"/>
      <c r="R118" s="54"/>
      <c r="S118" s="55"/>
    </row>
    <row r="119" spans="1:19" x14ac:dyDescent="0.25">
      <c r="K119" s="58"/>
      <c r="L119" s="59"/>
      <c r="M119" s="54"/>
      <c r="N119" s="55"/>
      <c r="P119" s="58"/>
      <c r="Q119" s="59"/>
      <c r="R119" s="54"/>
      <c r="S119" s="55"/>
    </row>
    <row r="120" spans="1:19" x14ac:dyDescent="0.25">
      <c r="K120" s="58"/>
      <c r="L120" s="59"/>
      <c r="M120" s="54"/>
      <c r="N120" s="55"/>
      <c r="P120" s="58"/>
      <c r="Q120" s="59"/>
      <c r="R120" s="54"/>
      <c r="S120" s="55"/>
    </row>
    <row r="121" spans="1:19" x14ac:dyDescent="0.25">
      <c r="K121" s="58"/>
      <c r="L121" s="59"/>
      <c r="M121" s="54"/>
      <c r="N121" s="55"/>
      <c r="P121" s="58"/>
      <c r="Q121" s="59"/>
      <c r="R121" s="54"/>
      <c r="S121" s="55"/>
    </row>
    <row r="122" spans="1:19" x14ac:dyDescent="0.25">
      <c r="K122" s="58"/>
      <c r="L122" s="59"/>
      <c r="M122" s="54"/>
      <c r="N122" s="55"/>
      <c r="P122" s="58"/>
      <c r="Q122" s="59"/>
      <c r="R122" s="54"/>
      <c r="S122" s="55"/>
    </row>
    <row r="123" spans="1:19" x14ac:dyDescent="0.25">
      <c r="K123" s="58"/>
      <c r="L123" s="59"/>
      <c r="M123" s="54"/>
      <c r="N123" s="55"/>
      <c r="P123" s="58"/>
      <c r="Q123" s="59"/>
      <c r="R123" s="54"/>
      <c r="S123" s="55"/>
    </row>
    <row r="124" spans="1:19" x14ac:dyDescent="0.25">
      <c r="K124" s="58"/>
      <c r="L124" s="59"/>
      <c r="M124" s="54"/>
      <c r="N124" s="55"/>
      <c r="P124" s="58"/>
      <c r="Q124" s="59"/>
      <c r="R124" s="54"/>
      <c r="S124" s="55"/>
    </row>
    <row r="125" spans="1:19" x14ac:dyDescent="0.25">
      <c r="K125" s="58"/>
      <c r="L125" s="59"/>
      <c r="M125" s="54"/>
      <c r="N125" s="55"/>
      <c r="P125" s="58"/>
      <c r="Q125" s="59"/>
      <c r="R125" s="54"/>
      <c r="S125" s="55"/>
    </row>
    <row r="126" spans="1:19" x14ac:dyDescent="0.25">
      <c r="K126" s="58"/>
      <c r="L126" s="59"/>
      <c r="M126" s="54"/>
      <c r="N126" s="55"/>
      <c r="P126" s="58"/>
      <c r="Q126" s="59"/>
      <c r="R126" s="54"/>
      <c r="S126" s="55"/>
    </row>
    <row r="127" spans="1:19" x14ac:dyDescent="0.25">
      <c r="K127" s="58"/>
      <c r="L127" s="59"/>
      <c r="M127" s="54"/>
      <c r="N127" s="55"/>
      <c r="P127" s="58"/>
      <c r="Q127" s="59"/>
      <c r="R127" s="54"/>
      <c r="S127" s="55"/>
    </row>
    <row r="128" spans="1:19" x14ac:dyDescent="0.25">
      <c r="K128" s="58"/>
      <c r="L128" s="59"/>
      <c r="M128" s="54"/>
      <c r="N128" s="55"/>
      <c r="P128" s="58"/>
      <c r="Q128" s="59"/>
      <c r="R128" s="54"/>
      <c r="S128" s="55"/>
    </row>
    <row r="129" spans="11:19" x14ac:dyDescent="0.25">
      <c r="K129" s="58"/>
      <c r="L129" s="59"/>
      <c r="M129" s="54"/>
      <c r="N129" s="55"/>
      <c r="P129" s="58"/>
      <c r="Q129" s="59"/>
      <c r="R129" s="54"/>
      <c r="S129" s="55"/>
    </row>
    <row r="130" spans="11:19" x14ac:dyDescent="0.25">
      <c r="K130" s="58"/>
      <c r="L130" s="59"/>
      <c r="M130" s="54"/>
      <c r="N130" s="55"/>
      <c r="P130" s="58"/>
      <c r="Q130" s="59"/>
      <c r="R130" s="54"/>
      <c r="S130" s="55"/>
    </row>
    <row r="131" spans="11:19" x14ac:dyDescent="0.25">
      <c r="K131" s="58"/>
      <c r="L131" s="59"/>
      <c r="M131" s="54"/>
      <c r="N131" s="55"/>
      <c r="P131" s="58"/>
      <c r="Q131" s="59"/>
      <c r="R131" s="54"/>
      <c r="S131" s="55"/>
    </row>
    <row r="132" spans="11:19" x14ac:dyDescent="0.25">
      <c r="K132" s="58"/>
      <c r="L132" s="59"/>
      <c r="M132" s="54"/>
      <c r="N132" s="55"/>
      <c r="P132" s="58"/>
      <c r="Q132" s="59"/>
      <c r="R132" s="54"/>
      <c r="S132" s="55"/>
    </row>
    <row r="133" spans="11:19" x14ac:dyDescent="0.25">
      <c r="K133" s="58"/>
      <c r="L133" s="59"/>
      <c r="M133" s="54"/>
      <c r="N133" s="55"/>
      <c r="P133" s="58"/>
      <c r="Q133" s="59"/>
      <c r="R133" s="54"/>
      <c r="S133" s="55"/>
    </row>
    <row r="134" spans="11:19" x14ac:dyDescent="0.25">
      <c r="K134" s="58"/>
      <c r="L134" s="59"/>
      <c r="M134" s="54"/>
      <c r="N134" s="55"/>
      <c r="P134" s="58"/>
      <c r="Q134" s="59"/>
      <c r="R134" s="54"/>
      <c r="S134" s="55"/>
    </row>
    <row r="135" spans="11:19" x14ac:dyDescent="0.25">
      <c r="K135" s="58"/>
      <c r="L135" s="59"/>
      <c r="M135" s="54"/>
      <c r="N135" s="55"/>
      <c r="P135" s="58"/>
      <c r="Q135" s="59"/>
      <c r="R135" s="54"/>
      <c r="S135" s="55"/>
    </row>
    <row r="136" spans="11:19" x14ac:dyDescent="0.25">
      <c r="K136" s="58"/>
      <c r="L136" s="59"/>
      <c r="M136" s="54"/>
      <c r="N136" s="55"/>
      <c r="P136" s="58"/>
      <c r="Q136" s="59"/>
      <c r="R136" s="54"/>
      <c r="S136" s="55"/>
    </row>
    <row r="137" spans="11:19" x14ac:dyDescent="0.25">
      <c r="K137" s="58"/>
      <c r="L137" s="59"/>
      <c r="M137" s="54"/>
      <c r="N137" s="55"/>
      <c r="P137" s="58"/>
      <c r="Q137" s="59"/>
      <c r="R137" s="54"/>
      <c r="S137" s="55"/>
    </row>
    <row r="138" spans="11:19" x14ac:dyDescent="0.25">
      <c r="K138" s="58"/>
      <c r="L138" s="59"/>
      <c r="M138" s="54"/>
      <c r="N138" s="55"/>
      <c r="P138" s="58"/>
      <c r="Q138" s="59"/>
      <c r="R138" s="54"/>
      <c r="S138" s="55"/>
    </row>
    <row r="139" spans="11:19" x14ac:dyDescent="0.25">
      <c r="K139" s="58"/>
      <c r="L139" s="59"/>
      <c r="M139" s="54"/>
      <c r="N139" s="55"/>
      <c r="P139" s="58"/>
      <c r="Q139" s="59"/>
      <c r="R139" s="54"/>
      <c r="S139" s="55"/>
    </row>
    <row r="140" spans="11:19" x14ac:dyDescent="0.25">
      <c r="K140" s="58"/>
      <c r="L140" s="59"/>
      <c r="M140" s="54"/>
      <c r="N140" s="55"/>
      <c r="P140" s="58"/>
      <c r="Q140" s="59"/>
      <c r="R140" s="54"/>
      <c r="S140" s="55"/>
    </row>
    <row r="141" spans="11:19" x14ac:dyDescent="0.25">
      <c r="K141" s="58"/>
      <c r="L141" s="59"/>
      <c r="M141" s="54"/>
      <c r="N141" s="55"/>
      <c r="P141" s="58"/>
      <c r="Q141" s="59"/>
      <c r="R141" s="54"/>
      <c r="S141" s="55"/>
    </row>
    <row r="142" spans="11:19" x14ac:dyDescent="0.25">
      <c r="K142" s="58"/>
      <c r="L142" s="59"/>
      <c r="M142" s="54"/>
      <c r="N142" s="55"/>
      <c r="P142" s="58"/>
      <c r="Q142" s="59"/>
      <c r="R142" s="54"/>
      <c r="S142" s="55"/>
    </row>
    <row r="143" spans="11:19" x14ac:dyDescent="0.25">
      <c r="K143" s="58"/>
      <c r="L143" s="59"/>
      <c r="M143" s="54"/>
      <c r="N143" s="55"/>
      <c r="P143" s="58"/>
      <c r="Q143" s="59"/>
      <c r="R143" s="54"/>
      <c r="S143" s="55"/>
    </row>
    <row r="144" spans="11:19" x14ac:dyDescent="0.25">
      <c r="K144" s="58"/>
      <c r="L144" s="59"/>
      <c r="M144" s="54"/>
      <c r="N144" s="55"/>
      <c r="P144" s="58"/>
      <c r="Q144" s="59"/>
      <c r="R144" s="54"/>
      <c r="S144" s="55"/>
    </row>
    <row r="145" spans="11:19" x14ac:dyDescent="0.25">
      <c r="K145" s="58"/>
      <c r="L145" s="59"/>
      <c r="M145" s="54"/>
      <c r="N145" s="55"/>
      <c r="P145" s="58"/>
      <c r="Q145" s="59"/>
      <c r="R145" s="54"/>
      <c r="S145" s="55"/>
    </row>
    <row r="146" spans="11:19" x14ac:dyDescent="0.25">
      <c r="K146" s="58"/>
      <c r="L146" s="59"/>
      <c r="M146" s="54"/>
      <c r="N146" s="55"/>
      <c r="P146" s="58"/>
      <c r="Q146" s="59"/>
      <c r="R146" s="54"/>
      <c r="S146" s="55"/>
    </row>
    <row r="147" spans="11:19" x14ac:dyDescent="0.25">
      <c r="K147" s="58"/>
      <c r="L147" s="59"/>
      <c r="M147" s="54"/>
      <c r="N147" s="55"/>
      <c r="P147" s="58"/>
      <c r="Q147" s="59"/>
      <c r="R147" s="54"/>
      <c r="S147" s="55"/>
    </row>
    <row r="148" spans="11:19" x14ac:dyDescent="0.25">
      <c r="K148" s="58"/>
      <c r="L148" s="59"/>
      <c r="M148" s="54"/>
      <c r="N148" s="55"/>
      <c r="P148" s="58"/>
      <c r="Q148" s="59"/>
      <c r="R148" s="54"/>
      <c r="S148" s="55"/>
    </row>
    <row r="149" spans="11:19" x14ac:dyDescent="0.25">
      <c r="K149" s="58"/>
      <c r="L149" s="59"/>
      <c r="M149" s="54"/>
      <c r="N149" s="55"/>
      <c r="P149" s="58"/>
      <c r="Q149" s="59"/>
      <c r="R149" s="54"/>
      <c r="S149" s="55"/>
    </row>
    <row r="150" spans="11:19" x14ac:dyDescent="0.25">
      <c r="K150" s="58"/>
      <c r="L150" s="59"/>
      <c r="M150" s="54"/>
      <c r="N150" s="55"/>
      <c r="P150" s="58"/>
      <c r="Q150" s="59"/>
      <c r="R150" s="54"/>
      <c r="S150" s="55"/>
    </row>
    <row r="151" spans="11:19" x14ac:dyDescent="0.25">
      <c r="K151" s="58"/>
      <c r="L151" s="59"/>
      <c r="M151" s="54"/>
      <c r="N151" s="55"/>
      <c r="P151" s="58"/>
      <c r="Q151" s="59"/>
      <c r="R151" s="54"/>
      <c r="S151" s="55"/>
    </row>
    <row r="152" spans="11:19" x14ac:dyDescent="0.25">
      <c r="K152" s="58"/>
      <c r="L152" s="59"/>
      <c r="M152" s="54"/>
      <c r="N152" s="55"/>
      <c r="P152" s="58"/>
      <c r="Q152" s="59"/>
      <c r="R152" s="54"/>
      <c r="S152" s="55"/>
    </row>
    <row r="153" spans="11:19" x14ac:dyDescent="0.25">
      <c r="K153" s="58"/>
      <c r="L153" s="59"/>
      <c r="M153" s="54"/>
      <c r="N153" s="55"/>
      <c r="P153" s="58"/>
      <c r="Q153" s="59"/>
      <c r="R153" s="54"/>
      <c r="S153" s="55"/>
    </row>
    <row r="154" spans="11:19" x14ac:dyDescent="0.25">
      <c r="K154" s="58"/>
      <c r="L154" s="59"/>
      <c r="M154" s="54"/>
      <c r="N154" s="55"/>
      <c r="P154" s="58"/>
      <c r="Q154" s="59"/>
      <c r="R154" s="54"/>
      <c r="S154" s="55"/>
    </row>
    <row r="155" spans="11:19" x14ac:dyDescent="0.25">
      <c r="K155" s="58"/>
      <c r="L155" s="59"/>
      <c r="M155" s="54"/>
      <c r="N155" s="55"/>
      <c r="P155" s="58"/>
      <c r="Q155" s="59"/>
      <c r="R155" s="54"/>
      <c r="S155" s="55"/>
    </row>
    <row r="156" spans="11:19" x14ac:dyDescent="0.25">
      <c r="K156" s="58"/>
      <c r="L156" s="59"/>
      <c r="M156" s="54"/>
      <c r="N156" s="55"/>
      <c r="P156" s="58"/>
      <c r="Q156" s="59"/>
      <c r="R156" s="54"/>
      <c r="S156" s="55"/>
    </row>
    <row r="157" spans="11:19" x14ac:dyDescent="0.25">
      <c r="K157" s="58"/>
      <c r="L157" s="59"/>
      <c r="M157" s="54"/>
      <c r="N157" s="55"/>
      <c r="P157" s="58"/>
      <c r="Q157" s="59"/>
      <c r="R157" s="54"/>
      <c r="S157" s="55"/>
    </row>
    <row r="158" spans="11:19" x14ac:dyDescent="0.25">
      <c r="K158" s="58"/>
      <c r="L158" s="59"/>
      <c r="M158" s="54"/>
      <c r="N158" s="55"/>
      <c r="P158" s="58"/>
      <c r="Q158" s="59"/>
      <c r="R158" s="54"/>
      <c r="S158" s="55"/>
    </row>
    <row r="159" spans="11:19" x14ac:dyDescent="0.25">
      <c r="K159" s="58"/>
      <c r="L159" s="59"/>
      <c r="M159" s="54"/>
      <c r="N159" s="55"/>
      <c r="P159" s="58"/>
      <c r="Q159" s="59"/>
      <c r="R159" s="54"/>
      <c r="S159" s="55"/>
    </row>
    <row r="160" spans="11:19" x14ac:dyDescent="0.25">
      <c r="K160" s="58"/>
      <c r="L160" s="59"/>
      <c r="M160" s="54"/>
      <c r="N160" s="55"/>
      <c r="P160" s="58"/>
      <c r="Q160" s="59"/>
      <c r="R160" s="54"/>
      <c r="S160" s="55"/>
    </row>
    <row r="161" spans="11:19" x14ac:dyDescent="0.25">
      <c r="K161" s="58"/>
      <c r="L161" s="59"/>
      <c r="M161" s="54"/>
      <c r="N161" s="55"/>
      <c r="P161" s="58"/>
      <c r="Q161" s="59"/>
      <c r="R161" s="54"/>
      <c r="S161" s="55"/>
    </row>
    <row r="162" spans="11:19" x14ac:dyDescent="0.25">
      <c r="K162" s="58"/>
      <c r="L162" s="59"/>
      <c r="M162" s="54"/>
      <c r="N162" s="55"/>
      <c r="P162" s="58"/>
      <c r="Q162" s="59"/>
      <c r="R162" s="54"/>
      <c r="S162" s="55"/>
    </row>
    <row r="163" spans="11:19" x14ac:dyDescent="0.25">
      <c r="K163" s="58"/>
      <c r="L163" s="59"/>
      <c r="M163" s="54"/>
      <c r="N163" s="55"/>
      <c r="P163" s="58"/>
      <c r="Q163" s="59"/>
      <c r="R163" s="54"/>
      <c r="S163" s="55"/>
    </row>
    <row r="164" spans="11:19" x14ac:dyDescent="0.25">
      <c r="K164" s="58"/>
      <c r="L164" s="59"/>
      <c r="M164" s="54"/>
      <c r="N164" s="55"/>
      <c r="P164" s="58"/>
      <c r="Q164" s="59"/>
      <c r="R164" s="54"/>
      <c r="S164" s="55"/>
    </row>
    <row r="165" spans="11:19" x14ac:dyDescent="0.25">
      <c r="K165" s="58"/>
      <c r="L165" s="59"/>
      <c r="M165" s="54"/>
      <c r="N165" s="55"/>
      <c r="P165" s="58"/>
      <c r="Q165" s="59"/>
      <c r="R165" s="54"/>
      <c r="S165" s="55"/>
    </row>
    <row r="166" spans="11:19" x14ac:dyDescent="0.25">
      <c r="K166" s="58"/>
      <c r="L166" s="59"/>
      <c r="M166" s="54"/>
      <c r="N166" s="55"/>
      <c r="P166" s="58"/>
      <c r="Q166" s="59"/>
      <c r="R166" s="54"/>
      <c r="S166" s="55"/>
    </row>
    <row r="167" spans="11:19" x14ac:dyDescent="0.25">
      <c r="K167" s="58"/>
      <c r="L167" s="59"/>
      <c r="M167" s="54"/>
      <c r="N167" s="55"/>
      <c r="P167" s="58"/>
      <c r="Q167" s="59"/>
      <c r="R167" s="54"/>
      <c r="S167" s="55"/>
    </row>
    <row r="168" spans="11:19" x14ac:dyDescent="0.25">
      <c r="K168" s="58"/>
      <c r="L168" s="59"/>
      <c r="M168" s="54"/>
      <c r="N168" s="55"/>
      <c r="P168" s="58"/>
      <c r="Q168" s="59"/>
      <c r="R168" s="54"/>
      <c r="S168" s="55"/>
    </row>
    <row r="169" spans="11:19" x14ac:dyDescent="0.25">
      <c r="K169" s="58"/>
      <c r="L169" s="59"/>
      <c r="M169" s="54"/>
      <c r="N169" s="55"/>
      <c r="P169" s="58"/>
      <c r="Q169" s="59"/>
      <c r="R169" s="54"/>
      <c r="S169" s="55"/>
    </row>
    <row r="170" spans="11:19" x14ac:dyDescent="0.25">
      <c r="K170" s="58"/>
      <c r="L170" s="59"/>
      <c r="M170" s="54"/>
      <c r="N170" s="55"/>
      <c r="P170" s="58"/>
      <c r="Q170" s="59"/>
      <c r="R170" s="54"/>
      <c r="S170" s="55"/>
    </row>
    <row r="171" spans="11:19" x14ac:dyDescent="0.25">
      <c r="K171" s="58"/>
      <c r="L171" s="59"/>
      <c r="M171" s="54"/>
      <c r="N171" s="55"/>
      <c r="P171" s="58"/>
      <c r="Q171" s="59"/>
      <c r="R171" s="54"/>
      <c r="S171" s="55"/>
    </row>
    <row r="172" spans="11:19" x14ac:dyDescent="0.25">
      <c r="K172" s="58"/>
      <c r="L172" s="59"/>
      <c r="M172" s="54"/>
      <c r="N172" s="55"/>
      <c r="P172" s="58"/>
      <c r="Q172" s="59"/>
      <c r="R172" s="54"/>
      <c r="S172" s="55"/>
    </row>
    <row r="173" spans="11:19" x14ac:dyDescent="0.25">
      <c r="K173" s="58"/>
      <c r="L173" s="59"/>
      <c r="M173" s="54"/>
      <c r="N173" s="55"/>
      <c r="P173" s="58"/>
      <c r="Q173" s="59"/>
      <c r="R173" s="54"/>
      <c r="S173" s="55"/>
    </row>
    <row r="174" spans="11:19" x14ac:dyDescent="0.25">
      <c r="K174" s="58"/>
      <c r="L174" s="59"/>
      <c r="M174" s="54"/>
      <c r="N174" s="55"/>
      <c r="P174" s="58"/>
      <c r="Q174" s="59"/>
      <c r="R174" s="54"/>
      <c r="S174" s="55"/>
    </row>
    <row r="175" spans="11:19" x14ac:dyDescent="0.25">
      <c r="K175" s="58"/>
      <c r="L175" s="59"/>
      <c r="M175" s="54"/>
      <c r="N175" s="55"/>
      <c r="P175" s="58"/>
      <c r="Q175" s="59"/>
      <c r="R175" s="54"/>
      <c r="S175" s="55"/>
    </row>
    <row r="176" spans="11:19" x14ac:dyDescent="0.25">
      <c r="K176" s="58"/>
      <c r="L176" s="59"/>
      <c r="M176" s="54"/>
      <c r="N176" s="55"/>
      <c r="P176" s="58"/>
      <c r="Q176" s="59"/>
      <c r="R176" s="54"/>
      <c r="S176" s="55"/>
    </row>
    <row r="177" spans="11:19" x14ac:dyDescent="0.25">
      <c r="K177" s="58"/>
      <c r="L177" s="59"/>
      <c r="M177" s="54"/>
      <c r="N177" s="55"/>
      <c r="P177" s="58"/>
      <c r="Q177" s="59"/>
      <c r="R177" s="54"/>
      <c r="S177" s="55"/>
    </row>
    <row r="178" spans="11:19" x14ac:dyDescent="0.25">
      <c r="K178" s="58"/>
      <c r="L178" s="59"/>
      <c r="M178" s="54"/>
      <c r="N178" s="55"/>
      <c r="P178" s="58"/>
      <c r="Q178" s="59"/>
      <c r="R178" s="54"/>
      <c r="S178" s="55"/>
    </row>
    <row r="179" spans="11:19" x14ac:dyDescent="0.25">
      <c r="K179" s="58"/>
      <c r="L179" s="59"/>
      <c r="M179" s="54"/>
      <c r="N179" s="55"/>
      <c r="P179" s="58"/>
      <c r="Q179" s="59"/>
      <c r="R179" s="54"/>
      <c r="S179" s="55"/>
    </row>
    <row r="180" spans="11:19" x14ac:dyDescent="0.25">
      <c r="K180" s="58"/>
      <c r="L180" s="59"/>
      <c r="M180" s="54"/>
      <c r="N180" s="55"/>
      <c r="P180" s="58"/>
      <c r="Q180" s="59"/>
      <c r="R180" s="54"/>
      <c r="S180" s="55"/>
    </row>
    <row r="181" spans="11:19" x14ac:dyDescent="0.25">
      <c r="K181" s="58"/>
      <c r="L181" s="59"/>
      <c r="M181" s="54"/>
      <c r="N181" s="55"/>
      <c r="P181" s="58"/>
      <c r="Q181" s="59"/>
      <c r="R181" s="54"/>
      <c r="S181" s="55"/>
    </row>
    <row r="182" spans="11:19" x14ac:dyDescent="0.25">
      <c r="K182" s="58"/>
      <c r="L182" s="59"/>
      <c r="M182" s="54"/>
      <c r="N182" s="55"/>
      <c r="P182" s="58"/>
      <c r="Q182" s="59"/>
      <c r="R182" s="54"/>
      <c r="S182" s="55"/>
    </row>
    <row r="183" spans="11:19" x14ac:dyDescent="0.25">
      <c r="K183" s="58"/>
      <c r="L183" s="59"/>
      <c r="M183" s="54"/>
      <c r="N183" s="55"/>
      <c r="P183" s="58"/>
      <c r="Q183" s="59"/>
      <c r="R183" s="54"/>
      <c r="S183" s="55"/>
    </row>
    <row r="184" spans="11:19" x14ac:dyDescent="0.25">
      <c r="K184" s="58"/>
      <c r="L184" s="59"/>
      <c r="M184" s="54"/>
      <c r="N184" s="55"/>
      <c r="P184" s="58"/>
      <c r="Q184" s="59"/>
      <c r="R184" s="54"/>
      <c r="S184" s="55"/>
    </row>
    <row r="185" spans="11:19" x14ac:dyDescent="0.25">
      <c r="K185" s="58"/>
      <c r="L185" s="59"/>
      <c r="M185" s="54"/>
      <c r="N185" s="55"/>
      <c r="P185" s="58"/>
      <c r="Q185" s="59"/>
      <c r="R185" s="54"/>
      <c r="S185" s="55"/>
    </row>
    <row r="186" spans="11:19" x14ac:dyDescent="0.25">
      <c r="K186" s="58"/>
      <c r="L186" s="59"/>
      <c r="M186" s="54"/>
      <c r="N186" s="55"/>
      <c r="P186" s="58"/>
      <c r="Q186" s="59"/>
      <c r="R186" s="54"/>
      <c r="S186" s="55"/>
    </row>
    <row r="187" spans="11:19" x14ac:dyDescent="0.25">
      <c r="K187" s="58"/>
      <c r="L187" s="59"/>
      <c r="M187" s="54"/>
      <c r="N187" s="55"/>
      <c r="P187" s="58"/>
      <c r="Q187" s="59"/>
      <c r="R187" s="54"/>
      <c r="S187" s="55"/>
    </row>
    <row r="188" spans="11:19" x14ac:dyDescent="0.25">
      <c r="K188" s="58"/>
      <c r="L188" s="59"/>
      <c r="M188" s="54"/>
      <c r="N188" s="55"/>
      <c r="P188" s="58"/>
      <c r="Q188" s="59"/>
      <c r="R188" s="54"/>
      <c r="S188" s="55"/>
    </row>
    <row r="189" spans="11:19" x14ac:dyDescent="0.25">
      <c r="K189" s="58"/>
      <c r="L189" s="59"/>
      <c r="M189" s="54"/>
      <c r="N189" s="55"/>
      <c r="P189" s="58"/>
      <c r="Q189" s="59"/>
      <c r="R189" s="54"/>
      <c r="S189" s="55"/>
    </row>
    <row r="190" spans="11:19" x14ac:dyDescent="0.25">
      <c r="K190" s="58"/>
      <c r="L190" s="59"/>
      <c r="M190" s="54"/>
      <c r="N190" s="55"/>
      <c r="P190" s="58"/>
      <c r="Q190" s="59"/>
      <c r="R190" s="54"/>
      <c r="S190" s="55"/>
    </row>
    <row r="191" spans="11:19" x14ac:dyDescent="0.25">
      <c r="K191" s="58"/>
      <c r="L191" s="59"/>
      <c r="M191" s="54"/>
      <c r="N191" s="55"/>
      <c r="P191" s="58"/>
      <c r="Q191" s="59"/>
      <c r="R191" s="54"/>
      <c r="S191" s="55"/>
    </row>
    <row r="192" spans="11:19" x14ac:dyDescent="0.25">
      <c r="K192" s="58"/>
      <c r="L192" s="59"/>
      <c r="M192" s="54"/>
      <c r="N192" s="55"/>
      <c r="P192" s="58"/>
      <c r="Q192" s="59"/>
      <c r="R192" s="54"/>
      <c r="S192" s="55"/>
    </row>
    <row r="193" spans="11:19" x14ac:dyDescent="0.25">
      <c r="K193" s="58"/>
      <c r="L193" s="59"/>
      <c r="M193" s="54"/>
      <c r="N193" s="55"/>
      <c r="P193" s="58"/>
      <c r="Q193" s="59"/>
      <c r="R193" s="54"/>
      <c r="S193" s="55"/>
    </row>
    <row r="194" spans="11:19" x14ac:dyDescent="0.25">
      <c r="K194" s="58"/>
      <c r="L194" s="59"/>
      <c r="M194" s="54"/>
      <c r="N194" s="55"/>
      <c r="P194" s="58"/>
      <c r="Q194" s="59"/>
      <c r="R194" s="54"/>
      <c r="S194" s="55"/>
    </row>
    <row r="195" spans="11:19" x14ac:dyDescent="0.25">
      <c r="K195" s="58"/>
      <c r="L195" s="59"/>
      <c r="M195" s="54"/>
      <c r="N195" s="55"/>
      <c r="P195" s="58"/>
      <c r="Q195" s="59"/>
      <c r="R195" s="54"/>
      <c r="S195" s="55"/>
    </row>
    <row r="196" spans="11:19" x14ac:dyDescent="0.25">
      <c r="K196" s="58"/>
      <c r="L196" s="59"/>
      <c r="M196" s="54"/>
      <c r="N196" s="55"/>
      <c r="P196" s="58"/>
      <c r="Q196" s="59"/>
      <c r="R196" s="54"/>
      <c r="S196" s="55"/>
    </row>
    <row r="197" spans="11:19" x14ac:dyDescent="0.25">
      <c r="K197" s="58"/>
      <c r="L197" s="59"/>
      <c r="M197" s="54"/>
      <c r="N197" s="55"/>
      <c r="P197" s="58"/>
      <c r="Q197" s="59"/>
      <c r="R197" s="54"/>
      <c r="S197" s="55"/>
    </row>
    <row r="198" spans="11:19" x14ac:dyDescent="0.25">
      <c r="K198" s="58"/>
      <c r="L198" s="59"/>
      <c r="M198" s="54"/>
      <c r="N198" s="55"/>
      <c r="P198" s="58"/>
      <c r="Q198" s="59"/>
      <c r="R198" s="54"/>
      <c r="S198" s="55"/>
    </row>
    <row r="199" spans="11:19" x14ac:dyDescent="0.25">
      <c r="K199" s="58"/>
      <c r="L199" s="59"/>
      <c r="M199" s="54"/>
      <c r="N199" s="55"/>
      <c r="P199" s="58"/>
      <c r="Q199" s="59"/>
      <c r="R199" s="54"/>
      <c r="S199" s="55"/>
    </row>
    <row r="200" spans="11:19" x14ac:dyDescent="0.25">
      <c r="K200" s="58"/>
      <c r="L200" s="59"/>
      <c r="M200" s="54"/>
      <c r="N200" s="55"/>
      <c r="P200" s="58"/>
      <c r="Q200" s="59"/>
      <c r="R200" s="54"/>
      <c r="S200" s="55"/>
    </row>
    <row r="201" spans="11:19" x14ac:dyDescent="0.25">
      <c r="K201" s="58"/>
      <c r="L201" s="59"/>
      <c r="M201" s="54"/>
      <c r="N201" s="55"/>
      <c r="P201" s="58"/>
      <c r="Q201" s="59"/>
      <c r="R201" s="54"/>
      <c r="S201" s="55"/>
    </row>
    <row r="202" spans="11:19" x14ac:dyDescent="0.25">
      <c r="K202" s="58"/>
      <c r="L202" s="59"/>
      <c r="M202" s="54"/>
      <c r="N202" s="55"/>
      <c r="P202" s="58"/>
      <c r="Q202" s="59"/>
      <c r="R202" s="54"/>
      <c r="S202" s="55"/>
    </row>
    <row r="203" spans="11:19" x14ac:dyDescent="0.25">
      <c r="K203" s="58"/>
      <c r="L203" s="59"/>
      <c r="M203" s="54"/>
      <c r="N203" s="55"/>
      <c r="P203" s="58"/>
      <c r="Q203" s="59"/>
      <c r="R203" s="54"/>
      <c r="S203" s="55"/>
    </row>
    <row r="204" spans="11:19" x14ac:dyDescent="0.25">
      <c r="K204" s="58"/>
      <c r="L204" s="59"/>
      <c r="M204" s="54"/>
      <c r="N204" s="55"/>
      <c r="P204" s="58"/>
      <c r="Q204" s="59"/>
      <c r="R204" s="54"/>
      <c r="S204" s="55"/>
    </row>
    <row r="205" spans="11:19" x14ac:dyDescent="0.25">
      <c r="K205" s="58"/>
      <c r="L205" s="59"/>
      <c r="M205" s="54"/>
      <c r="N205" s="55"/>
      <c r="P205" s="58"/>
      <c r="Q205" s="59"/>
      <c r="R205" s="54"/>
      <c r="S205" s="55"/>
    </row>
    <row r="206" spans="11:19" x14ac:dyDescent="0.25">
      <c r="K206" s="58"/>
      <c r="L206" s="59"/>
      <c r="M206" s="54"/>
      <c r="N206" s="55"/>
      <c r="P206" s="58"/>
      <c r="Q206" s="59"/>
      <c r="R206" s="54"/>
      <c r="S206" s="55"/>
    </row>
    <row r="207" spans="11:19" x14ac:dyDescent="0.25">
      <c r="K207" s="58"/>
      <c r="L207" s="59"/>
      <c r="M207" s="54"/>
      <c r="N207" s="55"/>
      <c r="P207" s="58"/>
      <c r="Q207" s="59"/>
      <c r="R207" s="54"/>
      <c r="S207" s="55"/>
    </row>
    <row r="208" spans="11:19" x14ac:dyDescent="0.25">
      <c r="K208" s="58"/>
      <c r="L208" s="59"/>
      <c r="M208" s="54"/>
      <c r="N208" s="55"/>
      <c r="P208" s="58"/>
      <c r="Q208" s="59"/>
      <c r="R208" s="54"/>
      <c r="S208" s="55"/>
    </row>
    <row r="209" spans="11:19" x14ac:dyDescent="0.25">
      <c r="K209" s="58"/>
      <c r="L209" s="59"/>
      <c r="M209" s="54"/>
      <c r="N209" s="55"/>
      <c r="P209" s="58"/>
      <c r="Q209" s="59"/>
      <c r="R209" s="54"/>
      <c r="S209" s="55"/>
    </row>
    <row r="210" spans="11:19" x14ac:dyDescent="0.25">
      <c r="K210" s="58"/>
      <c r="L210" s="59"/>
      <c r="M210" s="54"/>
      <c r="N210" s="55"/>
      <c r="P210" s="58"/>
      <c r="Q210" s="59"/>
      <c r="R210" s="54"/>
      <c r="S210" s="55"/>
    </row>
    <row r="211" spans="11:19" x14ac:dyDescent="0.25">
      <c r="K211" s="58"/>
      <c r="L211" s="59"/>
      <c r="M211" s="54"/>
      <c r="N211" s="55"/>
      <c r="P211" s="58"/>
      <c r="Q211" s="59"/>
      <c r="R211" s="54"/>
      <c r="S211" s="55"/>
    </row>
    <row r="212" spans="11:19" x14ac:dyDescent="0.25">
      <c r="K212" s="58"/>
      <c r="L212" s="59"/>
      <c r="M212" s="54"/>
      <c r="N212" s="55"/>
      <c r="P212" s="58"/>
      <c r="Q212" s="59"/>
      <c r="R212" s="54"/>
      <c r="S212" s="55"/>
    </row>
    <row r="213" spans="11:19" x14ac:dyDescent="0.25">
      <c r="K213" s="58"/>
      <c r="L213" s="59"/>
      <c r="M213" s="54"/>
      <c r="N213" s="55"/>
      <c r="P213" s="58"/>
      <c r="Q213" s="59"/>
      <c r="R213" s="54"/>
      <c r="S213" s="55"/>
    </row>
    <row r="214" spans="11:19" x14ac:dyDescent="0.25">
      <c r="K214" s="58"/>
      <c r="L214" s="59"/>
      <c r="M214" s="54"/>
      <c r="N214" s="55"/>
      <c r="P214" s="58"/>
      <c r="Q214" s="59"/>
      <c r="R214" s="54"/>
      <c r="S214" s="55"/>
    </row>
    <row r="215" spans="11:19" x14ac:dyDescent="0.25">
      <c r="K215" s="58"/>
      <c r="L215" s="59"/>
      <c r="M215" s="54"/>
      <c r="N215" s="55"/>
      <c r="P215" s="58"/>
      <c r="Q215" s="59"/>
      <c r="R215" s="54"/>
      <c r="S215" s="55"/>
    </row>
    <row r="216" spans="11:19" x14ac:dyDescent="0.25">
      <c r="K216" s="58"/>
      <c r="L216" s="59"/>
      <c r="M216" s="54"/>
      <c r="N216" s="55"/>
      <c r="P216" s="58"/>
      <c r="Q216" s="59"/>
      <c r="R216" s="54"/>
      <c r="S216" s="55"/>
    </row>
    <row r="217" spans="11:19" x14ac:dyDescent="0.25">
      <c r="K217" s="58"/>
      <c r="L217" s="59"/>
      <c r="M217" s="54"/>
      <c r="N217" s="55"/>
      <c r="P217" s="58"/>
      <c r="Q217" s="59"/>
      <c r="R217" s="54"/>
      <c r="S217" s="55"/>
    </row>
    <row r="218" spans="11:19" x14ac:dyDescent="0.25">
      <c r="K218" s="58"/>
      <c r="L218" s="59"/>
      <c r="M218" s="54"/>
      <c r="N218" s="55"/>
      <c r="P218" s="58"/>
      <c r="Q218" s="59"/>
      <c r="R218" s="54"/>
      <c r="S218" s="55"/>
    </row>
    <row r="219" spans="11:19" x14ac:dyDescent="0.25">
      <c r="K219" s="58"/>
      <c r="L219" s="59"/>
      <c r="M219" s="54"/>
      <c r="N219" s="55"/>
      <c r="P219" s="58"/>
      <c r="Q219" s="59"/>
      <c r="R219" s="54"/>
      <c r="S219" s="55"/>
    </row>
    <row r="220" spans="11:19" x14ac:dyDescent="0.25">
      <c r="K220" s="58"/>
      <c r="L220" s="59"/>
      <c r="M220" s="54"/>
      <c r="N220" s="55"/>
      <c r="P220" s="58"/>
      <c r="Q220" s="59"/>
      <c r="R220" s="54"/>
      <c r="S220" s="55"/>
    </row>
    <row r="221" spans="11:19" x14ac:dyDescent="0.25">
      <c r="K221" s="58"/>
      <c r="L221" s="59"/>
      <c r="M221" s="54"/>
      <c r="N221" s="55"/>
      <c r="P221" s="58"/>
      <c r="Q221" s="59"/>
      <c r="R221" s="54"/>
      <c r="S221" s="55"/>
    </row>
    <row r="222" spans="11:19" x14ac:dyDescent="0.25">
      <c r="K222" s="58"/>
      <c r="L222" s="59"/>
      <c r="M222" s="54"/>
      <c r="N222" s="55"/>
      <c r="P222" s="58"/>
      <c r="Q222" s="59"/>
      <c r="R222" s="54"/>
      <c r="S222" s="55"/>
    </row>
    <row r="223" spans="11:19" x14ac:dyDescent="0.25">
      <c r="K223" s="58"/>
      <c r="L223" s="59"/>
      <c r="M223" s="54"/>
      <c r="N223" s="55"/>
      <c r="P223" s="58"/>
      <c r="Q223" s="59"/>
      <c r="R223" s="54"/>
      <c r="S223" s="55"/>
    </row>
    <row r="224" spans="11:19" x14ac:dyDescent="0.25">
      <c r="K224" s="58"/>
      <c r="L224" s="59"/>
      <c r="M224" s="54"/>
      <c r="N224" s="55"/>
      <c r="P224" s="58"/>
      <c r="Q224" s="59"/>
      <c r="R224" s="54"/>
      <c r="S224" s="55"/>
    </row>
    <row r="225" spans="11:19" x14ac:dyDescent="0.25">
      <c r="K225" s="58"/>
      <c r="L225" s="59"/>
      <c r="M225" s="54"/>
      <c r="N225" s="55"/>
      <c r="P225" s="58"/>
      <c r="Q225" s="59"/>
      <c r="R225" s="54"/>
      <c r="S225" s="55"/>
    </row>
    <row r="226" spans="11:19" x14ac:dyDescent="0.25">
      <c r="K226" s="58"/>
      <c r="L226" s="59"/>
      <c r="M226" s="54"/>
      <c r="N226" s="55"/>
      <c r="P226" s="58"/>
      <c r="Q226" s="59"/>
      <c r="R226" s="54"/>
      <c r="S226" s="55"/>
    </row>
    <row r="227" spans="11:19" x14ac:dyDescent="0.25">
      <c r="K227" s="58"/>
      <c r="L227" s="59"/>
      <c r="M227" s="54"/>
      <c r="N227" s="55"/>
      <c r="P227" s="58"/>
      <c r="Q227" s="59"/>
      <c r="R227" s="54"/>
      <c r="S227" s="55"/>
    </row>
    <row r="228" spans="11:19" x14ac:dyDescent="0.25">
      <c r="K228" s="58"/>
      <c r="L228" s="59"/>
      <c r="M228" s="54"/>
      <c r="N228" s="55"/>
      <c r="P228" s="58"/>
      <c r="Q228" s="59"/>
      <c r="R228" s="54"/>
      <c r="S228" s="55"/>
    </row>
    <row r="229" spans="11:19" x14ac:dyDescent="0.25">
      <c r="K229" s="58"/>
      <c r="L229" s="59"/>
      <c r="M229" s="54"/>
      <c r="N229" s="55"/>
      <c r="P229" s="58"/>
      <c r="Q229" s="59"/>
      <c r="R229" s="54"/>
      <c r="S229" s="55"/>
    </row>
    <row r="230" spans="11:19" x14ac:dyDescent="0.25">
      <c r="K230" s="58"/>
      <c r="L230" s="59"/>
      <c r="M230" s="54"/>
      <c r="N230" s="55"/>
      <c r="P230" s="58"/>
      <c r="Q230" s="59"/>
      <c r="R230" s="54"/>
      <c r="S230" s="55"/>
    </row>
    <row r="231" spans="11:19" x14ac:dyDescent="0.25">
      <c r="K231" s="58"/>
      <c r="L231" s="59"/>
      <c r="M231" s="54"/>
      <c r="N231" s="55"/>
      <c r="P231" s="58"/>
      <c r="Q231" s="59"/>
      <c r="R231" s="54"/>
      <c r="S231" s="55"/>
    </row>
    <row r="232" spans="11:19" x14ac:dyDescent="0.25">
      <c r="K232" s="58"/>
      <c r="L232" s="59"/>
      <c r="M232" s="54"/>
      <c r="N232" s="55"/>
      <c r="P232" s="58"/>
      <c r="Q232" s="59"/>
      <c r="R232" s="54"/>
      <c r="S232" s="55"/>
    </row>
    <row r="233" spans="11:19" x14ac:dyDescent="0.25">
      <c r="K233" s="58"/>
      <c r="L233" s="59"/>
      <c r="M233" s="54"/>
      <c r="N233" s="55"/>
      <c r="P233" s="58"/>
      <c r="Q233" s="59"/>
      <c r="R233" s="54"/>
      <c r="S233" s="55"/>
    </row>
    <row r="234" spans="11:19" x14ac:dyDescent="0.25">
      <c r="K234" s="58"/>
      <c r="L234" s="59"/>
      <c r="M234" s="54"/>
      <c r="N234" s="55"/>
      <c r="P234" s="58"/>
      <c r="Q234" s="59"/>
      <c r="R234" s="54"/>
      <c r="S234" s="55"/>
    </row>
    <row r="235" spans="11:19" x14ac:dyDescent="0.25">
      <c r="K235" s="58"/>
      <c r="L235" s="59"/>
      <c r="M235" s="54"/>
      <c r="N235" s="55"/>
      <c r="P235" s="58"/>
      <c r="Q235" s="59"/>
      <c r="R235" s="54"/>
      <c r="S235" s="55"/>
    </row>
    <row r="236" spans="11:19" x14ac:dyDescent="0.25">
      <c r="K236" s="58"/>
      <c r="L236" s="59"/>
      <c r="M236" s="54"/>
      <c r="N236" s="55"/>
      <c r="P236" s="58"/>
      <c r="Q236" s="59"/>
      <c r="R236" s="54"/>
      <c r="S236" s="55"/>
    </row>
    <row r="237" spans="11:19" x14ac:dyDescent="0.25">
      <c r="K237" s="58"/>
      <c r="L237" s="59"/>
      <c r="M237" s="54"/>
      <c r="N237" s="55"/>
      <c r="P237" s="58"/>
      <c r="Q237" s="59"/>
      <c r="R237" s="54"/>
      <c r="S237" s="55"/>
    </row>
    <row r="238" spans="11:19" x14ac:dyDescent="0.25">
      <c r="K238" s="58"/>
      <c r="L238" s="59"/>
      <c r="M238" s="54"/>
      <c r="N238" s="55"/>
      <c r="P238" s="58"/>
      <c r="Q238" s="59"/>
      <c r="R238" s="54"/>
      <c r="S238" s="55"/>
    </row>
    <row r="239" spans="11:19" x14ac:dyDescent="0.25">
      <c r="K239" s="58"/>
      <c r="L239" s="59"/>
      <c r="M239" s="54"/>
      <c r="N239" s="55"/>
      <c r="P239" s="58"/>
      <c r="Q239" s="59"/>
      <c r="R239" s="54"/>
      <c r="S239" s="55"/>
    </row>
    <row r="240" spans="11:19" x14ac:dyDescent="0.25">
      <c r="K240" s="58"/>
      <c r="L240" s="59"/>
      <c r="M240" s="54"/>
      <c r="N240" s="55"/>
      <c r="P240" s="58"/>
      <c r="Q240" s="59"/>
      <c r="R240" s="54"/>
      <c r="S240" s="55"/>
    </row>
    <row r="241" spans="11:19" x14ac:dyDescent="0.25">
      <c r="K241" s="58"/>
      <c r="L241" s="59"/>
      <c r="M241" s="54"/>
      <c r="N241" s="55"/>
      <c r="P241" s="58"/>
      <c r="Q241" s="59"/>
      <c r="R241" s="54"/>
      <c r="S241" s="55"/>
    </row>
    <row r="242" spans="11:19" x14ac:dyDescent="0.25">
      <c r="K242" s="58"/>
      <c r="L242" s="59"/>
      <c r="M242" s="54"/>
      <c r="N242" s="55"/>
      <c r="P242" s="58"/>
      <c r="Q242" s="59"/>
      <c r="R242" s="54"/>
      <c r="S242" s="55"/>
    </row>
    <row r="243" spans="11:19" x14ac:dyDescent="0.25">
      <c r="K243" s="58"/>
      <c r="L243" s="59"/>
      <c r="M243" s="54"/>
      <c r="N243" s="55"/>
      <c r="P243" s="58"/>
      <c r="Q243" s="59"/>
      <c r="R243" s="54"/>
      <c r="S243" s="55"/>
    </row>
    <row r="244" spans="11:19" x14ac:dyDescent="0.25">
      <c r="K244" s="58"/>
      <c r="L244" s="59"/>
      <c r="M244" s="54"/>
      <c r="N244" s="55"/>
      <c r="P244" s="58"/>
      <c r="Q244" s="59"/>
      <c r="R244" s="54"/>
      <c r="S244" s="55"/>
    </row>
    <row r="245" spans="11:19" x14ac:dyDescent="0.25">
      <c r="K245" s="58"/>
      <c r="L245" s="59"/>
      <c r="M245" s="54"/>
      <c r="N245" s="55"/>
      <c r="P245" s="58"/>
      <c r="Q245" s="59"/>
      <c r="R245" s="54"/>
      <c r="S245" s="55"/>
    </row>
    <row r="246" spans="11:19" x14ac:dyDescent="0.25">
      <c r="K246" s="58"/>
      <c r="L246" s="59"/>
      <c r="M246" s="54"/>
      <c r="N246" s="55"/>
      <c r="P246" s="58"/>
      <c r="Q246" s="59"/>
      <c r="R246" s="54"/>
      <c r="S246" s="55"/>
    </row>
    <row r="247" spans="11:19" x14ac:dyDescent="0.25">
      <c r="K247" s="58"/>
      <c r="L247" s="59"/>
      <c r="M247" s="54"/>
      <c r="N247" s="55"/>
      <c r="P247" s="58"/>
      <c r="Q247" s="59"/>
      <c r="R247" s="54"/>
      <c r="S247" s="55"/>
    </row>
    <row r="248" spans="11:19" x14ac:dyDescent="0.25">
      <c r="K248" s="58"/>
      <c r="L248" s="59"/>
      <c r="M248" s="54"/>
      <c r="N248" s="55"/>
      <c r="P248" s="58"/>
      <c r="Q248" s="59"/>
      <c r="R248" s="54"/>
      <c r="S248" s="55"/>
    </row>
    <row r="249" spans="11:19" x14ac:dyDescent="0.25">
      <c r="K249" s="58"/>
      <c r="L249" s="59"/>
      <c r="M249" s="54"/>
      <c r="N249" s="55"/>
      <c r="P249" s="58"/>
      <c r="Q249" s="59"/>
      <c r="R249" s="54"/>
      <c r="S249" s="55"/>
    </row>
    <row r="250" spans="11:19" x14ac:dyDescent="0.25">
      <c r="K250" s="58"/>
      <c r="L250" s="59"/>
      <c r="M250" s="54"/>
      <c r="N250" s="55"/>
      <c r="P250" s="58"/>
      <c r="Q250" s="59"/>
      <c r="R250" s="54"/>
      <c r="S250" s="55"/>
    </row>
    <row r="251" spans="11:19" x14ac:dyDescent="0.25">
      <c r="K251" s="58"/>
      <c r="L251" s="59"/>
      <c r="M251" s="54"/>
      <c r="N251" s="55"/>
      <c r="P251" s="58"/>
      <c r="Q251" s="59"/>
      <c r="R251" s="54"/>
      <c r="S251" s="55"/>
    </row>
    <row r="252" spans="11:19" x14ac:dyDescent="0.25">
      <c r="K252" s="58"/>
      <c r="L252" s="59"/>
      <c r="M252" s="54"/>
      <c r="N252" s="55"/>
      <c r="P252" s="58"/>
      <c r="Q252" s="59"/>
      <c r="R252" s="54"/>
      <c r="S252" s="55"/>
    </row>
    <row r="253" spans="11:19" x14ac:dyDescent="0.25">
      <c r="K253" s="58"/>
      <c r="L253" s="59"/>
      <c r="M253" s="54"/>
      <c r="N253" s="55"/>
      <c r="P253" s="58"/>
      <c r="Q253" s="59"/>
      <c r="R253" s="54"/>
      <c r="S253" s="55"/>
    </row>
    <row r="254" spans="11:19" x14ac:dyDescent="0.25">
      <c r="K254" s="58"/>
      <c r="L254" s="59"/>
      <c r="M254" s="54"/>
      <c r="N254" s="55"/>
      <c r="P254" s="58"/>
      <c r="Q254" s="59"/>
      <c r="R254" s="54"/>
      <c r="S254" s="55"/>
    </row>
    <row r="255" spans="11:19" x14ac:dyDescent="0.25">
      <c r="K255" s="58"/>
      <c r="L255" s="59"/>
      <c r="M255" s="54"/>
      <c r="N255" s="55"/>
      <c r="P255" s="58"/>
      <c r="Q255" s="59"/>
      <c r="R255" s="54"/>
      <c r="S255" s="55"/>
    </row>
    <row r="256" spans="11:19" x14ac:dyDescent="0.25">
      <c r="K256" s="58"/>
      <c r="L256" s="59"/>
      <c r="M256" s="54"/>
      <c r="N256" s="55"/>
      <c r="P256" s="58"/>
      <c r="Q256" s="59"/>
      <c r="R256" s="54"/>
      <c r="S256" s="55"/>
    </row>
    <row r="257" spans="11:19" x14ac:dyDescent="0.25">
      <c r="K257" s="58"/>
      <c r="L257" s="59"/>
      <c r="M257" s="54"/>
      <c r="N257" s="55"/>
      <c r="P257" s="58"/>
      <c r="Q257" s="59"/>
      <c r="R257" s="54"/>
      <c r="S257" s="55"/>
    </row>
    <row r="258" spans="11:19" x14ac:dyDescent="0.25">
      <c r="K258" s="58"/>
      <c r="L258" s="59"/>
      <c r="M258" s="54"/>
      <c r="N258" s="55"/>
      <c r="P258" s="58"/>
      <c r="Q258" s="59"/>
      <c r="R258" s="54"/>
      <c r="S258" s="55"/>
    </row>
    <row r="259" spans="11:19" x14ac:dyDescent="0.25">
      <c r="K259" s="58"/>
      <c r="L259" s="59"/>
      <c r="M259" s="54"/>
      <c r="N259" s="55"/>
      <c r="P259" s="58"/>
      <c r="Q259" s="59"/>
      <c r="R259" s="54"/>
      <c r="S259" s="55"/>
    </row>
    <row r="260" spans="11:19" x14ac:dyDescent="0.25">
      <c r="K260" s="58"/>
      <c r="L260" s="59"/>
      <c r="M260" s="54"/>
      <c r="N260" s="55"/>
      <c r="P260" s="58"/>
      <c r="Q260" s="59"/>
      <c r="R260" s="54"/>
      <c r="S260" s="55"/>
    </row>
    <row r="261" spans="11:19" x14ac:dyDescent="0.25">
      <c r="K261" s="58"/>
      <c r="L261" s="59"/>
      <c r="M261" s="54"/>
      <c r="N261" s="55"/>
      <c r="P261" s="58"/>
      <c r="Q261" s="59"/>
      <c r="R261" s="54"/>
      <c r="S261" s="55"/>
    </row>
    <row r="262" spans="11:19" x14ac:dyDescent="0.25">
      <c r="K262" s="58"/>
      <c r="L262" s="59"/>
      <c r="M262" s="54"/>
      <c r="N262" s="55"/>
      <c r="P262" s="58"/>
      <c r="Q262" s="59"/>
      <c r="R262" s="54"/>
      <c r="S262" s="55"/>
    </row>
    <row r="263" spans="11:19" x14ac:dyDescent="0.25">
      <c r="K263" s="58"/>
      <c r="L263" s="59"/>
      <c r="M263" s="54"/>
      <c r="N263" s="55"/>
      <c r="P263" s="58"/>
      <c r="Q263" s="59"/>
      <c r="R263" s="54"/>
      <c r="S263" s="55"/>
    </row>
    <row r="264" spans="11:19" x14ac:dyDescent="0.25">
      <c r="K264" s="58"/>
      <c r="L264" s="59"/>
      <c r="M264" s="54"/>
      <c r="N264" s="55"/>
      <c r="P264" s="58"/>
      <c r="Q264" s="59"/>
      <c r="R264" s="54"/>
      <c r="S264" s="55"/>
    </row>
    <row r="265" spans="11:19" x14ac:dyDescent="0.25">
      <c r="K265" s="58"/>
      <c r="L265" s="59"/>
      <c r="M265" s="54"/>
      <c r="N265" s="55"/>
      <c r="P265" s="58"/>
      <c r="Q265" s="59"/>
      <c r="R265" s="54"/>
      <c r="S265" s="55"/>
    </row>
    <row r="266" spans="11:19" x14ac:dyDescent="0.25">
      <c r="K266" s="58"/>
      <c r="L266" s="59"/>
      <c r="M266" s="54"/>
      <c r="N266" s="55"/>
      <c r="P266" s="58"/>
      <c r="Q266" s="59"/>
      <c r="R266" s="54"/>
      <c r="S266" s="55"/>
    </row>
    <row r="267" spans="11:19" x14ac:dyDescent="0.25">
      <c r="K267" s="58"/>
      <c r="L267" s="59"/>
      <c r="M267" s="54"/>
      <c r="N267" s="55"/>
      <c r="P267" s="58"/>
      <c r="Q267" s="59"/>
      <c r="R267" s="54"/>
      <c r="S267" s="55"/>
    </row>
    <row r="268" spans="11:19" x14ac:dyDescent="0.25">
      <c r="K268" s="58"/>
      <c r="L268" s="59"/>
      <c r="M268" s="54"/>
      <c r="N268" s="55"/>
      <c r="P268" s="58"/>
      <c r="Q268" s="59"/>
      <c r="R268" s="54"/>
      <c r="S268" s="55"/>
    </row>
    <row r="269" spans="11:19" x14ac:dyDescent="0.25">
      <c r="K269" s="58"/>
      <c r="L269" s="59"/>
      <c r="M269" s="54"/>
      <c r="N269" s="55"/>
      <c r="P269" s="58"/>
      <c r="Q269" s="59"/>
      <c r="R269" s="54"/>
      <c r="S269" s="55"/>
    </row>
    <row r="270" spans="11:19" x14ac:dyDescent="0.25">
      <c r="K270" s="58"/>
      <c r="L270" s="59"/>
      <c r="M270" s="54"/>
      <c r="N270" s="55"/>
      <c r="P270" s="58"/>
      <c r="Q270" s="59"/>
      <c r="R270" s="54"/>
      <c r="S270" s="55"/>
    </row>
    <row r="271" spans="11:19" x14ac:dyDescent="0.25">
      <c r="K271" s="58"/>
      <c r="L271" s="59"/>
      <c r="M271" s="54"/>
      <c r="N271" s="55"/>
      <c r="P271" s="58"/>
      <c r="Q271" s="59"/>
      <c r="R271" s="54"/>
      <c r="S271" s="55"/>
    </row>
    <row r="272" spans="11:19" x14ac:dyDescent="0.25">
      <c r="K272" s="58"/>
      <c r="L272" s="59"/>
      <c r="M272" s="54"/>
      <c r="N272" s="55"/>
      <c r="P272" s="58"/>
      <c r="Q272" s="59"/>
      <c r="R272" s="54"/>
      <c r="S272" s="55"/>
    </row>
    <row r="273" spans="11:19" x14ac:dyDescent="0.25">
      <c r="K273" s="58"/>
      <c r="L273" s="59"/>
      <c r="M273" s="54"/>
      <c r="N273" s="55"/>
      <c r="P273" s="58"/>
      <c r="Q273" s="59"/>
      <c r="R273" s="54"/>
      <c r="S273" s="55"/>
    </row>
    <row r="274" spans="11:19" x14ac:dyDescent="0.25">
      <c r="K274" s="58"/>
      <c r="L274" s="59"/>
      <c r="M274" s="54"/>
      <c r="N274" s="55"/>
      <c r="P274" s="58"/>
      <c r="Q274" s="59"/>
      <c r="R274" s="54"/>
      <c r="S274" s="55"/>
    </row>
    <row r="275" spans="11:19" x14ac:dyDescent="0.25">
      <c r="K275" s="58"/>
      <c r="L275" s="59"/>
      <c r="M275" s="54"/>
      <c r="N275" s="55"/>
      <c r="P275" s="58"/>
      <c r="Q275" s="59"/>
      <c r="R275" s="54"/>
      <c r="S275" s="55"/>
    </row>
    <row r="276" spans="11:19" x14ac:dyDescent="0.25">
      <c r="K276" s="58"/>
      <c r="L276" s="59"/>
      <c r="M276" s="54"/>
      <c r="N276" s="55"/>
      <c r="P276" s="58"/>
      <c r="Q276" s="59"/>
      <c r="R276" s="54"/>
      <c r="S276" s="55"/>
    </row>
    <row r="277" spans="11:19" x14ac:dyDescent="0.25">
      <c r="K277" s="58"/>
      <c r="L277" s="59"/>
      <c r="M277" s="54"/>
      <c r="N277" s="55"/>
      <c r="P277" s="58"/>
      <c r="Q277" s="59"/>
      <c r="R277" s="54"/>
      <c r="S277" s="55"/>
    </row>
    <row r="278" spans="11:19" x14ac:dyDescent="0.25">
      <c r="K278" s="58"/>
      <c r="L278" s="59"/>
      <c r="M278" s="54"/>
      <c r="N278" s="55"/>
      <c r="P278" s="58"/>
      <c r="Q278" s="59"/>
      <c r="R278" s="54"/>
      <c r="S278" s="55"/>
    </row>
    <row r="279" spans="11:19" x14ac:dyDescent="0.25">
      <c r="K279" s="58"/>
      <c r="L279" s="59"/>
      <c r="M279" s="54"/>
      <c r="N279" s="55"/>
      <c r="P279" s="58"/>
      <c r="Q279" s="59"/>
      <c r="R279" s="54"/>
      <c r="S279" s="55"/>
    </row>
    <row r="280" spans="11:19" x14ac:dyDescent="0.25">
      <c r="K280" s="58"/>
      <c r="L280" s="59"/>
      <c r="M280" s="54"/>
      <c r="N280" s="55"/>
      <c r="P280" s="58"/>
      <c r="Q280" s="59"/>
      <c r="R280" s="54"/>
      <c r="S280" s="55"/>
    </row>
    <row r="281" spans="11:19" x14ac:dyDescent="0.25">
      <c r="K281" s="58"/>
      <c r="L281" s="59"/>
      <c r="M281" s="54"/>
      <c r="N281" s="55"/>
      <c r="P281" s="58"/>
      <c r="Q281" s="59"/>
      <c r="R281" s="54"/>
      <c r="S281" s="55"/>
    </row>
    <row r="282" spans="11:19" x14ac:dyDescent="0.25">
      <c r="K282" s="58"/>
      <c r="L282" s="59"/>
      <c r="M282" s="54"/>
      <c r="N282" s="55"/>
      <c r="P282" s="58"/>
      <c r="Q282" s="59"/>
      <c r="R282" s="54"/>
      <c r="S282" s="55"/>
    </row>
    <row r="283" spans="11:19" x14ac:dyDescent="0.25">
      <c r="K283" s="58"/>
      <c r="L283" s="59"/>
      <c r="M283" s="54"/>
      <c r="N283" s="55"/>
      <c r="P283" s="58"/>
      <c r="Q283" s="59"/>
      <c r="R283" s="54"/>
      <c r="S283" s="55"/>
    </row>
    <row r="284" spans="11:19" x14ac:dyDescent="0.25">
      <c r="K284" s="58"/>
      <c r="L284" s="59"/>
      <c r="M284" s="54"/>
      <c r="N284" s="55"/>
      <c r="P284" s="58"/>
      <c r="Q284" s="59"/>
      <c r="R284" s="54"/>
      <c r="S284" s="55"/>
    </row>
    <row r="285" spans="11:19" x14ac:dyDescent="0.25">
      <c r="K285" s="58"/>
      <c r="L285" s="59"/>
      <c r="M285" s="54"/>
      <c r="N285" s="55"/>
      <c r="P285" s="58"/>
      <c r="Q285" s="59"/>
      <c r="R285" s="54"/>
      <c r="S285" s="55"/>
    </row>
    <row r="286" spans="11:19" x14ac:dyDescent="0.25">
      <c r="K286" s="58"/>
      <c r="L286" s="59"/>
      <c r="M286" s="54"/>
      <c r="N286" s="55"/>
      <c r="P286" s="58"/>
      <c r="Q286" s="59"/>
      <c r="R286" s="54"/>
      <c r="S286" s="55"/>
    </row>
    <row r="287" spans="11:19" x14ac:dyDescent="0.25">
      <c r="K287" s="58"/>
      <c r="L287" s="59"/>
      <c r="M287" s="54"/>
      <c r="N287" s="55"/>
      <c r="P287" s="58"/>
      <c r="Q287" s="59"/>
      <c r="R287" s="54"/>
      <c r="S287" s="55"/>
    </row>
    <row r="288" spans="11:19" x14ac:dyDescent="0.25">
      <c r="K288" s="58"/>
      <c r="L288" s="59"/>
      <c r="M288" s="54"/>
      <c r="N288" s="55"/>
      <c r="P288" s="58"/>
      <c r="Q288" s="59"/>
      <c r="R288" s="54"/>
      <c r="S288" s="55"/>
    </row>
    <row r="289" spans="11:19" x14ac:dyDescent="0.25">
      <c r="K289" s="58"/>
      <c r="L289" s="59"/>
      <c r="M289" s="54"/>
      <c r="N289" s="55"/>
      <c r="P289" s="58"/>
      <c r="Q289" s="59"/>
      <c r="R289" s="54"/>
      <c r="S289" s="55"/>
    </row>
    <row r="290" spans="11:19" x14ac:dyDescent="0.25">
      <c r="K290" s="58"/>
      <c r="L290" s="59"/>
      <c r="M290" s="54"/>
      <c r="N290" s="55"/>
      <c r="P290" s="58"/>
      <c r="Q290" s="59"/>
      <c r="R290" s="54"/>
      <c r="S290" s="55"/>
    </row>
    <row r="291" spans="11:19" x14ac:dyDescent="0.25">
      <c r="K291" s="58"/>
      <c r="L291" s="59"/>
      <c r="M291" s="54"/>
      <c r="N291" s="55"/>
      <c r="P291" s="58"/>
      <c r="Q291" s="59"/>
      <c r="R291" s="54"/>
      <c r="S291" s="55"/>
    </row>
    <row r="292" spans="11:19" x14ac:dyDescent="0.25">
      <c r="K292" s="58"/>
      <c r="L292" s="59"/>
      <c r="M292" s="54"/>
      <c r="N292" s="55"/>
      <c r="P292" s="58"/>
      <c r="Q292" s="59"/>
      <c r="R292" s="54"/>
      <c r="S292" s="55"/>
    </row>
    <row r="293" spans="11:19" x14ac:dyDescent="0.25">
      <c r="K293" s="58"/>
      <c r="L293" s="59"/>
      <c r="M293" s="54"/>
      <c r="N293" s="55"/>
      <c r="P293" s="58"/>
      <c r="Q293" s="59"/>
      <c r="R293" s="54"/>
      <c r="S293" s="55"/>
    </row>
    <row r="294" spans="11:19" x14ac:dyDescent="0.25">
      <c r="K294" s="58"/>
      <c r="L294" s="59"/>
      <c r="M294" s="54"/>
      <c r="N294" s="55"/>
      <c r="P294" s="58"/>
      <c r="Q294" s="59"/>
      <c r="R294" s="54"/>
      <c r="S294" s="55"/>
    </row>
    <row r="295" spans="11:19" x14ac:dyDescent="0.25">
      <c r="K295" s="58"/>
      <c r="L295" s="59"/>
      <c r="M295" s="54"/>
      <c r="N295" s="55"/>
      <c r="P295" s="58"/>
      <c r="Q295" s="59"/>
      <c r="R295" s="54"/>
      <c r="S295" s="55"/>
    </row>
    <row r="296" spans="11:19" x14ac:dyDescent="0.25">
      <c r="K296" s="58"/>
      <c r="L296" s="59"/>
      <c r="M296" s="54"/>
      <c r="N296" s="55"/>
      <c r="P296" s="58"/>
      <c r="Q296" s="59"/>
      <c r="R296" s="54"/>
      <c r="S296" s="55"/>
    </row>
    <row r="297" spans="11:19" x14ac:dyDescent="0.25">
      <c r="K297" s="58"/>
      <c r="L297" s="59"/>
      <c r="M297" s="54"/>
      <c r="N297" s="55"/>
      <c r="P297" s="58"/>
      <c r="Q297" s="59"/>
      <c r="R297" s="54"/>
      <c r="S297" s="55"/>
    </row>
    <row r="298" spans="11:19" x14ac:dyDescent="0.25">
      <c r="K298" s="58"/>
      <c r="L298" s="59"/>
      <c r="M298" s="54"/>
      <c r="N298" s="55"/>
      <c r="P298" s="58"/>
      <c r="Q298" s="59"/>
      <c r="R298" s="54"/>
      <c r="S298" s="55"/>
    </row>
    <row r="299" spans="11:19" x14ac:dyDescent="0.25">
      <c r="K299" s="58"/>
      <c r="L299" s="59"/>
      <c r="M299" s="54"/>
      <c r="N299" s="55"/>
      <c r="P299" s="58"/>
      <c r="Q299" s="59"/>
      <c r="R299" s="54"/>
      <c r="S299" s="55"/>
    </row>
    <row r="300" spans="11:19" x14ac:dyDescent="0.25">
      <c r="K300" s="58"/>
      <c r="L300" s="59"/>
      <c r="M300" s="54"/>
      <c r="N300" s="55"/>
      <c r="P300" s="58"/>
      <c r="Q300" s="59"/>
      <c r="R300" s="54"/>
      <c r="S300" s="55"/>
    </row>
    <row r="301" spans="11:19" x14ac:dyDescent="0.25">
      <c r="K301" s="58"/>
      <c r="L301" s="59"/>
      <c r="M301" s="54"/>
      <c r="N301" s="55"/>
      <c r="P301" s="58"/>
      <c r="Q301" s="59"/>
      <c r="R301" s="54"/>
      <c r="S301" s="55"/>
    </row>
    <row r="302" spans="11:19" x14ac:dyDescent="0.25">
      <c r="K302" s="58"/>
      <c r="L302" s="59"/>
      <c r="M302" s="54"/>
      <c r="N302" s="55"/>
      <c r="P302" s="58"/>
      <c r="Q302" s="59"/>
      <c r="R302" s="54"/>
      <c r="S302" s="55"/>
    </row>
    <row r="303" spans="11:19" x14ac:dyDescent="0.25">
      <c r="K303" s="58"/>
      <c r="L303" s="59"/>
      <c r="M303" s="54"/>
      <c r="N303" s="55"/>
      <c r="P303" s="58"/>
      <c r="Q303" s="59"/>
      <c r="R303" s="54"/>
      <c r="S303" s="55"/>
    </row>
    <row r="304" spans="11:19" x14ac:dyDescent="0.25">
      <c r="K304" s="58"/>
      <c r="L304" s="59"/>
      <c r="M304" s="54"/>
      <c r="N304" s="55"/>
      <c r="P304" s="58"/>
      <c r="Q304" s="59"/>
      <c r="R304" s="54"/>
      <c r="S304" s="55"/>
    </row>
    <row r="305" spans="11:19" x14ac:dyDescent="0.25">
      <c r="K305" s="58"/>
      <c r="L305" s="59"/>
      <c r="M305" s="54"/>
      <c r="N305" s="55"/>
      <c r="P305" s="58"/>
      <c r="Q305" s="59"/>
      <c r="R305" s="54"/>
      <c r="S305" s="55"/>
    </row>
    <row r="306" spans="11:19" x14ac:dyDescent="0.25">
      <c r="K306" s="58"/>
      <c r="L306" s="59"/>
      <c r="M306" s="54"/>
      <c r="N306" s="55"/>
      <c r="P306" s="58"/>
      <c r="Q306" s="59"/>
      <c r="R306" s="54"/>
      <c r="S306" s="55"/>
    </row>
    <row r="307" spans="11:19" x14ac:dyDescent="0.25">
      <c r="K307" s="58"/>
      <c r="L307" s="59"/>
      <c r="M307" s="54"/>
      <c r="N307" s="55"/>
      <c r="P307" s="58"/>
      <c r="Q307" s="59"/>
      <c r="R307" s="54"/>
      <c r="S307" s="55"/>
    </row>
    <row r="308" spans="11:19" x14ac:dyDescent="0.25">
      <c r="K308" s="58"/>
      <c r="L308" s="59"/>
      <c r="M308" s="54"/>
      <c r="N308" s="55"/>
      <c r="P308" s="58"/>
      <c r="Q308" s="59"/>
      <c r="R308" s="54"/>
      <c r="S308" s="55"/>
    </row>
    <row r="309" spans="11:19" x14ac:dyDescent="0.25">
      <c r="K309" s="58"/>
      <c r="L309" s="59"/>
      <c r="M309" s="54"/>
      <c r="N309" s="55"/>
      <c r="P309" s="58"/>
      <c r="Q309" s="59"/>
      <c r="R309" s="54"/>
      <c r="S309" s="55"/>
    </row>
    <row r="310" spans="11:19" x14ac:dyDescent="0.25">
      <c r="K310" s="58"/>
      <c r="L310" s="59"/>
      <c r="M310" s="54"/>
      <c r="N310" s="55"/>
      <c r="P310" s="58"/>
      <c r="Q310" s="59"/>
      <c r="R310" s="54"/>
      <c r="S310" s="55"/>
    </row>
    <row r="311" spans="11:19" x14ac:dyDescent="0.25">
      <c r="K311" s="58"/>
      <c r="L311" s="59"/>
      <c r="M311" s="54"/>
      <c r="N311" s="55"/>
      <c r="P311" s="58"/>
      <c r="Q311" s="59"/>
      <c r="R311" s="54"/>
      <c r="S311" s="55"/>
    </row>
    <row r="312" spans="11:19" x14ac:dyDescent="0.25">
      <c r="K312" s="58"/>
      <c r="L312" s="59"/>
      <c r="M312" s="54"/>
      <c r="N312" s="55"/>
      <c r="P312" s="58"/>
      <c r="Q312" s="59"/>
      <c r="R312" s="54"/>
      <c r="S312" s="55"/>
    </row>
    <row r="313" spans="11:19" x14ac:dyDescent="0.25">
      <c r="K313" s="58"/>
      <c r="L313" s="59"/>
      <c r="M313" s="54"/>
      <c r="N313" s="55"/>
      <c r="P313" s="58"/>
      <c r="Q313" s="59"/>
      <c r="R313" s="54"/>
      <c r="S313" s="55"/>
    </row>
    <row r="314" spans="11:19" x14ac:dyDescent="0.25">
      <c r="K314" s="58"/>
      <c r="L314" s="59"/>
      <c r="M314" s="54"/>
      <c r="N314" s="55"/>
      <c r="P314" s="58"/>
      <c r="Q314" s="59"/>
      <c r="R314" s="54"/>
      <c r="S314" s="55"/>
    </row>
    <row r="315" spans="11:19" x14ac:dyDescent="0.25">
      <c r="K315" s="58"/>
      <c r="L315" s="59"/>
      <c r="M315" s="54"/>
      <c r="N315" s="55"/>
      <c r="P315" s="58"/>
      <c r="Q315" s="59"/>
      <c r="R315" s="54"/>
      <c r="S315" s="55"/>
    </row>
    <row r="316" spans="11:19" x14ac:dyDescent="0.25">
      <c r="K316" s="58"/>
      <c r="L316" s="59"/>
      <c r="M316" s="54"/>
      <c r="N316" s="55"/>
      <c r="P316" s="58"/>
      <c r="Q316" s="59"/>
      <c r="R316" s="54"/>
      <c r="S316" s="55"/>
    </row>
    <row r="317" spans="11:19" x14ac:dyDescent="0.25">
      <c r="K317" s="58"/>
      <c r="L317" s="59"/>
      <c r="M317" s="54"/>
      <c r="N317" s="55"/>
      <c r="P317" s="58"/>
      <c r="Q317" s="59"/>
      <c r="R317" s="54"/>
      <c r="S317" s="55"/>
    </row>
    <row r="318" spans="11:19" x14ac:dyDescent="0.25">
      <c r="K318" s="58"/>
      <c r="L318" s="59"/>
      <c r="M318" s="54"/>
      <c r="N318" s="55"/>
      <c r="P318" s="58"/>
      <c r="Q318" s="59"/>
      <c r="R318" s="54"/>
      <c r="S318" s="55"/>
    </row>
    <row r="319" spans="11:19" x14ac:dyDescent="0.25">
      <c r="K319" s="58"/>
      <c r="L319" s="59"/>
      <c r="M319" s="54"/>
      <c r="N319" s="55"/>
      <c r="P319" s="58"/>
      <c r="Q319" s="59"/>
      <c r="R319" s="54"/>
      <c r="S319" s="55"/>
    </row>
    <row r="320" spans="11:19" x14ac:dyDescent="0.25">
      <c r="K320" s="58"/>
      <c r="L320" s="59"/>
      <c r="M320" s="54"/>
      <c r="N320" s="55"/>
      <c r="P320" s="58"/>
      <c r="Q320" s="59"/>
      <c r="R320" s="54"/>
      <c r="S320" s="55"/>
    </row>
    <row r="321" spans="11:19" x14ac:dyDescent="0.25">
      <c r="K321" s="58"/>
      <c r="L321" s="59"/>
      <c r="M321" s="54"/>
      <c r="N321" s="55"/>
      <c r="P321" s="58"/>
      <c r="Q321" s="59"/>
      <c r="R321" s="54"/>
      <c r="S321" s="55"/>
    </row>
    <row r="322" spans="11:19" x14ac:dyDescent="0.25">
      <c r="K322" s="58"/>
      <c r="L322" s="59"/>
      <c r="M322" s="54"/>
      <c r="N322" s="55"/>
      <c r="P322" s="58"/>
      <c r="Q322" s="59"/>
      <c r="R322" s="54"/>
      <c r="S322" s="55"/>
    </row>
    <row r="323" spans="11:19" x14ac:dyDescent="0.25">
      <c r="K323" s="58"/>
      <c r="L323" s="59"/>
      <c r="M323" s="54"/>
      <c r="N323" s="55"/>
      <c r="P323" s="58"/>
      <c r="Q323" s="59"/>
      <c r="R323" s="54"/>
      <c r="S323" s="55"/>
    </row>
    <row r="324" spans="11:19" x14ac:dyDescent="0.25">
      <c r="K324" s="58"/>
      <c r="L324" s="59"/>
      <c r="M324" s="54"/>
      <c r="N324" s="55"/>
      <c r="P324" s="58"/>
      <c r="Q324" s="59"/>
      <c r="R324" s="54"/>
      <c r="S324" s="55"/>
    </row>
    <row r="325" spans="11:19" x14ac:dyDescent="0.25">
      <c r="K325" s="58"/>
      <c r="L325" s="59"/>
      <c r="M325" s="54"/>
      <c r="N325" s="55"/>
      <c r="P325" s="58"/>
      <c r="Q325" s="59"/>
      <c r="R325" s="54"/>
      <c r="S325" s="55"/>
    </row>
    <row r="326" spans="11:19" x14ac:dyDescent="0.25">
      <c r="K326" s="58"/>
      <c r="L326" s="59"/>
      <c r="M326" s="54"/>
      <c r="N326" s="55"/>
      <c r="P326" s="58"/>
      <c r="Q326" s="59"/>
      <c r="R326" s="54"/>
      <c r="S326" s="55"/>
    </row>
    <row r="327" spans="11:19" x14ac:dyDescent="0.25">
      <c r="K327" s="58"/>
      <c r="L327" s="59"/>
      <c r="M327" s="54"/>
      <c r="N327" s="55"/>
      <c r="P327" s="58"/>
      <c r="Q327" s="59"/>
      <c r="R327" s="54"/>
      <c r="S327" s="55"/>
    </row>
    <row r="328" spans="11:19" x14ac:dyDescent="0.25">
      <c r="K328" s="58"/>
      <c r="L328" s="59"/>
      <c r="M328" s="54"/>
      <c r="N328" s="55"/>
      <c r="P328" s="58"/>
      <c r="Q328" s="59"/>
      <c r="R328" s="54"/>
      <c r="S328" s="55"/>
    </row>
    <row r="329" spans="11:19" x14ac:dyDescent="0.25">
      <c r="K329" s="58"/>
      <c r="L329" s="59"/>
      <c r="M329" s="54"/>
      <c r="N329" s="55"/>
      <c r="P329" s="58"/>
      <c r="Q329" s="59"/>
      <c r="R329" s="54"/>
      <c r="S329" s="55"/>
    </row>
    <row r="330" spans="11:19" x14ac:dyDescent="0.25">
      <c r="K330" s="58"/>
      <c r="L330" s="59"/>
      <c r="M330" s="54"/>
      <c r="N330" s="55"/>
      <c r="P330" s="58"/>
      <c r="Q330" s="59"/>
      <c r="R330" s="54"/>
      <c r="S330" s="55"/>
    </row>
    <row r="331" spans="11:19" x14ac:dyDescent="0.25">
      <c r="K331" s="58"/>
      <c r="L331" s="59"/>
      <c r="M331" s="54"/>
      <c r="N331" s="55"/>
      <c r="P331" s="58"/>
      <c r="Q331" s="59"/>
      <c r="R331" s="54"/>
      <c r="S331" s="55"/>
    </row>
    <row r="332" spans="11:19" x14ac:dyDescent="0.25">
      <c r="K332" s="58"/>
      <c r="L332" s="59"/>
      <c r="M332" s="54"/>
      <c r="N332" s="55"/>
      <c r="P332" s="58"/>
      <c r="Q332" s="59"/>
      <c r="R332" s="54"/>
      <c r="S332" s="55"/>
    </row>
    <row r="333" spans="11:19" x14ac:dyDescent="0.25">
      <c r="K333" s="58"/>
      <c r="L333" s="59"/>
      <c r="M333" s="54"/>
      <c r="N333" s="55"/>
      <c r="P333" s="58"/>
      <c r="Q333" s="59"/>
      <c r="R333" s="54"/>
      <c r="S333" s="55"/>
    </row>
    <row r="334" spans="11:19" x14ac:dyDescent="0.25">
      <c r="K334" s="58"/>
      <c r="L334" s="59"/>
      <c r="M334" s="54"/>
      <c r="N334" s="55"/>
      <c r="P334" s="58"/>
      <c r="Q334" s="59"/>
      <c r="R334" s="54"/>
      <c r="S334" s="55"/>
    </row>
    <row r="335" spans="11:19" x14ac:dyDescent="0.25">
      <c r="K335" s="58"/>
      <c r="L335" s="59"/>
      <c r="M335" s="54"/>
      <c r="N335" s="55"/>
      <c r="P335" s="58"/>
      <c r="Q335" s="59"/>
      <c r="R335" s="54"/>
      <c r="S335" s="55"/>
    </row>
    <row r="336" spans="11:19" x14ac:dyDescent="0.25">
      <c r="K336" s="58"/>
      <c r="L336" s="59"/>
      <c r="M336" s="54"/>
      <c r="N336" s="55"/>
      <c r="P336" s="58"/>
      <c r="Q336" s="59"/>
      <c r="R336" s="54"/>
      <c r="S336" s="55"/>
    </row>
    <row r="337" spans="11:19" x14ac:dyDescent="0.25">
      <c r="K337" s="58"/>
      <c r="L337" s="59"/>
      <c r="M337" s="54"/>
      <c r="N337" s="55"/>
      <c r="P337" s="58"/>
      <c r="Q337" s="59"/>
      <c r="R337" s="54"/>
      <c r="S337" s="55"/>
    </row>
    <row r="338" spans="11:19" x14ac:dyDescent="0.25">
      <c r="K338" s="58"/>
      <c r="L338" s="59"/>
      <c r="M338" s="54"/>
      <c r="N338" s="55"/>
      <c r="P338" s="58"/>
      <c r="Q338" s="59"/>
      <c r="R338" s="54"/>
      <c r="S338" s="55"/>
    </row>
    <row r="339" spans="11:19" x14ac:dyDescent="0.25">
      <c r="K339" s="58"/>
      <c r="L339" s="59"/>
      <c r="M339" s="54"/>
      <c r="N339" s="55"/>
      <c r="P339" s="58"/>
      <c r="Q339" s="59"/>
      <c r="R339" s="54"/>
      <c r="S339" s="55"/>
    </row>
    <row r="340" spans="11:19" x14ac:dyDescent="0.25">
      <c r="K340" s="58"/>
      <c r="L340" s="59"/>
      <c r="M340" s="54"/>
      <c r="N340" s="55"/>
      <c r="P340" s="58"/>
      <c r="Q340" s="59"/>
      <c r="R340" s="54"/>
      <c r="S340" s="55"/>
    </row>
    <row r="341" spans="11:19" x14ac:dyDescent="0.25">
      <c r="K341" s="58"/>
      <c r="L341" s="59"/>
      <c r="M341" s="54"/>
      <c r="N341" s="55"/>
      <c r="P341" s="58"/>
      <c r="Q341" s="59"/>
      <c r="R341" s="54"/>
      <c r="S341" s="55"/>
    </row>
    <row r="342" spans="11:19" x14ac:dyDescent="0.25">
      <c r="K342" s="58"/>
      <c r="L342" s="59"/>
      <c r="M342" s="54"/>
      <c r="N342" s="55"/>
      <c r="P342" s="58"/>
      <c r="Q342" s="59"/>
      <c r="R342" s="54"/>
      <c r="S342" s="55"/>
    </row>
    <row r="343" spans="11:19" x14ac:dyDescent="0.25">
      <c r="K343" s="58"/>
      <c r="L343" s="59"/>
      <c r="M343" s="54"/>
      <c r="N343" s="55"/>
      <c r="P343" s="58"/>
      <c r="Q343" s="59"/>
      <c r="R343" s="54"/>
      <c r="S343" s="55"/>
    </row>
    <row r="344" spans="11:19" x14ac:dyDescent="0.25">
      <c r="K344" s="58"/>
      <c r="L344" s="59"/>
      <c r="M344" s="54"/>
      <c r="N344" s="55"/>
      <c r="P344" s="58"/>
      <c r="Q344" s="59"/>
      <c r="R344" s="54"/>
      <c r="S344" s="55"/>
    </row>
    <row r="345" spans="11:19" x14ac:dyDescent="0.25">
      <c r="K345" s="58"/>
      <c r="L345" s="59"/>
      <c r="M345" s="54"/>
      <c r="N345" s="55"/>
      <c r="P345" s="58"/>
      <c r="Q345" s="59"/>
      <c r="R345" s="54"/>
      <c r="S345" s="55"/>
    </row>
    <row r="346" spans="11:19" x14ac:dyDescent="0.25">
      <c r="K346" s="58"/>
      <c r="L346" s="59"/>
      <c r="M346" s="54"/>
      <c r="N346" s="55"/>
      <c r="P346" s="58"/>
      <c r="Q346" s="59"/>
      <c r="R346" s="54"/>
      <c r="S346" s="55"/>
    </row>
    <row r="347" spans="11:19" x14ac:dyDescent="0.25">
      <c r="K347" s="58"/>
      <c r="L347" s="59"/>
      <c r="M347" s="54"/>
      <c r="N347" s="55"/>
      <c r="P347" s="58"/>
      <c r="Q347" s="59"/>
      <c r="R347" s="54"/>
      <c r="S347" s="55"/>
    </row>
    <row r="348" spans="11:19" ht="15.75" thickBot="1" x14ac:dyDescent="0.3">
      <c r="K348" s="60"/>
      <c r="L348" s="61"/>
      <c r="M348" s="56"/>
      <c r="N348" s="57"/>
      <c r="P348" s="60"/>
      <c r="Q348" s="61"/>
      <c r="R348" s="56"/>
      <c r="S348" s="57"/>
    </row>
  </sheetData>
  <mergeCells count="4">
    <mergeCell ref="A8:D8"/>
    <mergeCell ref="F8:I8"/>
    <mergeCell ref="K8:N8"/>
    <mergeCell ref="P8:S8"/>
  </mergeCells>
  <conditionalFormatting sqref="G3">
    <cfRule type="cellIs" dxfId="59" priority="5" operator="greaterThan">
      <formula>$J$4</formula>
    </cfRule>
  </conditionalFormatting>
  <conditionalFormatting sqref="T5">
    <cfRule type="cellIs" dxfId="58" priority="1" operator="greaterThan">
      <formula>$T$6</formula>
    </cfRule>
    <cfRule type="cellIs" dxfId="57" priority="4" operator="lessThan">
      <formula>$T$6</formula>
    </cfRule>
  </conditionalFormatting>
  <conditionalFormatting sqref="T6">
    <cfRule type="cellIs" dxfId="56" priority="2" operator="greaterThan">
      <formula>$T$5</formula>
    </cfRule>
    <cfRule type="cellIs" dxfId="55" priority="3" operator="lessThan">
      <formula>$T$5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004985-ECF1-462A-8963-5FFCCE0A73ED}">
  <sheetPr codeName="Sheet6"/>
  <dimension ref="A1:M47"/>
  <sheetViews>
    <sheetView zoomScale="110" zoomScaleNormal="110" workbookViewId="0">
      <selection activeCell="F9" sqref="F9"/>
    </sheetView>
  </sheetViews>
  <sheetFormatPr baseColWidth="10" defaultColWidth="9.140625" defaultRowHeight="15" x14ac:dyDescent="0.25"/>
  <cols>
    <col min="3" max="3" width="13.5703125" bestFit="1" customWidth="1"/>
    <col min="4" max="4" width="11.5703125" bestFit="1" customWidth="1"/>
    <col min="6" max="6" width="11.5703125" bestFit="1" customWidth="1"/>
    <col min="9" max="9" width="13.5703125" bestFit="1" customWidth="1"/>
    <col min="10" max="10" width="11.5703125" bestFit="1" customWidth="1"/>
    <col min="12" max="12" width="12.140625" bestFit="1" customWidth="1"/>
    <col min="13" max="13" width="11.140625" bestFit="1" customWidth="1"/>
  </cols>
  <sheetData>
    <row r="1" spans="1:13" ht="15.75" thickBot="1" x14ac:dyDescent="0.3">
      <c r="A1" s="113" t="s">
        <v>18</v>
      </c>
      <c r="B1" s="114"/>
      <c r="C1" s="114"/>
      <c r="D1" s="115"/>
      <c r="G1" s="113" t="s">
        <v>19</v>
      </c>
      <c r="H1" s="114"/>
      <c r="I1" s="114"/>
      <c r="J1" s="115"/>
    </row>
    <row r="2" spans="1:13" ht="15.75" thickBot="1" x14ac:dyDescent="0.3">
      <c r="A2" s="32" t="s">
        <v>22</v>
      </c>
      <c r="B2" s="33" t="s">
        <v>9</v>
      </c>
      <c r="C2" s="33" t="s">
        <v>7</v>
      </c>
      <c r="D2" s="34" t="s">
        <v>23</v>
      </c>
      <c r="E2" s="31"/>
      <c r="F2" s="31"/>
      <c r="G2" s="32" t="s">
        <v>22</v>
      </c>
      <c r="H2" s="33" t="s">
        <v>9</v>
      </c>
      <c r="I2" s="33" t="s">
        <v>7</v>
      </c>
      <c r="J2" s="34" t="s">
        <v>23</v>
      </c>
      <c r="K2" s="31"/>
    </row>
    <row r="3" spans="1:13" x14ac:dyDescent="0.25">
      <c r="A3" s="38">
        <v>15</v>
      </c>
      <c r="B3" s="39">
        <v>30.326086956521738</v>
      </c>
      <c r="C3" s="40">
        <v>823261</v>
      </c>
      <c r="D3" s="41">
        <v>27146.957706093192</v>
      </c>
      <c r="E3">
        <v>1</v>
      </c>
      <c r="G3" s="83">
        <v>9</v>
      </c>
      <c r="H3" s="72">
        <v>33.41317365269461</v>
      </c>
      <c r="I3" s="84">
        <v>839159</v>
      </c>
      <c r="J3" s="73">
        <v>25114.615232974909</v>
      </c>
      <c r="K3">
        <v>0.66666666666666663</v>
      </c>
      <c r="L3" s="23">
        <f>I3*(1-K3)-I4*(1-K3)-C9*E9+C11*E9</f>
        <v>-15253.333333333343</v>
      </c>
      <c r="M3" s="23"/>
    </row>
    <row r="4" spans="1:13" x14ac:dyDescent="0.25">
      <c r="A4" s="46">
        <v>4</v>
      </c>
      <c r="B4" s="39">
        <v>30.326086956521738</v>
      </c>
      <c r="C4" s="47">
        <v>748702</v>
      </c>
      <c r="D4" s="41">
        <v>24688.381362007171</v>
      </c>
      <c r="E4">
        <v>1</v>
      </c>
      <c r="G4" s="52">
        <v>1</v>
      </c>
      <c r="H4" s="72">
        <v>33.41317365269461</v>
      </c>
      <c r="I4" s="53">
        <v>816679</v>
      </c>
      <c r="J4" s="73">
        <v>24441.826702508963</v>
      </c>
      <c r="K4">
        <v>0.33333333333333304</v>
      </c>
    </row>
    <row r="5" spans="1:13" x14ac:dyDescent="0.25">
      <c r="A5" s="46">
        <v>75</v>
      </c>
      <c r="B5" s="39">
        <v>30.326086956521738</v>
      </c>
      <c r="C5" s="47">
        <v>700923</v>
      </c>
      <c r="D5" s="41">
        <v>23112.873118279571</v>
      </c>
      <c r="E5">
        <v>1</v>
      </c>
      <c r="G5" s="58">
        <v>3</v>
      </c>
      <c r="H5" s="68">
        <v>33.41317365269461</v>
      </c>
      <c r="I5" s="54">
        <v>637399</v>
      </c>
      <c r="J5" s="69">
        <v>19076.278315412186</v>
      </c>
    </row>
    <row r="6" spans="1:13" x14ac:dyDescent="0.25">
      <c r="A6" s="46">
        <v>61</v>
      </c>
      <c r="B6" s="39">
        <v>30.326086956521738</v>
      </c>
      <c r="C6" s="47">
        <v>594344</v>
      </c>
      <c r="D6" s="41">
        <v>19598.440143369175</v>
      </c>
      <c r="E6">
        <v>1</v>
      </c>
      <c r="G6" s="58">
        <v>89</v>
      </c>
      <c r="H6" s="68">
        <v>33.41317365269461</v>
      </c>
      <c r="I6" s="54">
        <v>626952</v>
      </c>
      <c r="J6" s="69">
        <v>18763.617204301077</v>
      </c>
    </row>
    <row r="7" spans="1:13" x14ac:dyDescent="0.25">
      <c r="A7" s="46">
        <v>2</v>
      </c>
      <c r="B7" s="39">
        <v>30.326086956521738</v>
      </c>
      <c r="C7" s="47">
        <v>573963</v>
      </c>
      <c r="D7" s="41">
        <v>18926.378494623656</v>
      </c>
      <c r="E7">
        <v>1</v>
      </c>
      <c r="G7" s="58">
        <v>74</v>
      </c>
      <c r="H7" s="68">
        <v>33.41317365269461</v>
      </c>
      <c r="I7" s="54">
        <v>528188</v>
      </c>
      <c r="J7" s="69">
        <v>15807.7770609319</v>
      </c>
    </row>
    <row r="8" spans="1:13" x14ac:dyDescent="0.25">
      <c r="A8" s="46">
        <v>66</v>
      </c>
      <c r="B8" s="39">
        <v>30.326086956521738</v>
      </c>
      <c r="C8" s="47">
        <v>543888</v>
      </c>
      <c r="D8" s="41">
        <v>17934.65806451613</v>
      </c>
      <c r="E8">
        <v>1</v>
      </c>
      <c r="G8" s="58">
        <v>7</v>
      </c>
      <c r="H8" s="68">
        <v>33.41317365269461</v>
      </c>
      <c r="I8" s="54">
        <v>517706</v>
      </c>
      <c r="J8" s="69">
        <v>15494.068458781363</v>
      </c>
    </row>
    <row r="9" spans="1:13" x14ac:dyDescent="0.25">
      <c r="A9" s="52">
        <v>9</v>
      </c>
      <c r="B9" s="72">
        <v>30.326086956521738</v>
      </c>
      <c r="C9" s="53">
        <v>458407</v>
      </c>
      <c r="D9" s="73">
        <v>15115.929749103943</v>
      </c>
      <c r="E9">
        <v>0.33333333333333337</v>
      </c>
      <c r="F9" s="85">
        <f>C9*(1-E9)-C10*(1-E9)+I4*K3-I3*K3</f>
        <v>15056.666666666744</v>
      </c>
      <c r="G9" s="58">
        <v>16</v>
      </c>
      <c r="H9" s="68">
        <v>33.41317365269461</v>
      </c>
      <c r="I9" s="54">
        <v>471825</v>
      </c>
      <c r="J9" s="69">
        <v>14120.927419354839</v>
      </c>
    </row>
    <row r="10" spans="1:13" x14ac:dyDescent="0.25">
      <c r="A10" s="46">
        <v>6</v>
      </c>
      <c r="B10" s="39">
        <v>30.326086956521738</v>
      </c>
      <c r="C10" s="47">
        <v>413342</v>
      </c>
      <c r="D10" s="41">
        <v>13629.915412186379</v>
      </c>
      <c r="E10">
        <v>1</v>
      </c>
      <c r="G10" s="58">
        <v>20</v>
      </c>
      <c r="H10" s="68">
        <v>33.41317365269461</v>
      </c>
      <c r="I10" s="54">
        <v>465526</v>
      </c>
      <c r="J10" s="69">
        <v>13932.408960573477</v>
      </c>
    </row>
    <row r="11" spans="1:13" x14ac:dyDescent="0.25">
      <c r="A11" s="58">
        <v>90</v>
      </c>
      <c r="B11" s="68">
        <v>30.326086956521738</v>
      </c>
      <c r="C11" s="54">
        <v>390167</v>
      </c>
      <c r="D11" s="69">
        <v>12865.721863799283</v>
      </c>
      <c r="G11" s="58">
        <v>71</v>
      </c>
      <c r="H11" s="68">
        <v>33.41317365269461</v>
      </c>
      <c r="I11" s="54">
        <v>459240</v>
      </c>
      <c r="J11" s="69">
        <v>13744.279569892473</v>
      </c>
    </row>
    <row r="12" spans="1:13" x14ac:dyDescent="0.25">
      <c r="A12" s="58">
        <v>10</v>
      </c>
      <c r="B12" s="68">
        <v>30.326086956521738</v>
      </c>
      <c r="C12" s="54">
        <v>374487</v>
      </c>
      <c r="D12" s="69">
        <v>12348.675268817206</v>
      </c>
      <c r="G12" s="58">
        <v>73</v>
      </c>
      <c r="H12" s="68">
        <v>33.41317365269461</v>
      </c>
      <c r="I12" s="54">
        <v>435675</v>
      </c>
      <c r="J12" s="69">
        <v>13039.018817204302</v>
      </c>
    </row>
    <row r="13" spans="1:13" x14ac:dyDescent="0.25">
      <c r="A13" s="58">
        <v>72</v>
      </c>
      <c r="B13" s="68">
        <v>30.326086956521738</v>
      </c>
      <c r="C13" s="54">
        <v>339217</v>
      </c>
      <c r="D13" s="69">
        <v>11185.65017921147</v>
      </c>
      <c r="G13" s="50">
        <v>4</v>
      </c>
      <c r="H13" s="70">
        <v>33.41317365269461</v>
      </c>
      <c r="I13" s="51">
        <v>435251</v>
      </c>
      <c r="J13" s="71">
        <v>13026.329211469534</v>
      </c>
      <c r="K13">
        <v>0</v>
      </c>
    </row>
    <row r="14" spans="1:13" x14ac:dyDescent="0.25">
      <c r="A14" s="58">
        <v>63</v>
      </c>
      <c r="B14" s="68">
        <v>30.326086956521738</v>
      </c>
      <c r="C14" s="54">
        <v>148379</v>
      </c>
      <c r="D14" s="69">
        <v>4892.7842293906815</v>
      </c>
      <c r="G14" s="58">
        <v>58</v>
      </c>
      <c r="H14" s="68">
        <v>33.41317365269461</v>
      </c>
      <c r="I14" s="54">
        <v>425212</v>
      </c>
      <c r="J14" s="69">
        <v>12725.878853046595</v>
      </c>
    </row>
    <row r="15" spans="1:13" x14ac:dyDescent="0.25">
      <c r="A15" s="58">
        <v>5</v>
      </c>
      <c r="B15" s="68">
        <v>30.326086956521738</v>
      </c>
      <c r="C15" s="54">
        <v>135603</v>
      </c>
      <c r="D15" s="69">
        <v>4471.4967741935488</v>
      </c>
      <c r="G15" s="58">
        <v>69</v>
      </c>
      <c r="H15" s="68">
        <v>33.41317365269461</v>
      </c>
      <c r="I15" s="54">
        <v>301059</v>
      </c>
      <c r="J15" s="69">
        <v>9010.188709677419</v>
      </c>
    </row>
    <row r="16" spans="1:13" x14ac:dyDescent="0.25">
      <c r="A16" s="58">
        <v>89</v>
      </c>
      <c r="B16" s="68">
        <v>30.326086956521738</v>
      </c>
      <c r="C16" s="54">
        <v>43767</v>
      </c>
      <c r="D16" s="69">
        <v>1443.2129032258065</v>
      </c>
      <c r="G16" s="58">
        <v>91</v>
      </c>
      <c r="H16" s="68">
        <v>33.41317365269461</v>
      </c>
      <c r="I16" s="54">
        <v>248437</v>
      </c>
      <c r="J16" s="69">
        <v>7435.3008960573479</v>
      </c>
    </row>
    <row r="17" spans="1:11" x14ac:dyDescent="0.25">
      <c r="A17" s="58">
        <v>8</v>
      </c>
      <c r="B17" s="68">
        <v>30.326086956521738</v>
      </c>
      <c r="C17" s="54">
        <v>-31569</v>
      </c>
      <c r="D17" s="69">
        <v>-1040.9849462365592</v>
      </c>
      <c r="G17" s="50">
        <v>75</v>
      </c>
      <c r="H17" s="70">
        <v>33.41317365269461</v>
      </c>
      <c r="I17" s="51">
        <v>241104</v>
      </c>
      <c r="J17" s="71">
        <v>7215.8365591397851</v>
      </c>
      <c r="K17">
        <v>0</v>
      </c>
    </row>
    <row r="18" spans="1:11" x14ac:dyDescent="0.25">
      <c r="A18" s="58">
        <v>62</v>
      </c>
      <c r="B18" s="68">
        <v>30.326086956521738</v>
      </c>
      <c r="C18" s="54">
        <v>-50310</v>
      </c>
      <c r="D18" s="69">
        <v>-1658.9677419354839</v>
      </c>
      <c r="G18" s="58">
        <v>21</v>
      </c>
      <c r="H18" s="68">
        <v>33.41317365269461</v>
      </c>
      <c r="I18" s="54">
        <v>182068</v>
      </c>
      <c r="J18" s="69">
        <v>5448.9885304659501</v>
      </c>
    </row>
    <row r="19" spans="1:11" x14ac:dyDescent="0.25">
      <c r="A19" s="58">
        <v>20</v>
      </c>
      <c r="B19" s="68">
        <v>30.326086956521738</v>
      </c>
      <c r="C19" s="54">
        <v>-55320</v>
      </c>
      <c r="D19" s="69">
        <v>-1824.1720430107528</v>
      </c>
      <c r="G19" s="58">
        <v>59</v>
      </c>
      <c r="H19" s="68">
        <v>33.41317365269461</v>
      </c>
      <c r="I19" s="54">
        <v>167225</v>
      </c>
      <c r="J19" s="69">
        <v>5004.7625448028675</v>
      </c>
    </row>
    <row r="20" spans="1:11" x14ac:dyDescent="0.25">
      <c r="A20" s="58">
        <v>14</v>
      </c>
      <c r="B20" s="68">
        <v>30.326086956521738</v>
      </c>
      <c r="C20" s="54">
        <v>-99929</v>
      </c>
      <c r="D20" s="69">
        <v>-3295.1498207885306</v>
      </c>
      <c r="G20" s="58">
        <v>63</v>
      </c>
      <c r="H20" s="68">
        <v>33.41317365269461</v>
      </c>
      <c r="I20" s="54">
        <v>-59023</v>
      </c>
      <c r="J20" s="69">
        <v>-1766.4589605734768</v>
      </c>
    </row>
    <row r="21" spans="1:11" x14ac:dyDescent="0.25">
      <c r="A21" s="58">
        <v>59</v>
      </c>
      <c r="B21" s="68">
        <v>30.326086956521738</v>
      </c>
      <c r="C21" s="54">
        <v>-120499</v>
      </c>
      <c r="D21" s="69">
        <v>-3973.4437275985665</v>
      </c>
      <c r="G21" s="58">
        <v>70</v>
      </c>
      <c r="H21" s="68">
        <v>33.41317365269461</v>
      </c>
      <c r="I21" s="54">
        <v>-82956</v>
      </c>
      <c r="J21" s="69">
        <v>-2482.7333333333336</v>
      </c>
    </row>
    <row r="22" spans="1:11" x14ac:dyDescent="0.25">
      <c r="A22" s="58">
        <v>11</v>
      </c>
      <c r="B22" s="68">
        <v>30.326086956521738</v>
      </c>
      <c r="C22" s="54">
        <v>-150180</v>
      </c>
      <c r="D22" s="69">
        <v>-4952.1720430107525</v>
      </c>
      <c r="G22" s="58">
        <v>64</v>
      </c>
      <c r="H22" s="68">
        <v>33.41317365269461</v>
      </c>
      <c r="I22" s="54">
        <v>-163863</v>
      </c>
      <c r="J22" s="69">
        <v>-4904.1435483870973</v>
      </c>
    </row>
    <row r="23" spans="1:11" x14ac:dyDescent="0.25">
      <c r="A23" s="58">
        <v>19</v>
      </c>
      <c r="B23" s="68">
        <v>30.326086956521738</v>
      </c>
      <c r="C23" s="54">
        <v>-212225</v>
      </c>
      <c r="D23" s="69">
        <v>-6998.1003584229393</v>
      </c>
      <c r="G23" s="58">
        <v>8</v>
      </c>
      <c r="H23" s="68">
        <v>33.41317365269461</v>
      </c>
      <c r="I23" s="54">
        <v>-187009</v>
      </c>
      <c r="J23" s="69">
        <v>-5596.8643369175625</v>
      </c>
    </row>
    <row r="24" spans="1:11" x14ac:dyDescent="0.25">
      <c r="A24" s="58">
        <v>7</v>
      </c>
      <c r="B24" s="68">
        <v>30.326086956521738</v>
      </c>
      <c r="C24" s="54">
        <v>-425925</v>
      </c>
      <c r="D24" s="69">
        <v>-14044.83870967742</v>
      </c>
      <c r="G24" s="50">
        <v>61</v>
      </c>
      <c r="H24" s="70">
        <v>33.41317365269461</v>
      </c>
      <c r="I24" s="51">
        <v>-223907</v>
      </c>
      <c r="J24" s="71">
        <v>-6701.159318996416</v>
      </c>
      <c r="K24">
        <v>0</v>
      </c>
    </row>
    <row r="25" spans="1:11" x14ac:dyDescent="0.25">
      <c r="A25" s="58">
        <v>88</v>
      </c>
      <c r="B25" s="68">
        <v>30.326086956521738</v>
      </c>
      <c r="C25" s="54">
        <v>-426293</v>
      </c>
      <c r="D25" s="69">
        <v>-14056.973476702509</v>
      </c>
      <c r="G25" s="58">
        <v>92</v>
      </c>
      <c r="H25" s="68">
        <v>33.41317365269461</v>
      </c>
      <c r="I25" s="54">
        <v>-299484</v>
      </c>
      <c r="J25" s="69">
        <v>-8963.0516129032258</v>
      </c>
    </row>
    <row r="26" spans="1:11" x14ac:dyDescent="0.25">
      <c r="A26" s="52">
        <v>1</v>
      </c>
      <c r="B26" s="72">
        <v>30.326086956521738</v>
      </c>
      <c r="C26" s="53">
        <v>-436549</v>
      </c>
      <c r="D26" s="73">
        <v>-14395.164157706093</v>
      </c>
      <c r="G26" s="58">
        <v>93</v>
      </c>
      <c r="H26" s="68">
        <v>33.41317365269461</v>
      </c>
      <c r="I26" s="54">
        <v>-392062</v>
      </c>
      <c r="J26" s="69">
        <v>-11733.755197132617</v>
      </c>
    </row>
    <row r="27" spans="1:11" x14ac:dyDescent="0.25">
      <c r="A27" s="58">
        <v>16</v>
      </c>
      <c r="B27" s="68">
        <v>30.326086956521738</v>
      </c>
      <c r="C27" s="54">
        <v>-516654</v>
      </c>
      <c r="D27" s="69">
        <v>-17036.619354838709</v>
      </c>
      <c r="G27" s="58">
        <v>17</v>
      </c>
      <c r="H27" s="68">
        <v>33.41317365269461</v>
      </c>
      <c r="I27" s="54">
        <v>-421127</v>
      </c>
      <c r="J27" s="69">
        <v>-12603.621684587813</v>
      </c>
    </row>
    <row r="28" spans="1:11" x14ac:dyDescent="0.25">
      <c r="A28" s="58">
        <v>73</v>
      </c>
      <c r="B28" s="68">
        <v>30.326086956521738</v>
      </c>
      <c r="C28" s="54">
        <v>-526062</v>
      </c>
      <c r="D28" s="69">
        <v>-17346.847311827958</v>
      </c>
      <c r="G28" s="58">
        <v>5</v>
      </c>
      <c r="H28" s="68">
        <v>33.41317365269461</v>
      </c>
      <c r="I28" s="54">
        <v>-473972</v>
      </c>
      <c r="J28" s="69">
        <v>-14185.183512544803</v>
      </c>
    </row>
    <row r="29" spans="1:11" x14ac:dyDescent="0.25">
      <c r="A29" s="58">
        <v>69</v>
      </c>
      <c r="B29" s="68">
        <v>30.326086956521738</v>
      </c>
      <c r="C29" s="54">
        <v>-582190</v>
      </c>
      <c r="D29" s="69">
        <v>-19197.663082437277</v>
      </c>
      <c r="G29" s="58">
        <v>67</v>
      </c>
      <c r="H29" s="68">
        <v>33.41317365269461</v>
      </c>
      <c r="I29" s="54">
        <v>-479440</v>
      </c>
      <c r="J29" s="69">
        <v>-14348.831541218638</v>
      </c>
    </row>
    <row r="30" spans="1:11" x14ac:dyDescent="0.25">
      <c r="A30" s="58">
        <v>17</v>
      </c>
      <c r="B30" s="68">
        <v>30.326086956521738</v>
      </c>
      <c r="C30" s="54">
        <v>-710390</v>
      </c>
      <c r="D30" s="69">
        <v>-23425.046594982079</v>
      </c>
      <c r="G30" s="58">
        <v>65</v>
      </c>
      <c r="H30" s="68">
        <v>33.41317365269461</v>
      </c>
      <c r="I30" s="54">
        <v>-681880</v>
      </c>
      <c r="J30" s="69">
        <v>-20407.519713261649</v>
      </c>
    </row>
    <row r="31" spans="1:11" x14ac:dyDescent="0.25">
      <c r="A31" s="58">
        <v>12</v>
      </c>
      <c r="B31" s="68">
        <v>30.326086956521738</v>
      </c>
      <c r="C31" s="54">
        <v>-753136</v>
      </c>
      <c r="D31" s="69">
        <v>-24834.592114695341</v>
      </c>
      <c r="G31" s="50">
        <v>15</v>
      </c>
      <c r="H31" s="70">
        <v>33.41317365269461</v>
      </c>
      <c r="I31" s="51">
        <v>-737370</v>
      </c>
      <c r="J31" s="71">
        <v>-22068.241935483871</v>
      </c>
      <c r="K31">
        <v>0</v>
      </c>
    </row>
    <row r="32" spans="1:11" x14ac:dyDescent="0.25">
      <c r="A32" s="58">
        <v>58</v>
      </c>
      <c r="B32" s="68">
        <v>30.326086956521738</v>
      </c>
      <c r="C32" s="54">
        <v>-793953</v>
      </c>
      <c r="D32" s="69">
        <v>-26180.529032258066</v>
      </c>
      <c r="G32" s="50">
        <v>6</v>
      </c>
      <c r="H32" s="70">
        <v>33.41317365269461</v>
      </c>
      <c r="I32" s="51">
        <v>-760719</v>
      </c>
      <c r="J32" s="71">
        <v>-22767.038172043012</v>
      </c>
      <c r="K32">
        <v>0</v>
      </c>
    </row>
    <row r="33" spans="1:11" x14ac:dyDescent="0.25">
      <c r="A33" s="58">
        <v>68</v>
      </c>
      <c r="B33" s="68">
        <v>30.326086956521738</v>
      </c>
      <c r="C33" s="54">
        <v>-803861</v>
      </c>
      <c r="D33" s="69">
        <v>-26507.244444444445</v>
      </c>
      <c r="G33" s="58">
        <v>18</v>
      </c>
      <c r="H33" s="68">
        <v>33.41317365269461</v>
      </c>
      <c r="I33" s="54">
        <v>-824942</v>
      </c>
      <c r="J33" s="69">
        <v>-24689.124372759856</v>
      </c>
    </row>
    <row r="34" spans="1:11" x14ac:dyDescent="0.25">
      <c r="A34" s="58">
        <v>60</v>
      </c>
      <c r="B34" s="68">
        <v>30.326086956521738</v>
      </c>
      <c r="C34" s="54">
        <v>-850901</v>
      </c>
      <c r="D34" s="69">
        <v>-28058.384229390682</v>
      </c>
      <c r="G34" s="58">
        <v>11</v>
      </c>
      <c r="H34" s="68">
        <v>33.41317365269461</v>
      </c>
      <c r="I34" s="54">
        <v>-906527</v>
      </c>
      <c r="J34" s="69">
        <v>-27130.825985663083</v>
      </c>
    </row>
    <row r="35" spans="1:11" x14ac:dyDescent="0.25">
      <c r="A35" s="58">
        <v>74</v>
      </c>
      <c r="B35" s="68">
        <v>30.326086956521738</v>
      </c>
      <c r="C35" s="54">
        <v>-871942</v>
      </c>
      <c r="D35" s="69">
        <v>-28752.209318996418</v>
      </c>
      <c r="G35" s="58">
        <v>14</v>
      </c>
      <c r="H35" s="68">
        <v>33.41317365269461</v>
      </c>
      <c r="I35" s="54">
        <v>-923878</v>
      </c>
      <c r="J35" s="69">
        <v>-27650.112186379931</v>
      </c>
    </row>
    <row r="36" spans="1:11" x14ac:dyDescent="0.25">
      <c r="A36" s="58">
        <v>71</v>
      </c>
      <c r="B36" s="68">
        <v>30.326086956521738</v>
      </c>
      <c r="C36" s="54">
        <v>-879757</v>
      </c>
      <c r="D36" s="69">
        <v>-29009.908243727601</v>
      </c>
      <c r="G36" s="58">
        <v>90</v>
      </c>
      <c r="H36" s="68">
        <v>33.41317365269461</v>
      </c>
      <c r="I36" s="54">
        <v>-944796</v>
      </c>
      <c r="J36" s="69">
        <v>-28276.152688172042</v>
      </c>
    </row>
    <row r="37" spans="1:11" x14ac:dyDescent="0.25">
      <c r="A37" s="58">
        <v>13</v>
      </c>
      <c r="B37" s="68">
        <v>30.326086956521738</v>
      </c>
      <c r="C37" s="54">
        <v>-1072053</v>
      </c>
      <c r="D37" s="69">
        <v>-35350.851612903229</v>
      </c>
      <c r="G37" s="58">
        <v>88</v>
      </c>
      <c r="H37" s="68">
        <v>33.41317365269461</v>
      </c>
      <c r="I37" s="54">
        <v>-964689</v>
      </c>
      <c r="J37" s="69">
        <v>-28871.516666666666</v>
      </c>
    </row>
    <row r="38" spans="1:11" x14ac:dyDescent="0.25">
      <c r="A38" s="58">
        <v>92</v>
      </c>
      <c r="B38" s="68">
        <v>30.326086956521738</v>
      </c>
      <c r="C38" s="54">
        <v>-1105120</v>
      </c>
      <c r="D38" s="69">
        <v>-36441.232974910396</v>
      </c>
      <c r="G38" s="58">
        <v>10</v>
      </c>
      <c r="H38" s="68">
        <v>33.41317365269461</v>
      </c>
      <c r="I38" s="54">
        <v>-1019506</v>
      </c>
      <c r="J38" s="69">
        <v>-30512.097132616487</v>
      </c>
    </row>
    <row r="39" spans="1:11" x14ac:dyDescent="0.25">
      <c r="A39" s="58">
        <v>21</v>
      </c>
      <c r="B39" s="68">
        <v>30.326086956521738</v>
      </c>
      <c r="C39" s="54">
        <v>-1124143</v>
      </c>
      <c r="D39" s="69">
        <v>-37068.514695340506</v>
      </c>
      <c r="G39" s="50">
        <v>2</v>
      </c>
      <c r="H39" s="70">
        <v>33.41317365269461</v>
      </c>
      <c r="I39" s="51">
        <v>-1048073</v>
      </c>
      <c r="J39" s="71">
        <v>-31367.059318996417</v>
      </c>
      <c r="K39">
        <v>0</v>
      </c>
    </row>
    <row r="40" spans="1:11" x14ac:dyDescent="0.25">
      <c r="A40" s="58">
        <v>64</v>
      </c>
      <c r="B40" s="68">
        <v>30.326086956521738</v>
      </c>
      <c r="C40" s="54">
        <v>-1198677</v>
      </c>
      <c r="D40" s="69">
        <v>-39526.26666666667</v>
      </c>
      <c r="G40" s="58">
        <v>12</v>
      </c>
      <c r="H40" s="68">
        <v>33.41317365269461</v>
      </c>
      <c r="I40" s="54">
        <v>-1098022</v>
      </c>
      <c r="J40" s="69">
        <v>-32861.948745519716</v>
      </c>
    </row>
    <row r="41" spans="1:11" x14ac:dyDescent="0.25">
      <c r="A41" s="58">
        <v>3</v>
      </c>
      <c r="B41" s="68">
        <v>30.326086956521738</v>
      </c>
      <c r="C41" s="54">
        <v>-1231829</v>
      </c>
      <c r="D41" s="69">
        <v>-40619.450896057351</v>
      </c>
      <c r="G41" s="58">
        <v>72</v>
      </c>
      <c r="H41" s="68">
        <v>33.41317365269461</v>
      </c>
      <c r="I41" s="54">
        <v>-1168137</v>
      </c>
      <c r="J41" s="69">
        <v>-34960.372580645162</v>
      </c>
    </row>
    <row r="42" spans="1:11" x14ac:dyDescent="0.25">
      <c r="A42" s="58">
        <v>70</v>
      </c>
      <c r="B42" s="68">
        <v>30.326086956521738</v>
      </c>
      <c r="C42" s="54">
        <v>-1290356</v>
      </c>
      <c r="D42" s="69">
        <v>-42549.373476702509</v>
      </c>
      <c r="G42" s="58">
        <v>62</v>
      </c>
      <c r="H42" s="68">
        <v>33.41317365269461</v>
      </c>
      <c r="I42" s="54">
        <v>-1177761</v>
      </c>
      <c r="J42" s="69">
        <v>-35248.402688172042</v>
      </c>
    </row>
    <row r="43" spans="1:11" x14ac:dyDescent="0.25">
      <c r="A43" s="58">
        <v>65</v>
      </c>
      <c r="B43" s="68">
        <v>30.326086956521738</v>
      </c>
      <c r="C43" s="54">
        <v>-1335361</v>
      </c>
      <c r="D43" s="69">
        <v>-44033.409318996419</v>
      </c>
      <c r="G43" s="58">
        <v>19</v>
      </c>
      <c r="H43" s="68">
        <v>33.41317365269461</v>
      </c>
      <c r="I43" s="54">
        <v>-1251057</v>
      </c>
      <c r="J43" s="69">
        <v>-37442.028494623657</v>
      </c>
    </row>
    <row r="44" spans="1:11" x14ac:dyDescent="0.25">
      <c r="A44" s="58">
        <v>18</v>
      </c>
      <c r="B44" s="68">
        <v>30.326086956521738</v>
      </c>
      <c r="C44" s="54">
        <v>-1388548</v>
      </c>
      <c r="D44" s="69">
        <v>-45787.2458781362</v>
      </c>
      <c r="G44" s="58">
        <v>68</v>
      </c>
      <c r="H44" s="68">
        <v>33.41317365269461</v>
      </c>
      <c r="I44" s="54">
        <v>-1292553</v>
      </c>
      <c r="J44" s="69">
        <v>-38683.933870967739</v>
      </c>
    </row>
    <row r="45" spans="1:11" x14ac:dyDescent="0.25">
      <c r="A45" s="58">
        <v>91</v>
      </c>
      <c r="B45" s="68">
        <v>30.326086956521738</v>
      </c>
      <c r="C45" s="54">
        <v>-1477388</v>
      </c>
      <c r="D45" s="69">
        <v>-48716.736917562725</v>
      </c>
      <c r="G45" s="58">
        <v>60</v>
      </c>
      <c r="H45" s="68">
        <v>33.41317365269461</v>
      </c>
      <c r="I45" s="54">
        <v>-1363928</v>
      </c>
      <c r="J45" s="69">
        <v>-40820.067383512549</v>
      </c>
    </row>
    <row r="46" spans="1:11" x14ac:dyDescent="0.25">
      <c r="A46" s="58">
        <v>67</v>
      </c>
      <c r="B46" s="68">
        <v>30.326086956521738</v>
      </c>
      <c r="C46" s="54">
        <v>-1558535</v>
      </c>
      <c r="D46" s="69">
        <v>-51392.551971326167</v>
      </c>
      <c r="G46" s="50">
        <v>66</v>
      </c>
      <c r="H46" s="70">
        <v>33.41317365269461</v>
      </c>
      <c r="I46" s="51">
        <v>-1541082</v>
      </c>
      <c r="J46" s="71">
        <v>-46121.988172043013</v>
      </c>
      <c r="K46">
        <v>0</v>
      </c>
    </row>
    <row r="47" spans="1:11" x14ac:dyDescent="0.25">
      <c r="A47" s="58">
        <v>93</v>
      </c>
      <c r="B47" s="68">
        <v>30.326086956521738</v>
      </c>
      <c r="C47" s="54">
        <v>-1560391</v>
      </c>
      <c r="D47" s="69">
        <v>-51453.753405017924</v>
      </c>
      <c r="G47" s="58">
        <v>13</v>
      </c>
      <c r="H47" s="68">
        <v>33.41317365269461</v>
      </c>
      <c r="I47" s="54">
        <v>-1570807</v>
      </c>
      <c r="J47" s="69">
        <v>-47011.607347670251</v>
      </c>
    </row>
  </sheetData>
  <mergeCells count="2">
    <mergeCell ref="A1:D1"/>
    <mergeCell ref="G1:J1"/>
  </mergeCell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DF7946-E696-4AEC-9816-B3377F81858E}">
  <sheetPr codeName="Sheet20"/>
  <dimension ref="A1:T348"/>
  <sheetViews>
    <sheetView zoomScaleNormal="100" workbookViewId="0">
      <pane ySplit="9" topLeftCell="A10" activePane="bottomLeft" state="frozen"/>
      <selection pane="bottomLeft" activeCell="J11" sqref="J11"/>
    </sheetView>
  </sheetViews>
  <sheetFormatPr baseColWidth="10" defaultColWidth="9.140625" defaultRowHeight="15" x14ac:dyDescent="0.25"/>
  <cols>
    <col min="2" max="2" width="11.85546875" bestFit="1" customWidth="1"/>
    <col min="3" max="3" width="13.85546875" customWidth="1"/>
    <col min="4" max="4" width="14.5703125" customWidth="1"/>
    <col min="5" max="8" width="14.5703125" bestFit="1" customWidth="1"/>
    <col min="9" max="9" width="11.42578125" bestFit="1" customWidth="1"/>
    <col min="10" max="10" width="12.140625" bestFit="1" customWidth="1"/>
    <col min="12" max="12" width="11.85546875" bestFit="1" customWidth="1"/>
    <col min="13" max="13" width="13.85546875" bestFit="1" customWidth="1"/>
    <col min="14" max="14" width="12.7109375" bestFit="1" customWidth="1"/>
    <col min="15" max="15" width="8.7109375" customWidth="1"/>
    <col min="18" max="18" width="13.85546875" bestFit="1" customWidth="1"/>
    <col min="19" max="19" width="11.5703125" bestFit="1" customWidth="1"/>
    <col min="20" max="20" width="12.42578125" bestFit="1" customWidth="1"/>
    <col min="22" max="23" width="14.5703125" bestFit="1" customWidth="1"/>
    <col min="24" max="24" width="15.85546875" bestFit="1" customWidth="1"/>
    <col min="26" max="26" width="15.85546875" bestFit="1" customWidth="1"/>
  </cols>
  <sheetData>
    <row r="1" spans="1:20" ht="15.75" thickBot="1" x14ac:dyDescent="0.3">
      <c r="C1" s="1" t="s">
        <v>0</v>
      </c>
      <c r="D1" s="2" t="s">
        <v>1</v>
      </c>
      <c r="E1" s="1" t="s">
        <v>2</v>
      </c>
      <c r="F1" s="2" t="s">
        <v>3</v>
      </c>
      <c r="G1" s="63" t="s">
        <v>4</v>
      </c>
      <c r="H1" s="81" t="s">
        <v>24</v>
      </c>
      <c r="I1" s="66" t="s">
        <v>5</v>
      </c>
      <c r="J1" s="3">
        <v>368</v>
      </c>
      <c r="M1" s="1" t="s">
        <v>5</v>
      </c>
      <c r="N1" s="4" t="s">
        <v>6</v>
      </c>
      <c r="P1" t="s">
        <v>0</v>
      </c>
      <c r="Q1">
        <f>SUM(E10:E54)</f>
        <v>7.333333333333333</v>
      </c>
      <c r="R1" t="s">
        <v>2</v>
      </c>
      <c r="S1">
        <f>(M3/M2)*Q1</f>
        <v>4.8888888888888893</v>
      </c>
      <c r="T1">
        <f>S1-4</f>
        <v>0.88888888888888928</v>
      </c>
    </row>
    <row r="2" spans="1:20" ht="15.75" thickBot="1" x14ac:dyDescent="0.3">
      <c r="B2" s="5" t="s">
        <v>7</v>
      </c>
      <c r="C2" s="6">
        <f>SUMPRODUCT(C10:C118,E10:E118)</f>
        <v>4581268.666666667</v>
      </c>
      <c r="D2" s="7">
        <f>SUMPRODUCT(H10:H118,J10:J118)</f>
        <v>816679</v>
      </c>
      <c r="E2" s="6">
        <f>SUMPRODUCT(M10:M348,O10:O348)</f>
        <v>3878561.2222222225</v>
      </c>
      <c r="F2" s="7">
        <f>SUMPRODUCT(R10:R348,T10:T348)</f>
        <v>2348994</v>
      </c>
      <c r="G2" s="64">
        <f>C2+D2+E2+F2</f>
        <v>11625502.88888889</v>
      </c>
      <c r="H2" s="82">
        <v>24786935</v>
      </c>
      <c r="I2" s="67" t="s">
        <v>6</v>
      </c>
      <c r="J2" s="8">
        <v>334</v>
      </c>
      <c r="L2" s="5" t="s">
        <v>8</v>
      </c>
      <c r="M2" s="9">
        <v>0.6</v>
      </c>
      <c r="N2" s="10">
        <v>0.25</v>
      </c>
      <c r="P2" t="s">
        <v>3</v>
      </c>
      <c r="Q2">
        <f>SUM(T10:T64)</f>
        <v>3</v>
      </c>
      <c r="R2" t="s">
        <v>1</v>
      </c>
      <c r="S2">
        <f>(N2/N3)*Q2</f>
        <v>1</v>
      </c>
      <c r="T2">
        <f>S2-1</f>
        <v>0</v>
      </c>
    </row>
    <row r="3" spans="1:20" ht="15.75" thickBot="1" x14ac:dyDescent="0.3">
      <c r="B3" s="11" t="s">
        <v>9</v>
      </c>
      <c r="C3" s="12">
        <f>SUMPRODUCT(B10:B118,E10:E118)</f>
        <v>222.39130434782609</v>
      </c>
      <c r="D3" s="13">
        <f>SUMPRODUCT(G10:G118,J10:J118)</f>
        <v>33.41317365269461</v>
      </c>
      <c r="E3" s="12">
        <f>SUMPRODUCT(L10:L348,O10:O348)</f>
        <v>148.2608695652174</v>
      </c>
      <c r="F3" s="13">
        <f>SUMPRODUCT(Q10:Q348,T10:T348)</f>
        <v>100.23952095808383</v>
      </c>
      <c r="G3" s="65">
        <f>SUM(C3:F3)</f>
        <v>504.30486852382194</v>
      </c>
      <c r="H3" s="80">
        <f>(H2-G2)/G2</f>
        <v>1.1321172285536301</v>
      </c>
      <c r="I3" s="67" t="s">
        <v>10</v>
      </c>
      <c r="J3" s="8">
        <f>11160</f>
        <v>11160</v>
      </c>
      <c r="L3" s="14" t="s">
        <v>11</v>
      </c>
      <c r="M3" s="15">
        <v>0.4</v>
      </c>
      <c r="N3" s="16">
        <v>0.75</v>
      </c>
      <c r="P3" t="s">
        <v>0</v>
      </c>
      <c r="Q3">
        <v>1</v>
      </c>
      <c r="R3" t="s">
        <v>2</v>
      </c>
      <c r="S3">
        <f>(M3/M2)*Q3</f>
        <v>0.66666666666666674</v>
      </c>
    </row>
    <row r="4" spans="1:20" ht="15.75" thickBot="1" x14ac:dyDescent="0.3">
      <c r="B4" s="14" t="s">
        <v>12</v>
      </c>
      <c r="C4" s="17">
        <f>SUM(E10:E118)*J3</f>
        <v>81840</v>
      </c>
      <c r="D4" s="18">
        <f>SUM(J10:J118)*J3</f>
        <v>11160</v>
      </c>
      <c r="E4" s="17">
        <f>SUM(O10:O348)*J3</f>
        <v>54560.000000000007</v>
      </c>
      <c r="F4" s="18">
        <f>SUM(T10:T348)*J3</f>
        <v>33480</v>
      </c>
      <c r="G4" s="19">
        <f>SUM(C4:F4)</f>
        <v>181040</v>
      </c>
      <c r="H4" s="20"/>
      <c r="I4" s="21" t="s">
        <v>13</v>
      </c>
      <c r="J4" s="22">
        <v>100000</v>
      </c>
      <c r="L4" s="5" t="s">
        <v>14</v>
      </c>
      <c r="M4" s="76">
        <f>C4/(C4+E4)</f>
        <v>0.6</v>
      </c>
      <c r="N4" s="77">
        <f>D4/(D4+F4)</f>
        <v>0.25</v>
      </c>
      <c r="O4" s="23"/>
      <c r="P4" t="s">
        <v>3</v>
      </c>
      <c r="Q4">
        <v>1</v>
      </c>
      <c r="R4" t="s">
        <v>1</v>
      </c>
      <c r="S4">
        <f>(N2/N3)*Q4</f>
        <v>0.33333333333333331</v>
      </c>
    </row>
    <row r="5" spans="1:20" ht="15.75" thickBot="1" x14ac:dyDescent="0.3">
      <c r="B5" s="24" t="s">
        <v>15</v>
      </c>
      <c r="C5" s="25">
        <v>217620</v>
      </c>
      <c r="D5" s="26">
        <v>74400</v>
      </c>
      <c r="E5" s="27">
        <v>145080</v>
      </c>
      <c r="F5" s="26">
        <v>223200</v>
      </c>
      <c r="G5" s="28">
        <f>SUM(C5:F5)</f>
        <v>660300</v>
      </c>
      <c r="H5" s="20"/>
      <c r="I5" s="20"/>
      <c r="L5" s="29" t="s">
        <v>16</v>
      </c>
      <c r="M5" s="78">
        <f>E4/(C4+E4)</f>
        <v>0.40000000000000008</v>
      </c>
      <c r="N5" s="79">
        <f>F4/(D4+F4)</f>
        <v>0.75</v>
      </c>
      <c r="O5" s="23"/>
      <c r="P5" t="s">
        <v>0</v>
      </c>
      <c r="Q5">
        <v>13629.915412186379</v>
      </c>
      <c r="R5" t="s">
        <v>2</v>
      </c>
      <c r="S5">
        <v>24384.682437275987</v>
      </c>
      <c r="T5">
        <f>Q5*Q3+S5*S3</f>
        <v>29886.370370370372</v>
      </c>
    </row>
    <row r="6" spans="1:20" ht="15.75" thickBot="1" x14ac:dyDescent="0.3">
      <c r="B6" s="24" t="s">
        <v>17</v>
      </c>
      <c r="C6" s="27">
        <f>C5-C4</f>
        <v>135780</v>
      </c>
      <c r="D6" s="30">
        <f>D5-D4</f>
        <v>63240</v>
      </c>
      <c r="E6" s="27">
        <f>E5-E4</f>
        <v>90520</v>
      </c>
      <c r="F6" s="30">
        <f>F5-F4</f>
        <v>189720</v>
      </c>
      <c r="H6" s="20">
        <v>11610446.222222222</v>
      </c>
      <c r="I6" s="20"/>
      <c r="J6" s="62"/>
      <c r="N6" s="23"/>
      <c r="O6" s="23"/>
      <c r="P6" t="s">
        <v>3</v>
      </c>
      <c r="Q6">
        <v>21214.327240143371</v>
      </c>
      <c r="R6" t="s">
        <v>1</v>
      </c>
      <c r="S6">
        <v>19076.278315412186</v>
      </c>
      <c r="T6">
        <f>Q6*Q4+S6*S4</f>
        <v>27573.086678614098</v>
      </c>
    </row>
    <row r="7" spans="1:20" ht="15.75" thickBot="1" x14ac:dyDescent="0.3"/>
    <row r="8" spans="1:20" ht="15.75" thickBot="1" x14ac:dyDescent="0.3">
      <c r="A8" s="113" t="s">
        <v>18</v>
      </c>
      <c r="B8" s="114"/>
      <c r="C8" s="114"/>
      <c r="D8" s="115"/>
      <c r="E8" s="31"/>
      <c r="F8" s="113" t="s">
        <v>19</v>
      </c>
      <c r="G8" s="114"/>
      <c r="H8" s="114"/>
      <c r="I8" s="115"/>
      <c r="J8" s="31"/>
      <c r="K8" s="113" t="s">
        <v>20</v>
      </c>
      <c r="L8" s="114"/>
      <c r="M8" s="114"/>
      <c r="N8" s="115"/>
      <c r="O8" s="31"/>
      <c r="P8" s="113" t="s">
        <v>21</v>
      </c>
      <c r="Q8" s="114"/>
      <c r="R8" s="114"/>
      <c r="S8" s="115"/>
    </row>
    <row r="9" spans="1:20" ht="15.75" thickBot="1" x14ac:dyDescent="0.3">
      <c r="A9" s="32" t="s">
        <v>22</v>
      </c>
      <c r="B9" s="33" t="s">
        <v>9</v>
      </c>
      <c r="C9" s="33" t="s">
        <v>7</v>
      </c>
      <c r="D9" s="34" t="s">
        <v>23</v>
      </c>
      <c r="E9" s="31"/>
      <c r="F9" s="32" t="s">
        <v>22</v>
      </c>
      <c r="G9" s="33" t="s">
        <v>9</v>
      </c>
      <c r="H9" s="33" t="s">
        <v>7</v>
      </c>
      <c r="I9" s="34" t="s">
        <v>23</v>
      </c>
      <c r="J9" s="31"/>
      <c r="K9" s="32" t="s">
        <v>22</v>
      </c>
      <c r="L9" s="33" t="s">
        <v>9</v>
      </c>
      <c r="M9" s="33" t="s">
        <v>7</v>
      </c>
      <c r="N9" s="34" t="s">
        <v>23</v>
      </c>
      <c r="O9" s="31"/>
      <c r="P9" s="35" t="s">
        <v>22</v>
      </c>
      <c r="Q9" s="36" t="s">
        <v>9</v>
      </c>
      <c r="R9" s="36" t="s">
        <v>7</v>
      </c>
      <c r="S9" s="37" t="s">
        <v>23</v>
      </c>
    </row>
    <row r="10" spans="1:20" x14ac:dyDescent="0.25">
      <c r="A10" s="38">
        <v>15</v>
      </c>
      <c r="B10" s="39">
        <f>$J$3/$J$1</f>
        <v>30.326086956521738</v>
      </c>
      <c r="C10" s="40">
        <v>823261</v>
      </c>
      <c r="D10" s="41">
        <f>C10/B10</f>
        <v>27146.957706093192</v>
      </c>
      <c r="E10">
        <v>1</v>
      </c>
      <c r="F10" s="74">
        <v>9</v>
      </c>
      <c r="G10" s="70">
        <f>$J$3/$J$2</f>
        <v>33.41317365269461</v>
      </c>
      <c r="H10" s="75">
        <v>839159</v>
      </c>
      <c r="I10" s="71">
        <f>H10/G10</f>
        <v>25114.615232974909</v>
      </c>
      <c r="J10">
        <v>0</v>
      </c>
      <c r="K10" s="38">
        <v>99</v>
      </c>
      <c r="L10" s="39">
        <f>$J$3/$J$1</f>
        <v>30.326086956521738</v>
      </c>
      <c r="M10" s="40">
        <v>891762</v>
      </c>
      <c r="N10" s="41">
        <f>M10/L10</f>
        <v>29405.772043010755</v>
      </c>
      <c r="O10">
        <v>1</v>
      </c>
      <c r="P10" s="42">
        <v>31</v>
      </c>
      <c r="Q10" s="43">
        <f>$J$3/$J$2</f>
        <v>33.41317365269461</v>
      </c>
      <c r="R10" s="44">
        <v>828146</v>
      </c>
      <c r="S10" s="45">
        <f>R10/Q10</f>
        <v>24785.014695340502</v>
      </c>
      <c r="T10">
        <v>1</v>
      </c>
    </row>
    <row r="11" spans="1:20" x14ac:dyDescent="0.25">
      <c r="A11" s="46">
        <v>4</v>
      </c>
      <c r="B11" s="39">
        <f t="shared" ref="B11:B54" si="0">$J$3/$J$1</f>
        <v>30.326086956521738</v>
      </c>
      <c r="C11" s="47">
        <v>748702</v>
      </c>
      <c r="D11" s="41">
        <f t="shared" ref="D11:D54" si="1">C11/B11</f>
        <v>24688.381362007171</v>
      </c>
      <c r="E11">
        <v>1</v>
      </c>
      <c r="F11" s="48">
        <v>1</v>
      </c>
      <c r="G11" s="43">
        <f t="shared" ref="G11:G54" si="2">$J$3/$J$2</f>
        <v>33.41317365269461</v>
      </c>
      <c r="H11" s="49">
        <v>816679</v>
      </c>
      <c r="I11" s="45">
        <f t="shared" ref="I11:I54" si="3">H11/G11</f>
        <v>24441.826702508963</v>
      </c>
      <c r="J11">
        <v>1</v>
      </c>
      <c r="K11" s="46">
        <v>22</v>
      </c>
      <c r="L11" s="39">
        <f t="shared" ref="L11:L64" si="4">$J$3/$J$1</f>
        <v>30.326086956521738</v>
      </c>
      <c r="M11" s="47">
        <v>787867</v>
      </c>
      <c r="N11" s="41">
        <f t="shared" ref="N11:N64" si="5">M11/L11</f>
        <v>25979.843727598567</v>
      </c>
      <c r="O11">
        <v>1</v>
      </c>
      <c r="P11" s="48">
        <v>95</v>
      </c>
      <c r="Q11" s="43">
        <f t="shared" ref="Q11:Q64" si="6">$J$3/$J$2</f>
        <v>33.41317365269461</v>
      </c>
      <c r="R11" s="49">
        <v>778683</v>
      </c>
      <c r="S11" s="45">
        <f t="shared" ref="S11:S64" si="7">R11/Q11</f>
        <v>23304.670430107526</v>
      </c>
      <c r="T11">
        <v>1</v>
      </c>
    </row>
    <row r="12" spans="1:20" x14ac:dyDescent="0.25">
      <c r="A12" s="46">
        <v>75</v>
      </c>
      <c r="B12" s="39">
        <f t="shared" si="0"/>
        <v>30.326086956521738</v>
      </c>
      <c r="C12" s="47">
        <v>700923</v>
      </c>
      <c r="D12" s="41">
        <f t="shared" si="1"/>
        <v>23112.873118279571</v>
      </c>
      <c r="E12">
        <v>1</v>
      </c>
      <c r="F12" s="58">
        <v>3</v>
      </c>
      <c r="G12" s="68">
        <f t="shared" si="2"/>
        <v>33.41317365269461</v>
      </c>
      <c r="H12" s="54">
        <v>637399</v>
      </c>
      <c r="I12" s="69">
        <f t="shared" si="3"/>
        <v>19076.278315412186</v>
      </c>
      <c r="K12" s="46">
        <v>83</v>
      </c>
      <c r="L12" s="39">
        <f t="shared" si="4"/>
        <v>30.326086956521738</v>
      </c>
      <c r="M12" s="47">
        <v>776669</v>
      </c>
      <c r="N12" s="41">
        <f t="shared" si="5"/>
        <v>25610.590681003585</v>
      </c>
      <c r="O12">
        <v>1</v>
      </c>
      <c r="P12" s="48">
        <v>32</v>
      </c>
      <c r="Q12" s="43">
        <f t="shared" si="6"/>
        <v>33.41317365269461</v>
      </c>
      <c r="R12" s="49">
        <v>742165</v>
      </c>
      <c r="S12" s="45">
        <f t="shared" si="7"/>
        <v>22211.748207885306</v>
      </c>
      <c r="T12">
        <v>1</v>
      </c>
    </row>
    <row r="13" spans="1:20" x14ac:dyDescent="0.25">
      <c r="A13" s="46">
        <v>61</v>
      </c>
      <c r="B13" s="39">
        <f t="shared" si="0"/>
        <v>30.326086956521738</v>
      </c>
      <c r="C13" s="47">
        <v>594344</v>
      </c>
      <c r="D13" s="41">
        <f t="shared" si="1"/>
        <v>19598.440143369175</v>
      </c>
      <c r="E13">
        <v>1</v>
      </c>
      <c r="F13" s="58">
        <v>89</v>
      </c>
      <c r="G13" s="68">
        <f t="shared" si="2"/>
        <v>33.41317365269461</v>
      </c>
      <c r="H13" s="54">
        <v>626952</v>
      </c>
      <c r="I13" s="69">
        <f t="shared" si="3"/>
        <v>18763.617204301077</v>
      </c>
      <c r="K13" s="46">
        <v>57</v>
      </c>
      <c r="L13" s="39">
        <f t="shared" si="4"/>
        <v>30.326086956521738</v>
      </c>
      <c r="M13" s="47">
        <v>764937</v>
      </c>
      <c r="N13" s="41">
        <f t="shared" si="5"/>
        <v>25223.729032258067</v>
      </c>
      <c r="O13">
        <v>1</v>
      </c>
      <c r="P13" s="58">
        <v>86</v>
      </c>
      <c r="Q13" s="68">
        <f t="shared" si="6"/>
        <v>33.41317365269461</v>
      </c>
      <c r="R13" s="54">
        <v>708838</v>
      </c>
      <c r="S13" s="69">
        <f t="shared" si="7"/>
        <v>21214.327240143371</v>
      </c>
    </row>
    <row r="14" spans="1:20" x14ac:dyDescent="0.25">
      <c r="A14" s="46">
        <v>2</v>
      </c>
      <c r="B14" s="39">
        <f t="shared" si="0"/>
        <v>30.326086956521738</v>
      </c>
      <c r="C14" s="47">
        <v>573963</v>
      </c>
      <c r="D14" s="41">
        <f t="shared" si="1"/>
        <v>18926.378494623656</v>
      </c>
      <c r="E14">
        <v>1</v>
      </c>
      <c r="F14" s="58">
        <v>74</v>
      </c>
      <c r="G14" s="68">
        <f t="shared" si="2"/>
        <v>33.41317365269461</v>
      </c>
      <c r="H14" s="54">
        <v>528188</v>
      </c>
      <c r="I14" s="69">
        <f t="shared" si="3"/>
        <v>15807.7770609319</v>
      </c>
      <c r="K14" s="52">
        <v>33</v>
      </c>
      <c r="L14" s="72">
        <f t="shared" si="4"/>
        <v>30.326086956521738</v>
      </c>
      <c r="M14" s="53">
        <v>739492</v>
      </c>
      <c r="N14" s="73">
        <f t="shared" si="5"/>
        <v>24384.682437275987</v>
      </c>
      <c r="O14">
        <v>0.88888888888888928</v>
      </c>
      <c r="P14" s="58">
        <v>44</v>
      </c>
      <c r="Q14" s="68">
        <f t="shared" si="6"/>
        <v>33.41317365269461</v>
      </c>
      <c r="R14" s="54">
        <v>644475</v>
      </c>
      <c r="S14" s="69">
        <f t="shared" si="7"/>
        <v>19288.051075268817</v>
      </c>
    </row>
    <row r="15" spans="1:20" x14ac:dyDescent="0.25">
      <c r="A15" s="46">
        <v>66</v>
      </c>
      <c r="B15" s="39">
        <f t="shared" si="0"/>
        <v>30.326086956521738</v>
      </c>
      <c r="C15" s="47">
        <v>543888</v>
      </c>
      <c r="D15" s="41">
        <f t="shared" si="1"/>
        <v>17934.65806451613</v>
      </c>
      <c r="E15">
        <v>1</v>
      </c>
      <c r="F15" s="58">
        <v>7</v>
      </c>
      <c r="G15" s="68">
        <f t="shared" si="2"/>
        <v>33.41317365269461</v>
      </c>
      <c r="H15" s="54">
        <v>517706</v>
      </c>
      <c r="I15" s="69">
        <f t="shared" si="3"/>
        <v>15494.068458781363</v>
      </c>
      <c r="K15" s="58">
        <v>34</v>
      </c>
      <c r="L15" s="68">
        <f t="shared" si="4"/>
        <v>30.326086956521738</v>
      </c>
      <c r="M15" s="54">
        <v>706466</v>
      </c>
      <c r="N15" s="69">
        <f t="shared" si="5"/>
        <v>23295.653046594984</v>
      </c>
      <c r="P15" s="58">
        <v>43</v>
      </c>
      <c r="Q15" s="68">
        <f t="shared" si="6"/>
        <v>33.41317365269461</v>
      </c>
      <c r="R15" s="54">
        <v>600711</v>
      </c>
      <c r="S15" s="69">
        <f t="shared" si="7"/>
        <v>17978.268279569893</v>
      </c>
    </row>
    <row r="16" spans="1:20" x14ac:dyDescent="0.25">
      <c r="A16" s="46">
        <v>9</v>
      </c>
      <c r="B16" s="39">
        <f t="shared" si="0"/>
        <v>30.326086956521738</v>
      </c>
      <c r="C16" s="47">
        <v>458407</v>
      </c>
      <c r="D16" s="41">
        <f t="shared" si="1"/>
        <v>15115.929749103943</v>
      </c>
      <c r="E16">
        <v>1</v>
      </c>
      <c r="F16" s="58">
        <v>16</v>
      </c>
      <c r="G16" s="68">
        <f t="shared" si="2"/>
        <v>33.41317365269461</v>
      </c>
      <c r="H16" s="54">
        <v>471825</v>
      </c>
      <c r="I16" s="69">
        <f t="shared" si="3"/>
        <v>14120.927419354839</v>
      </c>
      <c r="K16" s="58">
        <v>54</v>
      </c>
      <c r="L16" s="68">
        <f t="shared" si="4"/>
        <v>30.326086956521738</v>
      </c>
      <c r="M16" s="54">
        <v>704680</v>
      </c>
      <c r="N16" s="69">
        <f t="shared" si="5"/>
        <v>23236.759856630826</v>
      </c>
      <c r="P16" s="58">
        <v>54</v>
      </c>
      <c r="Q16" s="68">
        <f t="shared" si="6"/>
        <v>33.41317365269461</v>
      </c>
      <c r="R16" s="54">
        <v>600526</v>
      </c>
      <c r="S16" s="69">
        <f t="shared" si="7"/>
        <v>17972.73154121864</v>
      </c>
    </row>
    <row r="17" spans="1:20" x14ac:dyDescent="0.25">
      <c r="A17" s="52">
        <v>6</v>
      </c>
      <c r="B17" s="72">
        <f t="shared" si="0"/>
        <v>30.326086956521738</v>
      </c>
      <c r="C17" s="53">
        <v>413342</v>
      </c>
      <c r="D17" s="73">
        <f t="shared" si="1"/>
        <v>13629.915412186379</v>
      </c>
      <c r="E17">
        <v>0.33333333333333337</v>
      </c>
      <c r="F17" s="58">
        <v>20</v>
      </c>
      <c r="G17" s="68">
        <f t="shared" si="2"/>
        <v>33.41317365269461</v>
      </c>
      <c r="H17" s="54">
        <v>465526</v>
      </c>
      <c r="I17" s="69">
        <f t="shared" si="3"/>
        <v>13932.408960573477</v>
      </c>
      <c r="K17" s="58">
        <v>46</v>
      </c>
      <c r="L17" s="68">
        <f t="shared" si="4"/>
        <v>30.326086956521738</v>
      </c>
      <c r="M17" s="54">
        <v>647685</v>
      </c>
      <c r="N17" s="69">
        <f t="shared" si="5"/>
        <v>21357.354838709678</v>
      </c>
      <c r="P17" s="52">
        <v>33</v>
      </c>
      <c r="Q17" s="72">
        <f t="shared" si="6"/>
        <v>33.41317365269461</v>
      </c>
      <c r="R17" s="53">
        <v>533105</v>
      </c>
      <c r="S17" s="73">
        <f t="shared" si="7"/>
        <v>15954.934587813621</v>
      </c>
      <c r="T17">
        <v>0</v>
      </c>
    </row>
    <row r="18" spans="1:20" x14ac:dyDescent="0.25">
      <c r="A18" s="58">
        <v>90</v>
      </c>
      <c r="B18" s="68">
        <f t="shared" si="0"/>
        <v>30.326086956521738</v>
      </c>
      <c r="C18" s="54">
        <v>390167</v>
      </c>
      <c r="D18" s="69">
        <f t="shared" si="1"/>
        <v>12865.721863799283</v>
      </c>
      <c r="F18" s="58">
        <v>71</v>
      </c>
      <c r="G18" s="68">
        <f t="shared" si="2"/>
        <v>33.41317365269461</v>
      </c>
      <c r="H18" s="54">
        <v>459240</v>
      </c>
      <c r="I18" s="69">
        <f t="shared" si="3"/>
        <v>13744.279569892473</v>
      </c>
      <c r="K18" s="58">
        <v>35</v>
      </c>
      <c r="L18" s="68">
        <f t="shared" si="4"/>
        <v>30.326086956521738</v>
      </c>
      <c r="M18" s="54">
        <v>520964</v>
      </c>
      <c r="N18" s="69">
        <f t="shared" si="5"/>
        <v>17178.741218637992</v>
      </c>
      <c r="P18" s="58">
        <v>29</v>
      </c>
      <c r="Q18" s="68">
        <f t="shared" si="6"/>
        <v>33.41317365269461</v>
      </c>
      <c r="R18" s="54">
        <v>466819</v>
      </c>
      <c r="S18" s="69">
        <f t="shared" si="7"/>
        <v>13971.106272401434</v>
      </c>
    </row>
    <row r="19" spans="1:20" x14ac:dyDescent="0.25">
      <c r="A19" s="58">
        <v>10</v>
      </c>
      <c r="B19" s="68">
        <f t="shared" si="0"/>
        <v>30.326086956521738</v>
      </c>
      <c r="C19" s="54">
        <v>374487</v>
      </c>
      <c r="D19" s="69">
        <f t="shared" si="1"/>
        <v>12348.675268817206</v>
      </c>
      <c r="F19" s="58">
        <v>73</v>
      </c>
      <c r="G19" s="68">
        <f t="shared" si="2"/>
        <v>33.41317365269461</v>
      </c>
      <c r="H19" s="54">
        <v>435675</v>
      </c>
      <c r="I19" s="69">
        <f t="shared" si="3"/>
        <v>13039.018817204302</v>
      </c>
      <c r="K19" s="58">
        <v>28</v>
      </c>
      <c r="L19" s="68">
        <f t="shared" si="4"/>
        <v>30.326086956521738</v>
      </c>
      <c r="M19" s="54">
        <v>485282</v>
      </c>
      <c r="N19" s="69">
        <f t="shared" si="5"/>
        <v>16002.130465949822</v>
      </c>
      <c r="P19" s="58">
        <v>39</v>
      </c>
      <c r="Q19" s="68">
        <f t="shared" si="6"/>
        <v>33.41317365269461</v>
      </c>
      <c r="R19" s="54">
        <v>443533</v>
      </c>
      <c r="S19" s="69">
        <f t="shared" si="7"/>
        <v>13274.195519713261</v>
      </c>
    </row>
    <row r="20" spans="1:20" x14ac:dyDescent="0.25">
      <c r="A20" s="58">
        <v>72</v>
      </c>
      <c r="B20" s="68">
        <f t="shared" si="0"/>
        <v>30.326086956521738</v>
      </c>
      <c r="C20" s="54">
        <v>339217</v>
      </c>
      <c r="D20" s="69">
        <f t="shared" si="1"/>
        <v>11185.65017921147</v>
      </c>
      <c r="F20" s="50">
        <v>4</v>
      </c>
      <c r="G20" s="70">
        <f t="shared" si="2"/>
        <v>33.41317365269461</v>
      </c>
      <c r="H20" s="51">
        <v>435251</v>
      </c>
      <c r="I20" s="71">
        <f t="shared" si="3"/>
        <v>13026.329211469534</v>
      </c>
      <c r="J20">
        <v>0</v>
      </c>
      <c r="K20" s="58">
        <v>25</v>
      </c>
      <c r="L20" s="68">
        <f t="shared" si="4"/>
        <v>30.326086956521738</v>
      </c>
      <c r="M20" s="54">
        <v>428682</v>
      </c>
      <c r="N20" s="69">
        <f t="shared" si="5"/>
        <v>14135.750537634409</v>
      </c>
      <c r="P20" s="58">
        <v>85</v>
      </c>
      <c r="Q20" s="68">
        <f t="shared" si="6"/>
        <v>33.41317365269461</v>
      </c>
      <c r="R20" s="54">
        <v>400656</v>
      </c>
      <c r="S20" s="69">
        <f t="shared" si="7"/>
        <v>11990.959139784947</v>
      </c>
    </row>
    <row r="21" spans="1:20" x14ac:dyDescent="0.25">
      <c r="A21" s="58">
        <v>63</v>
      </c>
      <c r="B21" s="68">
        <f t="shared" si="0"/>
        <v>30.326086956521738</v>
      </c>
      <c r="C21" s="54">
        <v>148379</v>
      </c>
      <c r="D21" s="69">
        <f t="shared" si="1"/>
        <v>4892.7842293906815</v>
      </c>
      <c r="F21" s="58">
        <v>58</v>
      </c>
      <c r="G21" s="68">
        <f t="shared" si="2"/>
        <v>33.41317365269461</v>
      </c>
      <c r="H21" s="54">
        <v>425212</v>
      </c>
      <c r="I21" s="69">
        <f t="shared" si="3"/>
        <v>12725.878853046595</v>
      </c>
      <c r="K21" s="58">
        <v>53</v>
      </c>
      <c r="L21" s="68">
        <f t="shared" si="4"/>
        <v>30.326086956521738</v>
      </c>
      <c r="M21" s="54">
        <v>427876</v>
      </c>
      <c r="N21" s="69">
        <f t="shared" si="5"/>
        <v>14109.17275985663</v>
      </c>
      <c r="P21" s="58">
        <v>51</v>
      </c>
      <c r="Q21" s="68">
        <f t="shared" si="6"/>
        <v>33.41317365269461</v>
      </c>
      <c r="R21" s="54">
        <v>295735</v>
      </c>
      <c r="S21" s="69">
        <f t="shared" si="7"/>
        <v>8850.8503584229402</v>
      </c>
    </row>
    <row r="22" spans="1:20" x14ac:dyDescent="0.25">
      <c r="A22" s="58">
        <v>5</v>
      </c>
      <c r="B22" s="68">
        <f t="shared" si="0"/>
        <v>30.326086956521738</v>
      </c>
      <c r="C22" s="54">
        <v>135603</v>
      </c>
      <c r="D22" s="69">
        <f t="shared" si="1"/>
        <v>4471.4967741935488</v>
      </c>
      <c r="F22" s="58">
        <v>69</v>
      </c>
      <c r="G22" s="68">
        <f t="shared" si="2"/>
        <v>33.41317365269461</v>
      </c>
      <c r="H22" s="54">
        <v>301059</v>
      </c>
      <c r="I22" s="69">
        <f t="shared" si="3"/>
        <v>9010.188709677419</v>
      </c>
      <c r="K22" s="58">
        <v>30</v>
      </c>
      <c r="L22" s="68">
        <f t="shared" si="4"/>
        <v>30.326086956521738</v>
      </c>
      <c r="M22" s="54">
        <v>412457</v>
      </c>
      <c r="N22" s="69">
        <f t="shared" si="5"/>
        <v>13600.732616487456</v>
      </c>
      <c r="P22" s="58">
        <v>84</v>
      </c>
      <c r="Q22" s="68">
        <f t="shared" si="6"/>
        <v>33.41317365269461</v>
      </c>
      <c r="R22" s="54">
        <v>277116</v>
      </c>
      <c r="S22" s="69">
        <f t="shared" si="7"/>
        <v>8293.6150537634403</v>
      </c>
    </row>
    <row r="23" spans="1:20" x14ac:dyDescent="0.25">
      <c r="A23" s="58">
        <v>89</v>
      </c>
      <c r="B23" s="68">
        <f t="shared" si="0"/>
        <v>30.326086956521738</v>
      </c>
      <c r="C23" s="54">
        <v>43767</v>
      </c>
      <c r="D23" s="69">
        <f t="shared" si="1"/>
        <v>1443.2129032258065</v>
      </c>
      <c r="F23" s="58">
        <v>91</v>
      </c>
      <c r="G23" s="68">
        <f t="shared" si="2"/>
        <v>33.41317365269461</v>
      </c>
      <c r="H23" s="54">
        <v>248437</v>
      </c>
      <c r="I23" s="69">
        <f t="shared" si="3"/>
        <v>7435.3008960573479</v>
      </c>
      <c r="K23" s="58">
        <v>45</v>
      </c>
      <c r="L23" s="68">
        <f t="shared" si="4"/>
        <v>30.326086956521738</v>
      </c>
      <c r="M23" s="54">
        <v>411553</v>
      </c>
      <c r="N23" s="69">
        <f t="shared" si="5"/>
        <v>13570.923297491039</v>
      </c>
      <c r="P23" s="58">
        <v>100</v>
      </c>
      <c r="Q23" s="68">
        <f t="shared" si="6"/>
        <v>33.41317365269461</v>
      </c>
      <c r="R23" s="54">
        <v>196154</v>
      </c>
      <c r="S23" s="69">
        <f t="shared" si="7"/>
        <v>5870.5587813620077</v>
      </c>
    </row>
    <row r="24" spans="1:20" x14ac:dyDescent="0.25">
      <c r="A24" s="58">
        <v>8</v>
      </c>
      <c r="B24" s="68">
        <f t="shared" si="0"/>
        <v>30.326086956521738</v>
      </c>
      <c r="C24" s="54">
        <v>-31569</v>
      </c>
      <c r="D24" s="69">
        <f t="shared" si="1"/>
        <v>-1040.9849462365592</v>
      </c>
      <c r="F24" s="50">
        <v>75</v>
      </c>
      <c r="G24" s="70">
        <f t="shared" si="2"/>
        <v>33.41317365269461</v>
      </c>
      <c r="H24" s="51">
        <v>241104</v>
      </c>
      <c r="I24" s="71">
        <f t="shared" si="3"/>
        <v>7215.8365591397851</v>
      </c>
      <c r="J24">
        <v>0</v>
      </c>
      <c r="K24" s="58">
        <v>43</v>
      </c>
      <c r="L24" s="68">
        <f t="shared" si="4"/>
        <v>30.326086956521738</v>
      </c>
      <c r="M24" s="54">
        <v>287718</v>
      </c>
      <c r="N24" s="69">
        <f t="shared" si="5"/>
        <v>9487.4752688172048</v>
      </c>
      <c r="P24" s="58">
        <v>56</v>
      </c>
      <c r="Q24" s="68">
        <f t="shared" si="6"/>
        <v>33.41317365269461</v>
      </c>
      <c r="R24" s="54">
        <v>175558</v>
      </c>
      <c r="S24" s="69">
        <f t="shared" si="7"/>
        <v>5254.1551971326162</v>
      </c>
    </row>
    <row r="25" spans="1:20" x14ac:dyDescent="0.25">
      <c r="A25" s="58">
        <v>62</v>
      </c>
      <c r="B25" s="68">
        <f t="shared" si="0"/>
        <v>30.326086956521738</v>
      </c>
      <c r="C25" s="54">
        <v>-50310</v>
      </c>
      <c r="D25" s="69">
        <f t="shared" si="1"/>
        <v>-1658.9677419354839</v>
      </c>
      <c r="F25" s="58">
        <v>21</v>
      </c>
      <c r="G25" s="68">
        <f t="shared" si="2"/>
        <v>33.41317365269461</v>
      </c>
      <c r="H25" s="54">
        <v>182068</v>
      </c>
      <c r="I25" s="69">
        <f t="shared" si="3"/>
        <v>5448.9885304659501</v>
      </c>
      <c r="K25" s="58">
        <v>47</v>
      </c>
      <c r="L25" s="68">
        <f t="shared" si="4"/>
        <v>30.326086956521738</v>
      </c>
      <c r="M25" s="54">
        <v>244892</v>
      </c>
      <c r="N25" s="69">
        <f t="shared" si="5"/>
        <v>8075.2917562724015</v>
      </c>
      <c r="P25" s="58">
        <v>24</v>
      </c>
      <c r="Q25" s="68">
        <f t="shared" si="6"/>
        <v>33.41317365269461</v>
      </c>
      <c r="R25" s="54">
        <v>71007</v>
      </c>
      <c r="S25" s="69">
        <f t="shared" si="7"/>
        <v>2125.1198924731184</v>
      </c>
    </row>
    <row r="26" spans="1:20" x14ac:dyDescent="0.25">
      <c r="A26" s="58">
        <v>20</v>
      </c>
      <c r="B26" s="68">
        <f t="shared" si="0"/>
        <v>30.326086956521738</v>
      </c>
      <c r="C26" s="54">
        <v>-55320</v>
      </c>
      <c r="D26" s="69">
        <f t="shared" si="1"/>
        <v>-1824.1720430107528</v>
      </c>
      <c r="F26" s="58">
        <v>59</v>
      </c>
      <c r="G26" s="68">
        <f t="shared" si="2"/>
        <v>33.41317365269461</v>
      </c>
      <c r="H26" s="54">
        <v>167225</v>
      </c>
      <c r="I26" s="69">
        <f t="shared" si="3"/>
        <v>5004.7625448028675</v>
      </c>
      <c r="K26" s="58">
        <v>27</v>
      </c>
      <c r="L26" s="68">
        <f t="shared" si="4"/>
        <v>30.326086956521738</v>
      </c>
      <c r="M26" s="54">
        <v>217246</v>
      </c>
      <c r="N26" s="69">
        <f t="shared" si="5"/>
        <v>7163.6673835125448</v>
      </c>
      <c r="P26" s="58">
        <v>94</v>
      </c>
      <c r="Q26" s="68">
        <f t="shared" si="6"/>
        <v>33.41317365269461</v>
      </c>
      <c r="R26" s="54">
        <v>48569</v>
      </c>
      <c r="S26" s="69">
        <f t="shared" si="7"/>
        <v>1453.5883512544804</v>
      </c>
    </row>
    <row r="27" spans="1:20" x14ac:dyDescent="0.25">
      <c r="A27" s="58">
        <v>14</v>
      </c>
      <c r="B27" s="68">
        <f t="shared" si="0"/>
        <v>30.326086956521738</v>
      </c>
      <c r="C27" s="54">
        <v>-99929</v>
      </c>
      <c r="D27" s="69">
        <f t="shared" si="1"/>
        <v>-3295.1498207885306</v>
      </c>
      <c r="F27" s="58">
        <v>63</v>
      </c>
      <c r="G27" s="68">
        <f t="shared" si="2"/>
        <v>33.41317365269461</v>
      </c>
      <c r="H27" s="54">
        <v>-59023</v>
      </c>
      <c r="I27" s="69">
        <f t="shared" si="3"/>
        <v>-1766.4589605734768</v>
      </c>
      <c r="K27" s="58">
        <v>98</v>
      </c>
      <c r="L27" s="68">
        <f t="shared" si="4"/>
        <v>30.326086956521738</v>
      </c>
      <c r="M27" s="54">
        <v>186371</v>
      </c>
      <c r="N27" s="69">
        <f t="shared" si="5"/>
        <v>6145.5670250896055</v>
      </c>
      <c r="P27" s="58">
        <v>98</v>
      </c>
      <c r="Q27" s="68">
        <f t="shared" si="6"/>
        <v>33.41317365269461</v>
      </c>
      <c r="R27" s="54">
        <v>42432</v>
      </c>
      <c r="S27" s="69">
        <f t="shared" si="7"/>
        <v>1269.9182795698925</v>
      </c>
    </row>
    <row r="28" spans="1:20" x14ac:dyDescent="0.25">
      <c r="A28" s="58">
        <v>59</v>
      </c>
      <c r="B28" s="68">
        <f t="shared" si="0"/>
        <v>30.326086956521738</v>
      </c>
      <c r="C28" s="54">
        <v>-120499</v>
      </c>
      <c r="D28" s="69">
        <f t="shared" si="1"/>
        <v>-3973.4437275985665</v>
      </c>
      <c r="F28" s="58">
        <v>70</v>
      </c>
      <c r="G28" s="68">
        <f t="shared" si="2"/>
        <v>33.41317365269461</v>
      </c>
      <c r="H28" s="54">
        <v>-82956</v>
      </c>
      <c r="I28" s="69">
        <f t="shared" si="3"/>
        <v>-2482.7333333333336</v>
      </c>
      <c r="K28" s="58">
        <v>82</v>
      </c>
      <c r="L28" s="68">
        <f t="shared" si="4"/>
        <v>30.326086956521738</v>
      </c>
      <c r="M28" s="54">
        <v>157735</v>
      </c>
      <c r="N28" s="69">
        <f t="shared" si="5"/>
        <v>5201.2974910394269</v>
      </c>
      <c r="P28" s="58">
        <v>79</v>
      </c>
      <c r="Q28" s="68">
        <f t="shared" si="6"/>
        <v>33.41317365269461</v>
      </c>
      <c r="R28" s="54">
        <v>-17472</v>
      </c>
      <c r="S28" s="69">
        <f t="shared" si="7"/>
        <v>-522.9075268817204</v>
      </c>
    </row>
    <row r="29" spans="1:20" x14ac:dyDescent="0.25">
      <c r="A29" s="58">
        <v>11</v>
      </c>
      <c r="B29" s="68">
        <f t="shared" si="0"/>
        <v>30.326086956521738</v>
      </c>
      <c r="C29" s="54">
        <v>-150180</v>
      </c>
      <c r="D29" s="69">
        <f t="shared" si="1"/>
        <v>-4952.1720430107525</v>
      </c>
      <c r="F29" s="58">
        <v>64</v>
      </c>
      <c r="G29" s="68">
        <f t="shared" si="2"/>
        <v>33.41317365269461</v>
      </c>
      <c r="H29" s="54">
        <v>-163863</v>
      </c>
      <c r="I29" s="69">
        <f t="shared" si="3"/>
        <v>-4904.1435483870973</v>
      </c>
      <c r="K29" s="58">
        <v>39</v>
      </c>
      <c r="L29" s="68">
        <f t="shared" si="4"/>
        <v>30.326086956521738</v>
      </c>
      <c r="M29" s="54">
        <v>75371</v>
      </c>
      <c r="N29" s="69">
        <f t="shared" si="5"/>
        <v>2485.3519713261649</v>
      </c>
      <c r="P29" s="58">
        <v>30</v>
      </c>
      <c r="Q29" s="68">
        <f t="shared" si="6"/>
        <v>33.41317365269461</v>
      </c>
      <c r="R29" s="54">
        <v>-18899</v>
      </c>
      <c r="S29" s="69">
        <f t="shared" si="7"/>
        <v>-565.61523297491044</v>
      </c>
    </row>
    <row r="30" spans="1:20" x14ac:dyDescent="0.25">
      <c r="A30" s="58">
        <v>19</v>
      </c>
      <c r="B30" s="68">
        <f t="shared" si="0"/>
        <v>30.326086956521738</v>
      </c>
      <c r="C30" s="54">
        <v>-212225</v>
      </c>
      <c r="D30" s="69">
        <f t="shared" si="1"/>
        <v>-6998.1003584229393</v>
      </c>
      <c r="F30" s="58">
        <v>8</v>
      </c>
      <c r="G30" s="68">
        <f t="shared" si="2"/>
        <v>33.41317365269461</v>
      </c>
      <c r="H30" s="54">
        <v>-187009</v>
      </c>
      <c r="I30" s="69">
        <f t="shared" si="3"/>
        <v>-5596.8643369175625</v>
      </c>
      <c r="K30" s="58">
        <v>79</v>
      </c>
      <c r="L30" s="68">
        <f t="shared" si="4"/>
        <v>30.326086956521738</v>
      </c>
      <c r="M30" s="54">
        <v>42924</v>
      </c>
      <c r="N30" s="69">
        <f t="shared" si="5"/>
        <v>1415.4150537634409</v>
      </c>
      <c r="P30" s="50">
        <v>99</v>
      </c>
      <c r="Q30" s="70">
        <f t="shared" si="6"/>
        <v>33.41317365269461</v>
      </c>
      <c r="R30" s="51">
        <v>-53380</v>
      </c>
      <c r="S30" s="71">
        <f t="shared" si="7"/>
        <v>-1597.573476702509</v>
      </c>
    </row>
    <row r="31" spans="1:20" x14ac:dyDescent="0.25">
      <c r="A31" s="58">
        <v>7</v>
      </c>
      <c r="B31" s="68">
        <f t="shared" si="0"/>
        <v>30.326086956521738</v>
      </c>
      <c r="C31" s="54">
        <v>-425925</v>
      </c>
      <c r="D31" s="69">
        <f t="shared" si="1"/>
        <v>-14044.83870967742</v>
      </c>
      <c r="F31" s="50">
        <v>61</v>
      </c>
      <c r="G31" s="70">
        <f t="shared" si="2"/>
        <v>33.41317365269461</v>
      </c>
      <c r="H31" s="51">
        <v>-223907</v>
      </c>
      <c r="I31" s="71">
        <f t="shared" si="3"/>
        <v>-6701.159318996416</v>
      </c>
      <c r="J31">
        <v>0</v>
      </c>
      <c r="K31" s="58">
        <v>49</v>
      </c>
      <c r="L31" s="68">
        <f t="shared" si="4"/>
        <v>30.326086956521738</v>
      </c>
      <c r="M31" s="54">
        <v>-35135</v>
      </c>
      <c r="N31" s="69">
        <f t="shared" si="5"/>
        <v>-1158.573476702509</v>
      </c>
      <c r="P31" s="58">
        <v>76</v>
      </c>
      <c r="Q31" s="68">
        <f t="shared" si="6"/>
        <v>33.41317365269461</v>
      </c>
      <c r="R31" s="54">
        <v>-134133</v>
      </c>
      <c r="S31" s="69">
        <f t="shared" si="7"/>
        <v>-4014.3747311827956</v>
      </c>
    </row>
    <row r="32" spans="1:20" x14ac:dyDescent="0.25">
      <c r="A32" s="58">
        <v>88</v>
      </c>
      <c r="B32" s="68">
        <f t="shared" si="0"/>
        <v>30.326086956521738</v>
      </c>
      <c r="C32" s="54">
        <v>-426293</v>
      </c>
      <c r="D32" s="69">
        <f t="shared" si="1"/>
        <v>-14056.973476702509</v>
      </c>
      <c r="F32" s="58">
        <v>92</v>
      </c>
      <c r="G32" s="68">
        <f t="shared" si="2"/>
        <v>33.41317365269461</v>
      </c>
      <c r="H32" s="54">
        <v>-299484</v>
      </c>
      <c r="I32" s="69">
        <f t="shared" si="3"/>
        <v>-8963.0516129032258</v>
      </c>
      <c r="K32" s="58">
        <v>86</v>
      </c>
      <c r="L32" s="68">
        <f t="shared" si="4"/>
        <v>30.326086956521738</v>
      </c>
      <c r="M32" s="54">
        <v>-36114</v>
      </c>
      <c r="N32" s="69">
        <f t="shared" si="5"/>
        <v>-1190.8559139784948</v>
      </c>
      <c r="P32" s="58">
        <v>27</v>
      </c>
      <c r="Q32" s="68">
        <f t="shared" si="6"/>
        <v>33.41317365269461</v>
      </c>
      <c r="R32" s="54">
        <v>-237585</v>
      </c>
      <c r="S32" s="69">
        <f t="shared" si="7"/>
        <v>-7110.5188172043008</v>
      </c>
    </row>
    <row r="33" spans="1:19" x14ac:dyDescent="0.25">
      <c r="A33" s="50">
        <v>1</v>
      </c>
      <c r="B33" s="70">
        <f t="shared" si="0"/>
        <v>30.326086956521738</v>
      </c>
      <c r="C33" s="51">
        <v>-436549</v>
      </c>
      <c r="D33" s="71">
        <f t="shared" si="1"/>
        <v>-14395.164157706093</v>
      </c>
      <c r="E33">
        <v>0</v>
      </c>
      <c r="F33" s="58">
        <v>93</v>
      </c>
      <c r="G33" s="68">
        <f t="shared" si="2"/>
        <v>33.41317365269461</v>
      </c>
      <c r="H33" s="54">
        <v>-392062</v>
      </c>
      <c r="I33" s="69">
        <f t="shared" si="3"/>
        <v>-11733.755197132617</v>
      </c>
      <c r="K33" s="50">
        <v>95</v>
      </c>
      <c r="L33" s="70">
        <f t="shared" si="4"/>
        <v>30.326086956521738</v>
      </c>
      <c r="M33" s="51">
        <v>-117870</v>
      </c>
      <c r="N33" s="71">
        <f t="shared" si="5"/>
        <v>-3886.7526881720432</v>
      </c>
      <c r="O33">
        <v>0</v>
      </c>
      <c r="P33" s="58">
        <v>49</v>
      </c>
      <c r="Q33" s="68">
        <f t="shared" si="6"/>
        <v>33.41317365269461</v>
      </c>
      <c r="R33" s="54">
        <v>-320509</v>
      </c>
      <c r="S33" s="69">
        <f t="shared" si="7"/>
        <v>-9592.2944444444438</v>
      </c>
    </row>
    <row r="34" spans="1:19" x14ac:dyDescent="0.25">
      <c r="A34" s="58">
        <v>16</v>
      </c>
      <c r="B34" s="68">
        <f t="shared" si="0"/>
        <v>30.326086956521738</v>
      </c>
      <c r="C34" s="54">
        <v>-516654</v>
      </c>
      <c r="D34" s="69">
        <f t="shared" si="1"/>
        <v>-17036.619354838709</v>
      </c>
      <c r="F34" s="58">
        <v>17</v>
      </c>
      <c r="G34" s="68">
        <f t="shared" si="2"/>
        <v>33.41317365269461</v>
      </c>
      <c r="H34" s="54">
        <v>-421127</v>
      </c>
      <c r="I34" s="69">
        <f t="shared" si="3"/>
        <v>-12603.621684587813</v>
      </c>
      <c r="K34" s="58">
        <v>42</v>
      </c>
      <c r="L34" s="68">
        <f t="shared" si="4"/>
        <v>30.326086956521738</v>
      </c>
      <c r="M34" s="54">
        <v>-137859</v>
      </c>
      <c r="N34" s="69">
        <f t="shared" si="5"/>
        <v>-4545.8881720430109</v>
      </c>
      <c r="P34" s="58">
        <v>47</v>
      </c>
      <c r="Q34" s="68">
        <f t="shared" si="6"/>
        <v>33.41317365269461</v>
      </c>
      <c r="R34" s="54">
        <v>-338573</v>
      </c>
      <c r="S34" s="69">
        <f t="shared" si="7"/>
        <v>-10132.919534050179</v>
      </c>
    </row>
    <row r="35" spans="1:19" x14ac:dyDescent="0.25">
      <c r="A35" s="58">
        <v>73</v>
      </c>
      <c r="B35" s="68">
        <f t="shared" si="0"/>
        <v>30.326086956521738</v>
      </c>
      <c r="C35" s="54">
        <v>-526062</v>
      </c>
      <c r="D35" s="69">
        <f t="shared" si="1"/>
        <v>-17346.847311827958</v>
      </c>
      <c r="F35" s="58">
        <v>5</v>
      </c>
      <c r="G35" s="68">
        <f t="shared" si="2"/>
        <v>33.41317365269461</v>
      </c>
      <c r="H35" s="54">
        <v>-473972</v>
      </c>
      <c r="I35" s="69">
        <f t="shared" si="3"/>
        <v>-14185.183512544803</v>
      </c>
      <c r="K35" s="58">
        <v>50</v>
      </c>
      <c r="L35" s="68">
        <f t="shared" si="4"/>
        <v>30.326086956521738</v>
      </c>
      <c r="M35" s="54">
        <v>-141217</v>
      </c>
      <c r="N35" s="69">
        <f t="shared" si="5"/>
        <v>-4656.6179211469534</v>
      </c>
      <c r="P35" s="58">
        <v>34</v>
      </c>
      <c r="Q35" s="68">
        <f t="shared" si="6"/>
        <v>33.41317365269461</v>
      </c>
      <c r="R35" s="54">
        <v>-343537</v>
      </c>
      <c r="S35" s="69">
        <f t="shared" si="7"/>
        <v>-10281.483691756273</v>
      </c>
    </row>
    <row r="36" spans="1:19" x14ac:dyDescent="0.25">
      <c r="A36" s="58">
        <v>69</v>
      </c>
      <c r="B36" s="68">
        <f t="shared" si="0"/>
        <v>30.326086956521738</v>
      </c>
      <c r="C36" s="54">
        <v>-582190</v>
      </c>
      <c r="D36" s="69">
        <f t="shared" si="1"/>
        <v>-19197.663082437277</v>
      </c>
      <c r="F36" s="58">
        <v>67</v>
      </c>
      <c r="G36" s="68">
        <f t="shared" si="2"/>
        <v>33.41317365269461</v>
      </c>
      <c r="H36" s="54">
        <v>-479440</v>
      </c>
      <c r="I36" s="69">
        <f t="shared" si="3"/>
        <v>-14348.831541218638</v>
      </c>
      <c r="K36" s="58">
        <v>24</v>
      </c>
      <c r="L36" s="68">
        <f t="shared" si="4"/>
        <v>30.326086956521738</v>
      </c>
      <c r="M36" s="54">
        <v>-265494</v>
      </c>
      <c r="N36" s="69">
        <f t="shared" si="5"/>
        <v>-8754.6408602150532</v>
      </c>
      <c r="P36" s="58">
        <v>26</v>
      </c>
      <c r="Q36" s="68">
        <f t="shared" si="6"/>
        <v>33.41317365269461</v>
      </c>
      <c r="R36" s="54">
        <v>-410208</v>
      </c>
      <c r="S36" s="69">
        <f t="shared" si="7"/>
        <v>-12276.834408602152</v>
      </c>
    </row>
    <row r="37" spans="1:19" x14ac:dyDescent="0.25">
      <c r="A37" s="58">
        <v>17</v>
      </c>
      <c r="B37" s="68">
        <f t="shared" si="0"/>
        <v>30.326086956521738</v>
      </c>
      <c r="C37" s="54">
        <v>-710390</v>
      </c>
      <c r="D37" s="69">
        <f t="shared" si="1"/>
        <v>-23425.046594982079</v>
      </c>
      <c r="F37" s="58">
        <v>65</v>
      </c>
      <c r="G37" s="68">
        <f t="shared" si="2"/>
        <v>33.41317365269461</v>
      </c>
      <c r="H37" s="54">
        <v>-681880</v>
      </c>
      <c r="I37" s="69">
        <f t="shared" si="3"/>
        <v>-20407.519713261649</v>
      </c>
      <c r="K37" s="58">
        <v>44</v>
      </c>
      <c r="L37" s="68">
        <f t="shared" si="4"/>
        <v>30.326086956521738</v>
      </c>
      <c r="M37" s="54">
        <v>-279807</v>
      </c>
      <c r="N37" s="69">
        <f t="shared" si="5"/>
        <v>-9226.6107526881715</v>
      </c>
      <c r="P37" s="58">
        <v>55</v>
      </c>
      <c r="Q37" s="68">
        <f t="shared" si="6"/>
        <v>33.41317365269461</v>
      </c>
      <c r="R37" s="54">
        <v>-412943</v>
      </c>
      <c r="S37" s="69">
        <f t="shared" si="7"/>
        <v>-12358.688351254481</v>
      </c>
    </row>
    <row r="38" spans="1:19" x14ac:dyDescent="0.25">
      <c r="A38" s="58">
        <v>12</v>
      </c>
      <c r="B38" s="68">
        <f t="shared" si="0"/>
        <v>30.326086956521738</v>
      </c>
      <c r="C38" s="54">
        <v>-753136</v>
      </c>
      <c r="D38" s="69">
        <f t="shared" si="1"/>
        <v>-24834.592114695341</v>
      </c>
      <c r="F38" s="50">
        <v>15</v>
      </c>
      <c r="G38" s="70">
        <f t="shared" si="2"/>
        <v>33.41317365269461</v>
      </c>
      <c r="H38" s="51">
        <v>-737370</v>
      </c>
      <c r="I38" s="71">
        <f t="shared" si="3"/>
        <v>-22068.241935483871</v>
      </c>
      <c r="J38">
        <v>0</v>
      </c>
      <c r="K38" s="58">
        <v>78</v>
      </c>
      <c r="L38" s="68">
        <f t="shared" si="4"/>
        <v>30.326086956521738</v>
      </c>
      <c r="M38" s="54">
        <v>-450754</v>
      </c>
      <c r="N38" s="69">
        <f t="shared" si="5"/>
        <v>-14863.572759856632</v>
      </c>
      <c r="P38" s="50">
        <v>22</v>
      </c>
      <c r="Q38" s="70">
        <f t="shared" si="6"/>
        <v>33.41317365269461</v>
      </c>
      <c r="R38" s="51">
        <v>-443480</v>
      </c>
      <c r="S38" s="71">
        <f t="shared" si="7"/>
        <v>-13272.609318996416</v>
      </c>
    </row>
    <row r="39" spans="1:19" x14ac:dyDescent="0.25">
      <c r="A39" s="58">
        <v>58</v>
      </c>
      <c r="B39" s="68">
        <f t="shared" si="0"/>
        <v>30.326086956521738</v>
      </c>
      <c r="C39" s="54">
        <v>-793953</v>
      </c>
      <c r="D39" s="69">
        <f t="shared" si="1"/>
        <v>-26180.529032258066</v>
      </c>
      <c r="F39" s="52">
        <v>6</v>
      </c>
      <c r="G39" s="72">
        <f t="shared" si="2"/>
        <v>33.41317365269461</v>
      </c>
      <c r="H39" s="53">
        <v>-760719</v>
      </c>
      <c r="I39" s="73">
        <f t="shared" si="3"/>
        <v>-22767.038172043012</v>
      </c>
      <c r="J39">
        <v>0</v>
      </c>
      <c r="K39" s="58">
        <v>81</v>
      </c>
      <c r="L39" s="68">
        <f t="shared" si="4"/>
        <v>30.326086956521738</v>
      </c>
      <c r="M39" s="54">
        <v>-460974</v>
      </c>
      <c r="N39" s="69">
        <f t="shared" si="5"/>
        <v>-15200.576344086023</v>
      </c>
      <c r="P39" s="58">
        <v>97</v>
      </c>
      <c r="Q39" s="68">
        <f t="shared" si="6"/>
        <v>33.41317365269461</v>
      </c>
      <c r="R39" s="54">
        <v>-474669</v>
      </c>
      <c r="S39" s="69">
        <f t="shared" si="7"/>
        <v>-14206.043548387097</v>
      </c>
    </row>
    <row r="40" spans="1:19" x14ac:dyDescent="0.25">
      <c r="A40" s="58">
        <v>68</v>
      </c>
      <c r="B40" s="68">
        <f t="shared" si="0"/>
        <v>30.326086956521738</v>
      </c>
      <c r="C40" s="54">
        <v>-803861</v>
      </c>
      <c r="D40" s="69">
        <f t="shared" si="1"/>
        <v>-26507.244444444445</v>
      </c>
      <c r="F40" s="58">
        <v>18</v>
      </c>
      <c r="G40" s="68">
        <f t="shared" si="2"/>
        <v>33.41317365269461</v>
      </c>
      <c r="H40" s="54">
        <v>-824942</v>
      </c>
      <c r="I40" s="69">
        <f t="shared" si="3"/>
        <v>-24689.124372759856</v>
      </c>
      <c r="K40" s="58">
        <v>48</v>
      </c>
      <c r="L40" s="68">
        <f t="shared" si="4"/>
        <v>30.326086956521738</v>
      </c>
      <c r="M40" s="54">
        <v>-522318</v>
      </c>
      <c r="N40" s="69">
        <f t="shared" si="5"/>
        <v>-17223.389247311829</v>
      </c>
      <c r="P40" s="50">
        <v>57</v>
      </c>
      <c r="Q40" s="70">
        <f t="shared" si="6"/>
        <v>33.41317365269461</v>
      </c>
      <c r="R40" s="51">
        <v>-519769</v>
      </c>
      <c r="S40" s="71">
        <f t="shared" si="7"/>
        <v>-15555.810573476703</v>
      </c>
    </row>
    <row r="41" spans="1:19" x14ac:dyDescent="0.25">
      <c r="A41" s="58">
        <v>60</v>
      </c>
      <c r="B41" s="68">
        <f t="shared" si="0"/>
        <v>30.326086956521738</v>
      </c>
      <c r="C41" s="54">
        <v>-850901</v>
      </c>
      <c r="D41" s="69">
        <f t="shared" si="1"/>
        <v>-28058.384229390682</v>
      </c>
      <c r="F41" s="58">
        <v>11</v>
      </c>
      <c r="G41" s="68">
        <f t="shared" si="2"/>
        <v>33.41317365269461</v>
      </c>
      <c r="H41" s="54">
        <v>-906527</v>
      </c>
      <c r="I41" s="69">
        <f t="shared" si="3"/>
        <v>-27130.825985663083</v>
      </c>
      <c r="K41" s="58">
        <v>87</v>
      </c>
      <c r="L41" s="68">
        <f t="shared" si="4"/>
        <v>30.326086956521738</v>
      </c>
      <c r="M41" s="54">
        <v>-542332</v>
      </c>
      <c r="N41" s="69">
        <f t="shared" si="5"/>
        <v>-17883.349103942652</v>
      </c>
      <c r="P41" s="58">
        <v>35</v>
      </c>
      <c r="Q41" s="68">
        <f t="shared" si="6"/>
        <v>33.41317365269461</v>
      </c>
      <c r="R41" s="54">
        <v>-552149</v>
      </c>
      <c r="S41" s="69">
        <f t="shared" si="7"/>
        <v>-16524.889426523299</v>
      </c>
    </row>
    <row r="42" spans="1:19" x14ac:dyDescent="0.25">
      <c r="A42" s="58">
        <v>74</v>
      </c>
      <c r="B42" s="68">
        <f t="shared" si="0"/>
        <v>30.326086956521738</v>
      </c>
      <c r="C42" s="54">
        <v>-871942</v>
      </c>
      <c r="D42" s="69">
        <f t="shared" si="1"/>
        <v>-28752.209318996418</v>
      </c>
      <c r="F42" s="58">
        <v>14</v>
      </c>
      <c r="G42" s="68">
        <f t="shared" si="2"/>
        <v>33.41317365269461</v>
      </c>
      <c r="H42" s="54">
        <v>-923878</v>
      </c>
      <c r="I42" s="69">
        <f t="shared" si="3"/>
        <v>-27650.112186379931</v>
      </c>
      <c r="K42" s="58">
        <v>41</v>
      </c>
      <c r="L42" s="68">
        <f t="shared" si="4"/>
        <v>30.326086956521738</v>
      </c>
      <c r="M42" s="54">
        <v>-545075</v>
      </c>
      <c r="N42" s="69">
        <f t="shared" si="5"/>
        <v>-17973.799283154123</v>
      </c>
      <c r="P42" s="58">
        <v>81</v>
      </c>
      <c r="Q42" s="68">
        <f t="shared" si="6"/>
        <v>33.41317365269461</v>
      </c>
      <c r="R42" s="54">
        <v>-553719</v>
      </c>
      <c r="S42" s="69">
        <f t="shared" si="7"/>
        <v>-16571.876881720429</v>
      </c>
    </row>
    <row r="43" spans="1:19" x14ac:dyDescent="0.25">
      <c r="A43" s="58">
        <v>71</v>
      </c>
      <c r="B43" s="68">
        <f t="shared" si="0"/>
        <v>30.326086956521738</v>
      </c>
      <c r="C43" s="54">
        <v>-879757</v>
      </c>
      <c r="D43" s="69">
        <f t="shared" si="1"/>
        <v>-29009.908243727601</v>
      </c>
      <c r="F43" s="58">
        <v>90</v>
      </c>
      <c r="G43" s="68">
        <f t="shared" si="2"/>
        <v>33.41317365269461</v>
      </c>
      <c r="H43" s="54">
        <v>-944796</v>
      </c>
      <c r="I43" s="69">
        <f t="shared" si="3"/>
        <v>-28276.152688172042</v>
      </c>
      <c r="K43" s="58">
        <v>23</v>
      </c>
      <c r="L43" s="68">
        <f t="shared" si="4"/>
        <v>30.326086956521738</v>
      </c>
      <c r="M43" s="54">
        <v>-550483</v>
      </c>
      <c r="N43" s="69">
        <f t="shared" si="5"/>
        <v>-18152.127598566309</v>
      </c>
      <c r="P43" s="58">
        <v>25</v>
      </c>
      <c r="Q43" s="68">
        <f t="shared" si="6"/>
        <v>33.41317365269461</v>
      </c>
      <c r="R43" s="54">
        <v>-602771</v>
      </c>
      <c r="S43" s="69">
        <f t="shared" si="7"/>
        <v>-18039.920609318997</v>
      </c>
    </row>
    <row r="44" spans="1:19" x14ac:dyDescent="0.25">
      <c r="A44" s="58">
        <v>13</v>
      </c>
      <c r="B44" s="68">
        <f t="shared" si="0"/>
        <v>30.326086956521738</v>
      </c>
      <c r="C44" s="54">
        <v>-1072053</v>
      </c>
      <c r="D44" s="69">
        <f t="shared" si="1"/>
        <v>-35350.851612903229</v>
      </c>
      <c r="F44" s="58">
        <v>88</v>
      </c>
      <c r="G44" s="68">
        <f t="shared" si="2"/>
        <v>33.41317365269461</v>
      </c>
      <c r="H44" s="54">
        <v>-964689</v>
      </c>
      <c r="I44" s="69">
        <f t="shared" si="3"/>
        <v>-28871.516666666666</v>
      </c>
      <c r="K44" s="58">
        <v>55</v>
      </c>
      <c r="L44" s="68">
        <f t="shared" si="4"/>
        <v>30.326086956521738</v>
      </c>
      <c r="M44" s="54">
        <v>-592287</v>
      </c>
      <c r="N44" s="69">
        <f t="shared" si="5"/>
        <v>-19530.610752688171</v>
      </c>
      <c r="P44" s="58">
        <v>23</v>
      </c>
      <c r="Q44" s="68">
        <f t="shared" si="6"/>
        <v>33.41317365269461</v>
      </c>
      <c r="R44" s="54">
        <v>-625997</v>
      </c>
      <c r="S44" s="69">
        <f t="shared" si="7"/>
        <v>-18735.035663082439</v>
      </c>
    </row>
    <row r="45" spans="1:19" x14ac:dyDescent="0.25">
      <c r="A45" s="58">
        <v>92</v>
      </c>
      <c r="B45" s="68">
        <f t="shared" si="0"/>
        <v>30.326086956521738</v>
      </c>
      <c r="C45" s="54">
        <v>-1105120</v>
      </c>
      <c r="D45" s="69">
        <f t="shared" si="1"/>
        <v>-36441.232974910396</v>
      </c>
      <c r="F45" s="58">
        <v>10</v>
      </c>
      <c r="G45" s="68">
        <f t="shared" si="2"/>
        <v>33.41317365269461</v>
      </c>
      <c r="H45" s="54">
        <v>-1019506</v>
      </c>
      <c r="I45" s="69">
        <f t="shared" si="3"/>
        <v>-30512.097132616487</v>
      </c>
      <c r="K45" s="50">
        <v>31</v>
      </c>
      <c r="L45" s="70">
        <f t="shared" si="4"/>
        <v>30.326086956521738</v>
      </c>
      <c r="M45" s="51">
        <v>-620072</v>
      </c>
      <c r="N45" s="71">
        <f t="shared" si="5"/>
        <v>-20446.818637992834</v>
      </c>
      <c r="O45">
        <v>0</v>
      </c>
      <c r="P45" s="58">
        <v>78</v>
      </c>
      <c r="Q45" s="68">
        <f t="shared" si="6"/>
        <v>33.41317365269461</v>
      </c>
      <c r="R45" s="54">
        <v>-732192</v>
      </c>
      <c r="S45" s="69">
        <f t="shared" si="7"/>
        <v>-21913.273118279569</v>
      </c>
    </row>
    <row r="46" spans="1:19" x14ac:dyDescent="0.25">
      <c r="A46" s="58">
        <v>21</v>
      </c>
      <c r="B46" s="68">
        <f t="shared" si="0"/>
        <v>30.326086956521738</v>
      </c>
      <c r="C46" s="54">
        <v>-1124143</v>
      </c>
      <c r="D46" s="69">
        <f t="shared" si="1"/>
        <v>-37068.514695340506</v>
      </c>
      <c r="F46" s="50">
        <v>2</v>
      </c>
      <c r="G46" s="70">
        <f t="shared" si="2"/>
        <v>33.41317365269461</v>
      </c>
      <c r="H46" s="51">
        <v>-1048073</v>
      </c>
      <c r="I46" s="71">
        <f t="shared" si="3"/>
        <v>-31367.059318996417</v>
      </c>
      <c r="J46">
        <v>0</v>
      </c>
      <c r="K46" s="58">
        <v>40</v>
      </c>
      <c r="L46" s="68">
        <f t="shared" si="4"/>
        <v>30.326086956521738</v>
      </c>
      <c r="M46" s="54">
        <v>-658386</v>
      </c>
      <c r="N46" s="69">
        <f t="shared" si="5"/>
        <v>-21710.219354838711</v>
      </c>
      <c r="P46" s="58">
        <v>41</v>
      </c>
      <c r="Q46" s="68">
        <f t="shared" si="6"/>
        <v>33.41317365269461</v>
      </c>
      <c r="R46" s="54">
        <v>-890843</v>
      </c>
      <c r="S46" s="69">
        <f t="shared" si="7"/>
        <v>-26661.430286738352</v>
      </c>
    </row>
    <row r="47" spans="1:19" x14ac:dyDescent="0.25">
      <c r="A47" s="58">
        <v>64</v>
      </c>
      <c r="B47" s="68">
        <f t="shared" si="0"/>
        <v>30.326086956521738</v>
      </c>
      <c r="C47" s="54">
        <v>-1198677</v>
      </c>
      <c r="D47" s="69">
        <f t="shared" si="1"/>
        <v>-39526.26666666667</v>
      </c>
      <c r="F47" s="58">
        <v>12</v>
      </c>
      <c r="G47" s="68">
        <f t="shared" si="2"/>
        <v>33.41317365269461</v>
      </c>
      <c r="H47" s="54">
        <v>-1098022</v>
      </c>
      <c r="I47" s="69">
        <f t="shared" si="3"/>
        <v>-32861.948745519716</v>
      </c>
      <c r="K47" s="58">
        <v>97</v>
      </c>
      <c r="L47" s="68">
        <f t="shared" si="4"/>
        <v>30.326086956521738</v>
      </c>
      <c r="M47" s="54">
        <v>-661431</v>
      </c>
      <c r="N47" s="69">
        <f t="shared" si="5"/>
        <v>-21810.627956989247</v>
      </c>
      <c r="P47" s="58">
        <v>48</v>
      </c>
      <c r="Q47" s="68">
        <f t="shared" si="6"/>
        <v>33.41317365269461</v>
      </c>
      <c r="R47" s="54">
        <v>-914243</v>
      </c>
      <c r="S47" s="69">
        <f t="shared" si="7"/>
        <v>-27361.752867383515</v>
      </c>
    </row>
    <row r="48" spans="1:19" x14ac:dyDescent="0.25">
      <c r="A48" s="58">
        <v>3</v>
      </c>
      <c r="B48" s="68">
        <f t="shared" si="0"/>
        <v>30.326086956521738</v>
      </c>
      <c r="C48" s="54">
        <v>-1231829</v>
      </c>
      <c r="D48" s="69">
        <f t="shared" si="1"/>
        <v>-40619.450896057351</v>
      </c>
      <c r="F48" s="58">
        <v>72</v>
      </c>
      <c r="G48" s="68">
        <f t="shared" si="2"/>
        <v>33.41317365269461</v>
      </c>
      <c r="H48" s="54">
        <v>-1168137</v>
      </c>
      <c r="I48" s="69">
        <f t="shared" si="3"/>
        <v>-34960.372580645162</v>
      </c>
      <c r="K48" s="58">
        <v>56</v>
      </c>
      <c r="L48" s="68">
        <f t="shared" si="4"/>
        <v>30.326086956521738</v>
      </c>
      <c r="M48" s="54">
        <v>-736742</v>
      </c>
      <c r="N48" s="69">
        <f t="shared" si="5"/>
        <v>-24294.001433691756</v>
      </c>
      <c r="P48" s="58">
        <v>96</v>
      </c>
      <c r="Q48" s="68">
        <f t="shared" si="6"/>
        <v>33.41317365269461</v>
      </c>
      <c r="R48" s="54">
        <v>-944950</v>
      </c>
      <c r="S48" s="69">
        <f t="shared" si="7"/>
        <v>-28280.76164874552</v>
      </c>
    </row>
    <row r="49" spans="1:19" x14ac:dyDescent="0.25">
      <c r="A49" s="58">
        <v>70</v>
      </c>
      <c r="B49" s="68">
        <f t="shared" si="0"/>
        <v>30.326086956521738</v>
      </c>
      <c r="C49" s="54">
        <v>-1290356</v>
      </c>
      <c r="D49" s="69">
        <f t="shared" si="1"/>
        <v>-42549.373476702509</v>
      </c>
      <c r="F49" s="58">
        <v>62</v>
      </c>
      <c r="G49" s="68">
        <f t="shared" si="2"/>
        <v>33.41317365269461</v>
      </c>
      <c r="H49" s="54">
        <v>-1177761</v>
      </c>
      <c r="I49" s="69">
        <f t="shared" si="3"/>
        <v>-35248.402688172042</v>
      </c>
      <c r="K49" s="58">
        <v>85</v>
      </c>
      <c r="L49" s="68">
        <f t="shared" si="4"/>
        <v>30.326086956521738</v>
      </c>
      <c r="M49" s="54">
        <v>-789944</v>
      </c>
      <c r="N49" s="69">
        <f t="shared" si="5"/>
        <v>-26048.332616487456</v>
      </c>
      <c r="P49" s="58">
        <v>82</v>
      </c>
      <c r="Q49" s="68">
        <f t="shared" si="6"/>
        <v>33.41317365269461</v>
      </c>
      <c r="R49" s="54">
        <v>-954865</v>
      </c>
      <c r="S49" s="69">
        <f t="shared" si="7"/>
        <v>-28577.500896057347</v>
      </c>
    </row>
    <row r="50" spans="1:19" x14ac:dyDescent="0.25">
      <c r="A50" s="58">
        <v>65</v>
      </c>
      <c r="B50" s="68">
        <f t="shared" si="0"/>
        <v>30.326086956521738</v>
      </c>
      <c r="C50" s="54">
        <v>-1335361</v>
      </c>
      <c r="D50" s="69">
        <f t="shared" si="1"/>
        <v>-44033.409318996419</v>
      </c>
      <c r="F50" s="58">
        <v>19</v>
      </c>
      <c r="G50" s="68">
        <f t="shared" si="2"/>
        <v>33.41317365269461</v>
      </c>
      <c r="H50" s="54">
        <v>-1251057</v>
      </c>
      <c r="I50" s="69">
        <f t="shared" si="3"/>
        <v>-37442.028494623657</v>
      </c>
      <c r="K50" s="58">
        <v>26</v>
      </c>
      <c r="L50" s="68">
        <f t="shared" si="4"/>
        <v>30.326086956521738</v>
      </c>
      <c r="M50" s="54">
        <v>-946136</v>
      </c>
      <c r="N50" s="69">
        <f t="shared" si="5"/>
        <v>-31198.749820788533</v>
      </c>
      <c r="P50" s="58">
        <v>50</v>
      </c>
      <c r="Q50" s="68">
        <f t="shared" si="6"/>
        <v>33.41317365269461</v>
      </c>
      <c r="R50" s="54">
        <v>-1011749</v>
      </c>
      <c r="S50" s="69">
        <f t="shared" si="7"/>
        <v>-30279.943189964157</v>
      </c>
    </row>
    <row r="51" spans="1:19" x14ac:dyDescent="0.25">
      <c r="A51" s="58">
        <v>18</v>
      </c>
      <c r="B51" s="68">
        <f t="shared" si="0"/>
        <v>30.326086956521738</v>
      </c>
      <c r="C51" s="54">
        <v>-1388548</v>
      </c>
      <c r="D51" s="69">
        <f t="shared" si="1"/>
        <v>-45787.2458781362</v>
      </c>
      <c r="F51" s="58">
        <v>68</v>
      </c>
      <c r="G51" s="68">
        <f t="shared" si="2"/>
        <v>33.41317365269461</v>
      </c>
      <c r="H51" s="54">
        <v>-1292553</v>
      </c>
      <c r="I51" s="69">
        <f t="shared" si="3"/>
        <v>-38683.933870967739</v>
      </c>
      <c r="K51" s="58">
        <v>84</v>
      </c>
      <c r="L51" s="68">
        <f t="shared" si="4"/>
        <v>30.326086956521738</v>
      </c>
      <c r="M51" s="54">
        <v>-948146</v>
      </c>
      <c r="N51" s="69">
        <f t="shared" si="5"/>
        <v>-31265.029390681004</v>
      </c>
      <c r="P51" s="58">
        <v>40</v>
      </c>
      <c r="Q51" s="68">
        <f t="shared" si="6"/>
        <v>33.41317365269461</v>
      </c>
      <c r="R51" s="54">
        <v>-1028317</v>
      </c>
      <c r="S51" s="69">
        <f t="shared" si="7"/>
        <v>-30775.795519713261</v>
      </c>
    </row>
    <row r="52" spans="1:19" x14ac:dyDescent="0.25">
      <c r="A52" s="58">
        <v>91</v>
      </c>
      <c r="B52" s="68">
        <f t="shared" si="0"/>
        <v>30.326086956521738</v>
      </c>
      <c r="C52" s="54">
        <v>-1477388</v>
      </c>
      <c r="D52" s="69">
        <f t="shared" si="1"/>
        <v>-48716.736917562725</v>
      </c>
      <c r="F52" s="58">
        <v>60</v>
      </c>
      <c r="G52" s="68">
        <f t="shared" si="2"/>
        <v>33.41317365269461</v>
      </c>
      <c r="H52" s="54">
        <v>-1363928</v>
      </c>
      <c r="I52" s="69">
        <f t="shared" si="3"/>
        <v>-40820.067383512549</v>
      </c>
      <c r="K52" s="58">
        <v>37</v>
      </c>
      <c r="L52" s="68">
        <f t="shared" si="4"/>
        <v>30.326086956521738</v>
      </c>
      <c r="M52" s="54">
        <v>-1123636</v>
      </c>
      <c r="N52" s="69">
        <f t="shared" si="5"/>
        <v>-37051.796415770608</v>
      </c>
      <c r="P52" s="58">
        <v>45</v>
      </c>
      <c r="Q52" s="68">
        <f t="shared" si="6"/>
        <v>33.41317365269461</v>
      </c>
      <c r="R52" s="54">
        <v>-1108132</v>
      </c>
      <c r="S52" s="69">
        <f t="shared" si="7"/>
        <v>-33164.524014336916</v>
      </c>
    </row>
    <row r="53" spans="1:19" x14ac:dyDescent="0.25">
      <c r="A53" s="58">
        <v>67</v>
      </c>
      <c r="B53" s="68">
        <f t="shared" si="0"/>
        <v>30.326086956521738</v>
      </c>
      <c r="C53" s="54">
        <v>-1558535</v>
      </c>
      <c r="D53" s="69">
        <f t="shared" si="1"/>
        <v>-51392.551971326167</v>
      </c>
      <c r="F53" s="50">
        <v>66</v>
      </c>
      <c r="G53" s="70">
        <f t="shared" si="2"/>
        <v>33.41317365269461</v>
      </c>
      <c r="H53" s="51">
        <v>-1541082</v>
      </c>
      <c r="I53" s="71">
        <f t="shared" si="3"/>
        <v>-46121.988172043013</v>
      </c>
      <c r="J53">
        <v>0</v>
      </c>
      <c r="K53" s="58">
        <v>77</v>
      </c>
      <c r="L53" s="68">
        <f t="shared" si="4"/>
        <v>30.326086956521738</v>
      </c>
      <c r="M53" s="54">
        <v>-1136517</v>
      </c>
      <c r="N53" s="69">
        <f t="shared" si="5"/>
        <v>-37476.546236559137</v>
      </c>
      <c r="P53" s="58">
        <v>37</v>
      </c>
      <c r="Q53" s="68">
        <f t="shared" si="6"/>
        <v>33.41317365269461</v>
      </c>
      <c r="R53" s="54">
        <v>-1231599</v>
      </c>
      <c r="S53" s="69">
        <f t="shared" si="7"/>
        <v>-36859.683333333334</v>
      </c>
    </row>
    <row r="54" spans="1:19" x14ac:dyDescent="0.25">
      <c r="A54" s="58">
        <v>93</v>
      </c>
      <c r="B54" s="68">
        <f t="shared" si="0"/>
        <v>30.326086956521738</v>
      </c>
      <c r="C54" s="54">
        <v>-1560391</v>
      </c>
      <c r="D54" s="69">
        <f t="shared" si="1"/>
        <v>-51453.753405017924</v>
      </c>
      <c r="F54" s="58">
        <v>13</v>
      </c>
      <c r="G54" s="68">
        <f t="shared" si="2"/>
        <v>33.41317365269461</v>
      </c>
      <c r="H54" s="54">
        <v>-1570807</v>
      </c>
      <c r="I54" s="69">
        <f t="shared" si="3"/>
        <v>-47011.607347670251</v>
      </c>
      <c r="K54" s="58">
        <v>94</v>
      </c>
      <c r="L54" s="68">
        <f t="shared" si="4"/>
        <v>30.326086956521738</v>
      </c>
      <c r="M54" s="54">
        <v>-1189690</v>
      </c>
      <c r="N54" s="69">
        <f t="shared" si="5"/>
        <v>-39229.921146953406</v>
      </c>
      <c r="P54" s="58">
        <v>80</v>
      </c>
      <c r="Q54" s="68">
        <f t="shared" si="6"/>
        <v>33.41317365269461</v>
      </c>
      <c r="R54" s="54">
        <v>-1261366</v>
      </c>
      <c r="S54" s="69">
        <f t="shared" si="7"/>
        <v>-37750.559498207884</v>
      </c>
    </row>
    <row r="55" spans="1:19" x14ac:dyDescent="0.25">
      <c r="A55" s="58"/>
      <c r="B55" s="59"/>
      <c r="C55" s="54"/>
      <c r="D55" s="55"/>
      <c r="F55" s="58"/>
      <c r="G55" s="59"/>
      <c r="H55" s="54"/>
      <c r="I55" s="55"/>
      <c r="K55" s="50">
        <v>32</v>
      </c>
      <c r="L55" s="70">
        <f t="shared" si="4"/>
        <v>30.326086956521738</v>
      </c>
      <c r="M55" s="51">
        <v>-1238968</v>
      </c>
      <c r="N55" s="71">
        <f t="shared" si="5"/>
        <v>-40854.858781362011</v>
      </c>
      <c r="O55">
        <v>0</v>
      </c>
      <c r="P55" s="58">
        <v>52</v>
      </c>
      <c r="Q55" s="68">
        <f t="shared" si="6"/>
        <v>33.41317365269461</v>
      </c>
      <c r="R55" s="54">
        <v>-1306284</v>
      </c>
      <c r="S55" s="69">
        <f t="shared" si="7"/>
        <v>-39094.879569892473</v>
      </c>
    </row>
    <row r="56" spans="1:19" x14ac:dyDescent="0.25">
      <c r="A56" s="58"/>
      <c r="B56" s="59"/>
      <c r="C56" s="54"/>
      <c r="D56" s="55"/>
      <c r="F56" s="58"/>
      <c r="G56" s="59"/>
      <c r="H56" s="54"/>
      <c r="I56" s="55"/>
      <c r="K56" s="58">
        <v>36</v>
      </c>
      <c r="L56" s="68">
        <f t="shared" si="4"/>
        <v>30.326086956521738</v>
      </c>
      <c r="M56" s="54">
        <v>-1281241</v>
      </c>
      <c r="N56" s="69">
        <f t="shared" si="5"/>
        <v>-42248.807168458785</v>
      </c>
      <c r="P56" s="58">
        <v>38</v>
      </c>
      <c r="Q56" s="68">
        <f t="shared" si="6"/>
        <v>33.41317365269461</v>
      </c>
      <c r="R56" s="54">
        <v>-1308829</v>
      </c>
      <c r="S56" s="69">
        <f t="shared" si="7"/>
        <v>-39171.047132616492</v>
      </c>
    </row>
    <row r="57" spans="1:19" x14ac:dyDescent="0.25">
      <c r="A57" s="58"/>
      <c r="B57" s="59"/>
      <c r="C57" s="54"/>
      <c r="D57" s="55"/>
      <c r="F57" s="58"/>
      <c r="G57" s="59"/>
      <c r="H57" s="54"/>
      <c r="I57" s="55"/>
      <c r="K57" s="58">
        <v>29</v>
      </c>
      <c r="L57" s="68">
        <f t="shared" si="4"/>
        <v>30.326086956521738</v>
      </c>
      <c r="M57" s="54">
        <v>-1329121</v>
      </c>
      <c r="N57" s="69">
        <f t="shared" si="5"/>
        <v>-43827.645878136202</v>
      </c>
      <c r="P57" s="58">
        <v>46</v>
      </c>
      <c r="Q57" s="68">
        <f t="shared" si="6"/>
        <v>33.41317365269461</v>
      </c>
      <c r="R57" s="54">
        <v>-1311822</v>
      </c>
      <c r="S57" s="69">
        <f t="shared" si="7"/>
        <v>-39260.622580645162</v>
      </c>
    </row>
    <row r="58" spans="1:19" x14ac:dyDescent="0.25">
      <c r="A58" s="58"/>
      <c r="B58" s="59"/>
      <c r="C58" s="54"/>
      <c r="D58" s="55"/>
      <c r="F58" s="58"/>
      <c r="G58" s="59"/>
      <c r="H58" s="54"/>
      <c r="I58" s="55"/>
      <c r="K58" s="58">
        <v>80</v>
      </c>
      <c r="L58" s="68">
        <f t="shared" si="4"/>
        <v>30.326086956521738</v>
      </c>
      <c r="M58" s="54">
        <v>-1382584</v>
      </c>
      <c r="N58" s="69">
        <f t="shared" si="5"/>
        <v>-45590.583512544807</v>
      </c>
      <c r="P58" s="58">
        <v>53</v>
      </c>
      <c r="Q58" s="68">
        <f t="shared" si="6"/>
        <v>33.41317365269461</v>
      </c>
      <c r="R58" s="54">
        <v>-1316172</v>
      </c>
      <c r="S58" s="69">
        <f t="shared" si="7"/>
        <v>-39390.810752688172</v>
      </c>
    </row>
    <row r="59" spans="1:19" x14ac:dyDescent="0.25">
      <c r="A59" s="58"/>
      <c r="B59" s="59"/>
      <c r="C59" s="54"/>
      <c r="D59" s="55"/>
      <c r="F59" s="58"/>
      <c r="G59" s="59"/>
      <c r="H59" s="54"/>
      <c r="I59" s="55"/>
      <c r="K59" s="58">
        <v>38</v>
      </c>
      <c r="L59" s="68">
        <f t="shared" si="4"/>
        <v>30.326086956521738</v>
      </c>
      <c r="M59" s="54">
        <v>-1454904</v>
      </c>
      <c r="N59" s="69">
        <f t="shared" si="5"/>
        <v>-47975.329032258065</v>
      </c>
      <c r="P59" s="58">
        <v>87</v>
      </c>
      <c r="Q59" s="68">
        <f t="shared" si="6"/>
        <v>33.41317365269461</v>
      </c>
      <c r="R59" s="54">
        <v>-1394051</v>
      </c>
      <c r="S59" s="69">
        <f t="shared" si="7"/>
        <v>-41721.598028673834</v>
      </c>
    </row>
    <row r="60" spans="1:19" x14ac:dyDescent="0.25">
      <c r="A60" s="58"/>
      <c r="B60" s="59"/>
      <c r="C60" s="54"/>
      <c r="D60" s="55"/>
      <c r="F60" s="58"/>
      <c r="G60" s="59"/>
      <c r="H60" s="54"/>
      <c r="I60" s="55"/>
      <c r="K60" s="58">
        <v>96</v>
      </c>
      <c r="L60" s="68">
        <f t="shared" si="4"/>
        <v>30.326086956521738</v>
      </c>
      <c r="M60" s="54">
        <v>-1495940</v>
      </c>
      <c r="N60" s="69">
        <f t="shared" si="5"/>
        <v>-49328.487455197137</v>
      </c>
      <c r="P60" s="58">
        <v>36</v>
      </c>
      <c r="Q60" s="68">
        <f t="shared" si="6"/>
        <v>33.41317365269461</v>
      </c>
      <c r="R60" s="54">
        <v>-1395762</v>
      </c>
      <c r="S60" s="69">
        <f t="shared" si="7"/>
        <v>-41772.805376344084</v>
      </c>
    </row>
    <row r="61" spans="1:19" x14ac:dyDescent="0.25">
      <c r="A61" s="58"/>
      <c r="B61" s="59"/>
      <c r="C61" s="54"/>
      <c r="D61" s="55"/>
      <c r="F61" s="58"/>
      <c r="G61" s="59"/>
      <c r="H61" s="54"/>
      <c r="I61" s="55"/>
      <c r="K61" s="58">
        <v>76</v>
      </c>
      <c r="L61" s="68">
        <f t="shared" si="4"/>
        <v>30.326086956521738</v>
      </c>
      <c r="M61" s="54">
        <v>-1505954</v>
      </c>
      <c r="N61" s="69">
        <f t="shared" si="5"/>
        <v>-49658.698207885303</v>
      </c>
      <c r="P61" s="58">
        <v>42</v>
      </c>
      <c r="Q61" s="68">
        <f t="shared" si="6"/>
        <v>33.41317365269461</v>
      </c>
      <c r="R61" s="54">
        <v>-1449513</v>
      </c>
      <c r="S61" s="69">
        <f t="shared" si="7"/>
        <v>-43381.48225806452</v>
      </c>
    </row>
    <row r="62" spans="1:19" x14ac:dyDescent="0.25">
      <c r="A62" s="58"/>
      <c r="B62" s="59"/>
      <c r="C62" s="54"/>
      <c r="D62" s="55"/>
      <c r="F62" s="58"/>
      <c r="G62" s="59"/>
      <c r="H62" s="54"/>
      <c r="I62" s="55"/>
      <c r="K62" s="58">
        <v>52</v>
      </c>
      <c r="L62" s="68">
        <f t="shared" si="4"/>
        <v>30.326086956521738</v>
      </c>
      <c r="M62" s="54">
        <v>-1572435</v>
      </c>
      <c r="N62" s="69">
        <f t="shared" si="5"/>
        <v>-51850.903225806454</v>
      </c>
      <c r="P62" s="58">
        <v>28</v>
      </c>
      <c r="Q62" s="68">
        <f t="shared" si="6"/>
        <v>33.41317365269461</v>
      </c>
      <c r="R62" s="54">
        <v>-1475625</v>
      </c>
      <c r="S62" s="69">
        <f t="shared" si="7"/>
        <v>-44162.970430107525</v>
      </c>
    </row>
    <row r="63" spans="1:19" x14ac:dyDescent="0.25">
      <c r="A63" s="58"/>
      <c r="B63" s="59"/>
      <c r="C63" s="54"/>
      <c r="D63" s="55"/>
      <c r="F63" s="58"/>
      <c r="G63" s="59"/>
      <c r="H63" s="54"/>
      <c r="I63" s="55"/>
      <c r="K63" s="58">
        <v>100</v>
      </c>
      <c r="L63" s="68">
        <f t="shared" si="4"/>
        <v>30.326086956521738</v>
      </c>
      <c r="M63" s="54">
        <v>-1597710</v>
      </c>
      <c r="N63" s="69">
        <f t="shared" si="5"/>
        <v>-52684.344086021505</v>
      </c>
      <c r="P63" s="50">
        <v>83</v>
      </c>
      <c r="Q63" s="70">
        <f t="shared" si="6"/>
        <v>33.41317365269461</v>
      </c>
      <c r="R63" s="51">
        <v>-1533913</v>
      </c>
      <c r="S63" s="71">
        <f t="shared" si="7"/>
        <v>-45907.432078853046</v>
      </c>
    </row>
    <row r="64" spans="1:19" x14ac:dyDescent="0.25">
      <c r="A64" s="58"/>
      <c r="B64" s="59"/>
      <c r="C64" s="54"/>
      <c r="D64" s="55"/>
      <c r="F64" s="58"/>
      <c r="G64" s="59"/>
      <c r="H64" s="54"/>
      <c r="I64" s="55"/>
      <c r="K64" s="58">
        <v>51</v>
      </c>
      <c r="L64" s="68">
        <f t="shared" si="4"/>
        <v>30.326086956521738</v>
      </c>
      <c r="M64" s="54">
        <v>-1602000</v>
      </c>
      <c r="N64" s="69">
        <f t="shared" si="5"/>
        <v>-52825.806451612902</v>
      </c>
      <c r="P64" s="58">
        <v>77</v>
      </c>
      <c r="Q64" s="68">
        <f t="shared" si="6"/>
        <v>33.41317365269461</v>
      </c>
      <c r="R64" s="54">
        <v>-1545855</v>
      </c>
      <c r="S64" s="69">
        <f t="shared" si="7"/>
        <v>-46264.836021505376</v>
      </c>
    </row>
    <row r="65" spans="1:19" x14ac:dyDescent="0.25">
      <c r="A65" s="58"/>
      <c r="B65" s="59"/>
      <c r="C65" s="54"/>
      <c r="D65" s="55"/>
      <c r="F65" s="58"/>
      <c r="G65" s="59"/>
      <c r="H65" s="54"/>
      <c r="I65" s="55"/>
      <c r="K65" s="58"/>
      <c r="L65" s="59"/>
      <c r="M65" s="54"/>
      <c r="N65" s="55"/>
      <c r="P65" s="58"/>
      <c r="Q65" s="59"/>
      <c r="R65" s="54"/>
      <c r="S65" s="55"/>
    </row>
    <row r="66" spans="1:19" x14ac:dyDescent="0.25">
      <c r="A66" s="58"/>
      <c r="B66" s="59"/>
      <c r="C66" s="54"/>
      <c r="D66" s="55"/>
      <c r="F66" s="58"/>
      <c r="G66" s="59"/>
      <c r="H66" s="54"/>
      <c r="I66" s="55"/>
      <c r="K66" s="58"/>
      <c r="L66" s="59"/>
      <c r="M66" s="54"/>
      <c r="N66" s="55"/>
      <c r="P66" s="58"/>
      <c r="Q66" s="59"/>
      <c r="R66" s="54"/>
      <c r="S66" s="55"/>
    </row>
    <row r="67" spans="1:19" x14ac:dyDescent="0.25">
      <c r="A67" s="58"/>
      <c r="B67" s="59"/>
      <c r="C67" s="54"/>
      <c r="D67" s="55"/>
      <c r="F67" s="58"/>
      <c r="G67" s="59"/>
      <c r="H67" s="54"/>
      <c r="I67" s="55"/>
      <c r="K67" s="58"/>
      <c r="L67" s="59"/>
      <c r="M67" s="54"/>
      <c r="N67" s="55"/>
      <c r="P67" s="58"/>
      <c r="Q67" s="59"/>
      <c r="R67" s="54"/>
      <c r="S67" s="55"/>
    </row>
    <row r="68" spans="1:19" x14ac:dyDescent="0.25">
      <c r="A68" s="58"/>
      <c r="B68" s="59"/>
      <c r="C68" s="54"/>
      <c r="D68" s="55"/>
      <c r="F68" s="58"/>
      <c r="G68" s="59"/>
      <c r="H68" s="54"/>
      <c r="I68" s="55"/>
      <c r="K68" s="58"/>
      <c r="L68" s="59"/>
      <c r="M68" s="54"/>
      <c r="N68" s="55"/>
      <c r="P68" s="58"/>
      <c r="Q68" s="59"/>
      <c r="R68" s="54"/>
      <c r="S68" s="55"/>
    </row>
    <row r="69" spans="1:19" x14ac:dyDescent="0.25">
      <c r="A69" s="58"/>
      <c r="B69" s="59"/>
      <c r="C69" s="54"/>
      <c r="D69" s="55"/>
      <c r="F69" s="58"/>
      <c r="G69" s="59"/>
      <c r="H69" s="54"/>
      <c r="I69" s="55"/>
      <c r="K69" s="58"/>
      <c r="L69" s="59"/>
      <c r="M69" s="54"/>
      <c r="N69" s="55"/>
      <c r="P69" s="58"/>
      <c r="Q69" s="59"/>
      <c r="R69" s="54"/>
      <c r="S69" s="55"/>
    </row>
    <row r="70" spans="1:19" x14ac:dyDescent="0.25">
      <c r="A70" s="58"/>
      <c r="B70" s="59"/>
      <c r="C70" s="54"/>
      <c r="D70" s="55"/>
      <c r="F70" s="58"/>
      <c r="G70" s="59"/>
      <c r="H70" s="54"/>
      <c r="I70" s="55"/>
      <c r="K70" s="58"/>
      <c r="L70" s="59"/>
      <c r="M70" s="54"/>
      <c r="N70" s="55"/>
      <c r="P70" s="58"/>
      <c r="Q70" s="59"/>
      <c r="R70" s="54"/>
      <c r="S70" s="55"/>
    </row>
    <row r="71" spans="1:19" x14ac:dyDescent="0.25">
      <c r="A71" s="58"/>
      <c r="B71" s="59"/>
      <c r="C71" s="54"/>
      <c r="D71" s="55"/>
      <c r="F71" s="58"/>
      <c r="G71" s="59"/>
      <c r="H71" s="54"/>
      <c r="I71" s="55"/>
      <c r="K71" s="58"/>
      <c r="L71" s="59"/>
      <c r="M71" s="54"/>
      <c r="N71" s="55"/>
      <c r="P71" s="58"/>
      <c r="Q71" s="59"/>
      <c r="R71" s="54"/>
      <c r="S71" s="55"/>
    </row>
    <row r="72" spans="1:19" x14ac:dyDescent="0.25">
      <c r="A72" s="58"/>
      <c r="B72" s="59"/>
      <c r="C72" s="54"/>
      <c r="D72" s="55"/>
      <c r="F72" s="58"/>
      <c r="G72" s="59"/>
      <c r="H72" s="54"/>
      <c r="I72" s="55"/>
      <c r="K72" s="58"/>
      <c r="L72" s="59"/>
      <c r="M72" s="54"/>
      <c r="N72" s="55"/>
      <c r="P72" s="58"/>
      <c r="Q72" s="59"/>
      <c r="R72" s="54"/>
      <c r="S72" s="55"/>
    </row>
    <row r="73" spans="1:19" x14ac:dyDescent="0.25">
      <c r="A73" s="58"/>
      <c r="B73" s="59"/>
      <c r="C73" s="54"/>
      <c r="D73" s="55"/>
      <c r="F73" s="58"/>
      <c r="G73" s="59"/>
      <c r="H73" s="54"/>
      <c r="I73" s="55"/>
      <c r="K73" s="58"/>
      <c r="L73" s="59"/>
      <c r="M73" s="54"/>
      <c r="N73" s="55"/>
      <c r="P73" s="58"/>
      <c r="Q73" s="59"/>
      <c r="R73" s="54"/>
      <c r="S73" s="55"/>
    </row>
    <row r="74" spans="1:19" x14ac:dyDescent="0.25">
      <c r="A74" s="58"/>
      <c r="B74" s="59"/>
      <c r="C74" s="54"/>
      <c r="D74" s="55"/>
      <c r="F74" s="58"/>
      <c r="G74" s="59"/>
      <c r="H74" s="54"/>
      <c r="I74" s="55"/>
      <c r="K74" s="58"/>
      <c r="L74" s="59"/>
      <c r="M74" s="54"/>
      <c r="N74" s="55"/>
      <c r="P74" s="58"/>
      <c r="Q74" s="59"/>
      <c r="R74" s="54"/>
      <c r="S74" s="55"/>
    </row>
    <row r="75" spans="1:19" x14ac:dyDescent="0.25">
      <c r="A75" s="58"/>
      <c r="B75" s="59"/>
      <c r="C75" s="54"/>
      <c r="D75" s="55"/>
      <c r="F75" s="58"/>
      <c r="G75" s="59"/>
      <c r="H75" s="54"/>
      <c r="I75" s="55"/>
      <c r="K75" s="58"/>
      <c r="L75" s="59"/>
      <c r="M75" s="54"/>
      <c r="N75" s="55"/>
      <c r="P75" s="58"/>
      <c r="Q75" s="59"/>
      <c r="R75" s="54"/>
      <c r="S75" s="55"/>
    </row>
    <row r="76" spans="1:19" x14ac:dyDescent="0.25">
      <c r="A76" s="58"/>
      <c r="B76" s="59"/>
      <c r="C76" s="54"/>
      <c r="D76" s="55"/>
      <c r="F76" s="58"/>
      <c r="G76" s="59"/>
      <c r="H76" s="54"/>
      <c r="I76" s="55"/>
      <c r="K76" s="58"/>
      <c r="L76" s="59"/>
      <c r="M76" s="54"/>
      <c r="N76" s="55"/>
      <c r="P76" s="58"/>
      <c r="Q76" s="59"/>
      <c r="R76" s="54"/>
      <c r="S76" s="55"/>
    </row>
    <row r="77" spans="1:19" x14ac:dyDescent="0.25">
      <c r="A77" s="58"/>
      <c r="B77" s="59"/>
      <c r="C77" s="54"/>
      <c r="D77" s="55"/>
      <c r="F77" s="58"/>
      <c r="G77" s="59"/>
      <c r="H77" s="54"/>
      <c r="I77" s="55"/>
      <c r="K77" s="58"/>
      <c r="L77" s="59"/>
      <c r="M77" s="54"/>
      <c r="N77" s="55"/>
      <c r="P77" s="58"/>
      <c r="Q77" s="59"/>
      <c r="R77" s="54"/>
      <c r="S77" s="55"/>
    </row>
    <row r="78" spans="1:19" x14ac:dyDescent="0.25">
      <c r="A78" s="58"/>
      <c r="B78" s="59"/>
      <c r="C78" s="54"/>
      <c r="D78" s="55"/>
      <c r="F78" s="58"/>
      <c r="G78" s="59"/>
      <c r="H78" s="54"/>
      <c r="I78" s="55"/>
      <c r="K78" s="58"/>
      <c r="L78" s="59"/>
      <c r="M78" s="54"/>
      <c r="N78" s="55"/>
      <c r="P78" s="58"/>
      <c r="Q78" s="59"/>
      <c r="R78" s="54"/>
      <c r="S78" s="55"/>
    </row>
    <row r="79" spans="1:19" x14ac:dyDescent="0.25">
      <c r="A79" s="58"/>
      <c r="B79" s="59"/>
      <c r="C79" s="54"/>
      <c r="D79" s="55"/>
      <c r="F79" s="58"/>
      <c r="G79" s="59"/>
      <c r="H79" s="54"/>
      <c r="I79" s="55"/>
      <c r="K79" s="58"/>
      <c r="L79" s="59"/>
      <c r="M79" s="54"/>
      <c r="N79" s="55"/>
      <c r="P79" s="58"/>
      <c r="Q79" s="59"/>
      <c r="R79" s="54"/>
      <c r="S79" s="55"/>
    </row>
    <row r="80" spans="1:19" x14ac:dyDescent="0.25">
      <c r="A80" s="58"/>
      <c r="B80" s="59"/>
      <c r="C80" s="54"/>
      <c r="D80" s="55"/>
      <c r="F80" s="58"/>
      <c r="G80" s="59"/>
      <c r="H80" s="54"/>
      <c r="I80" s="55"/>
      <c r="K80" s="58"/>
      <c r="L80" s="59"/>
      <c r="M80" s="54"/>
      <c r="N80" s="55"/>
      <c r="P80" s="58"/>
      <c r="Q80" s="59"/>
      <c r="R80" s="54"/>
      <c r="S80" s="55"/>
    </row>
    <row r="81" spans="1:19" x14ac:dyDescent="0.25">
      <c r="A81" s="58"/>
      <c r="B81" s="59"/>
      <c r="C81" s="54"/>
      <c r="D81" s="55"/>
      <c r="F81" s="58"/>
      <c r="G81" s="59"/>
      <c r="H81" s="54"/>
      <c r="I81" s="55"/>
      <c r="K81" s="58"/>
      <c r="L81" s="59"/>
      <c r="M81" s="54"/>
      <c r="N81" s="55"/>
      <c r="P81" s="58"/>
      <c r="Q81" s="59"/>
      <c r="R81" s="54"/>
      <c r="S81" s="55"/>
    </row>
    <row r="82" spans="1:19" x14ac:dyDescent="0.25">
      <c r="A82" s="58"/>
      <c r="B82" s="59"/>
      <c r="C82" s="54"/>
      <c r="D82" s="55"/>
      <c r="F82" s="58"/>
      <c r="G82" s="59"/>
      <c r="H82" s="54"/>
      <c r="I82" s="55"/>
      <c r="K82" s="58"/>
      <c r="L82" s="59"/>
      <c r="M82" s="54"/>
      <c r="N82" s="55"/>
      <c r="P82" s="58"/>
      <c r="Q82" s="59"/>
      <c r="R82" s="54"/>
      <c r="S82" s="55"/>
    </row>
    <row r="83" spans="1:19" x14ac:dyDescent="0.25">
      <c r="A83" s="58"/>
      <c r="B83" s="59"/>
      <c r="C83" s="54"/>
      <c r="D83" s="55"/>
      <c r="F83" s="58"/>
      <c r="G83" s="59"/>
      <c r="H83" s="54"/>
      <c r="I83" s="55"/>
      <c r="K83" s="58"/>
      <c r="L83" s="59"/>
      <c r="M83" s="54"/>
      <c r="N83" s="55"/>
      <c r="P83" s="58"/>
      <c r="Q83" s="59"/>
      <c r="R83" s="54"/>
      <c r="S83" s="55"/>
    </row>
    <row r="84" spans="1:19" x14ac:dyDescent="0.25">
      <c r="A84" s="58"/>
      <c r="B84" s="59"/>
      <c r="C84" s="54"/>
      <c r="D84" s="55"/>
      <c r="F84" s="58"/>
      <c r="G84" s="59"/>
      <c r="H84" s="54"/>
      <c r="I84" s="55"/>
      <c r="K84" s="58"/>
      <c r="L84" s="59"/>
      <c r="M84" s="54"/>
      <c r="N84" s="55"/>
      <c r="P84" s="58"/>
      <c r="Q84" s="59"/>
      <c r="R84" s="54"/>
      <c r="S84" s="55"/>
    </row>
    <row r="85" spans="1:19" x14ac:dyDescent="0.25">
      <c r="A85" s="58"/>
      <c r="B85" s="59"/>
      <c r="C85" s="54"/>
      <c r="D85" s="55"/>
      <c r="F85" s="58"/>
      <c r="G85" s="59"/>
      <c r="H85" s="54"/>
      <c r="I85" s="55"/>
      <c r="K85" s="58"/>
      <c r="L85" s="59"/>
      <c r="M85" s="54"/>
      <c r="N85" s="55"/>
      <c r="P85" s="58"/>
      <c r="Q85" s="59"/>
      <c r="R85" s="54"/>
      <c r="S85" s="55"/>
    </row>
    <row r="86" spans="1:19" x14ac:dyDescent="0.25">
      <c r="A86" s="58"/>
      <c r="B86" s="59"/>
      <c r="C86" s="54"/>
      <c r="D86" s="55"/>
      <c r="F86" s="58"/>
      <c r="G86" s="59"/>
      <c r="H86" s="54"/>
      <c r="I86" s="55"/>
      <c r="K86" s="58"/>
      <c r="L86" s="59"/>
      <c r="M86" s="54"/>
      <c r="N86" s="55"/>
      <c r="P86" s="58"/>
      <c r="Q86" s="59"/>
      <c r="R86" s="54"/>
      <c r="S86" s="55"/>
    </row>
    <row r="87" spans="1:19" x14ac:dyDescent="0.25">
      <c r="A87" s="58"/>
      <c r="B87" s="59"/>
      <c r="C87" s="54"/>
      <c r="D87" s="55"/>
      <c r="F87" s="58"/>
      <c r="G87" s="59"/>
      <c r="H87" s="54"/>
      <c r="I87" s="55"/>
      <c r="K87" s="58"/>
      <c r="L87" s="59"/>
      <c r="M87" s="54"/>
      <c r="N87" s="55"/>
      <c r="P87" s="58"/>
      <c r="Q87" s="59"/>
      <c r="R87" s="54"/>
      <c r="S87" s="55"/>
    </row>
    <row r="88" spans="1:19" x14ac:dyDescent="0.25">
      <c r="A88" s="58"/>
      <c r="B88" s="59"/>
      <c r="C88" s="54"/>
      <c r="D88" s="55"/>
      <c r="F88" s="58"/>
      <c r="G88" s="59"/>
      <c r="H88" s="54"/>
      <c r="I88" s="55"/>
      <c r="K88" s="58"/>
      <c r="L88" s="59"/>
      <c r="M88" s="54"/>
      <c r="N88" s="55"/>
      <c r="P88" s="58"/>
      <c r="Q88" s="59"/>
      <c r="R88" s="54"/>
      <c r="S88" s="55"/>
    </row>
    <row r="89" spans="1:19" x14ac:dyDescent="0.25">
      <c r="A89" s="58"/>
      <c r="B89" s="59"/>
      <c r="C89" s="54"/>
      <c r="D89" s="55"/>
      <c r="F89" s="58"/>
      <c r="G89" s="59"/>
      <c r="H89" s="54"/>
      <c r="I89" s="55"/>
      <c r="K89" s="58"/>
      <c r="L89" s="59"/>
      <c r="M89" s="54"/>
      <c r="N89" s="55"/>
      <c r="P89" s="58"/>
      <c r="Q89" s="59"/>
      <c r="R89" s="54"/>
      <c r="S89" s="55"/>
    </row>
    <row r="90" spans="1:19" x14ac:dyDescent="0.25">
      <c r="A90" s="58"/>
      <c r="B90" s="59"/>
      <c r="C90" s="54"/>
      <c r="D90" s="55"/>
      <c r="F90" s="58"/>
      <c r="G90" s="59"/>
      <c r="H90" s="54"/>
      <c r="I90" s="55"/>
      <c r="K90" s="58"/>
      <c r="L90" s="59"/>
      <c r="M90" s="54"/>
      <c r="N90" s="55"/>
      <c r="P90" s="58"/>
      <c r="Q90" s="59"/>
      <c r="R90" s="54"/>
      <c r="S90" s="55"/>
    </row>
    <row r="91" spans="1:19" x14ac:dyDescent="0.25">
      <c r="A91" s="58"/>
      <c r="B91" s="59"/>
      <c r="C91" s="54"/>
      <c r="D91" s="55"/>
      <c r="F91" s="58"/>
      <c r="G91" s="59"/>
      <c r="H91" s="54"/>
      <c r="I91" s="55"/>
      <c r="K91" s="58"/>
      <c r="L91" s="59"/>
      <c r="M91" s="54"/>
      <c r="N91" s="55"/>
      <c r="P91" s="58"/>
      <c r="Q91" s="59"/>
      <c r="R91" s="54"/>
      <c r="S91" s="55"/>
    </row>
    <row r="92" spans="1:19" x14ac:dyDescent="0.25">
      <c r="A92" s="58"/>
      <c r="B92" s="59"/>
      <c r="C92" s="54"/>
      <c r="D92" s="55"/>
      <c r="F92" s="58"/>
      <c r="G92" s="59"/>
      <c r="H92" s="54"/>
      <c r="I92" s="55"/>
      <c r="K92" s="58"/>
      <c r="L92" s="59"/>
      <c r="M92" s="54"/>
      <c r="N92" s="55"/>
      <c r="P92" s="58"/>
      <c r="Q92" s="59"/>
      <c r="R92" s="54"/>
      <c r="S92" s="55"/>
    </row>
    <row r="93" spans="1:19" x14ac:dyDescent="0.25">
      <c r="A93" s="58"/>
      <c r="B93" s="59"/>
      <c r="C93" s="54"/>
      <c r="D93" s="55"/>
      <c r="F93" s="58"/>
      <c r="G93" s="59"/>
      <c r="H93" s="54"/>
      <c r="I93" s="55"/>
      <c r="K93" s="58"/>
      <c r="L93" s="59"/>
      <c r="M93" s="54"/>
      <c r="N93" s="55"/>
      <c r="P93" s="58"/>
      <c r="Q93" s="59"/>
      <c r="R93" s="54"/>
      <c r="S93" s="55"/>
    </row>
    <row r="94" spans="1:19" x14ac:dyDescent="0.25">
      <c r="A94" s="58"/>
      <c r="B94" s="59"/>
      <c r="C94" s="54"/>
      <c r="D94" s="55"/>
      <c r="F94" s="58"/>
      <c r="G94" s="59"/>
      <c r="H94" s="54"/>
      <c r="I94" s="55"/>
      <c r="K94" s="58"/>
      <c r="L94" s="59"/>
      <c r="M94" s="54"/>
      <c r="N94" s="55"/>
      <c r="P94" s="58"/>
      <c r="Q94" s="59"/>
      <c r="R94" s="54"/>
      <c r="S94" s="55"/>
    </row>
    <row r="95" spans="1:19" x14ac:dyDescent="0.25">
      <c r="A95" s="58"/>
      <c r="B95" s="59"/>
      <c r="C95" s="54"/>
      <c r="D95" s="55"/>
      <c r="F95" s="58"/>
      <c r="G95" s="59"/>
      <c r="H95" s="54"/>
      <c r="I95" s="55"/>
      <c r="K95" s="58"/>
      <c r="L95" s="59"/>
      <c r="M95" s="54"/>
      <c r="N95" s="55"/>
      <c r="P95" s="58"/>
      <c r="Q95" s="59"/>
      <c r="R95" s="54"/>
      <c r="S95" s="55"/>
    </row>
    <row r="96" spans="1:19" x14ac:dyDescent="0.25">
      <c r="A96" s="58"/>
      <c r="B96" s="59"/>
      <c r="C96" s="54"/>
      <c r="D96" s="55"/>
      <c r="F96" s="58"/>
      <c r="G96" s="59"/>
      <c r="H96" s="54"/>
      <c r="I96" s="55"/>
      <c r="K96" s="58"/>
      <c r="L96" s="59"/>
      <c r="M96" s="54"/>
      <c r="N96" s="55"/>
      <c r="P96" s="58"/>
      <c r="Q96" s="59"/>
      <c r="R96" s="54"/>
      <c r="S96" s="55"/>
    </row>
    <row r="97" spans="1:19" x14ac:dyDescent="0.25">
      <c r="A97" s="58"/>
      <c r="B97" s="59"/>
      <c r="C97" s="54"/>
      <c r="D97" s="55"/>
      <c r="F97" s="58"/>
      <c r="G97" s="59"/>
      <c r="H97" s="54"/>
      <c r="I97" s="55"/>
      <c r="K97" s="58"/>
      <c r="L97" s="59"/>
      <c r="M97" s="54"/>
      <c r="N97" s="55"/>
      <c r="P97" s="58"/>
      <c r="Q97" s="59"/>
      <c r="R97" s="54"/>
      <c r="S97" s="55"/>
    </row>
    <row r="98" spans="1:19" x14ac:dyDescent="0.25">
      <c r="A98" s="58"/>
      <c r="B98" s="59"/>
      <c r="C98" s="54"/>
      <c r="D98" s="55"/>
      <c r="F98" s="58"/>
      <c r="G98" s="59"/>
      <c r="H98" s="54"/>
      <c r="I98" s="55"/>
      <c r="K98" s="58"/>
      <c r="L98" s="59"/>
      <c r="M98" s="54"/>
      <c r="N98" s="55"/>
      <c r="P98" s="58"/>
      <c r="Q98" s="59"/>
      <c r="R98" s="54"/>
      <c r="S98" s="55"/>
    </row>
    <row r="99" spans="1:19" x14ac:dyDescent="0.25">
      <c r="A99" s="58"/>
      <c r="B99" s="59"/>
      <c r="C99" s="54"/>
      <c r="D99" s="55"/>
      <c r="F99" s="58"/>
      <c r="G99" s="59"/>
      <c r="H99" s="54"/>
      <c r="I99" s="55"/>
      <c r="K99" s="58"/>
      <c r="L99" s="59"/>
      <c r="M99" s="54"/>
      <c r="N99" s="55"/>
      <c r="P99" s="58"/>
      <c r="Q99" s="59"/>
      <c r="R99" s="54"/>
      <c r="S99" s="55"/>
    </row>
    <row r="100" spans="1:19" x14ac:dyDescent="0.25">
      <c r="A100" s="58"/>
      <c r="B100" s="59"/>
      <c r="C100" s="54"/>
      <c r="D100" s="55"/>
      <c r="F100" s="58"/>
      <c r="G100" s="59"/>
      <c r="H100" s="54"/>
      <c r="I100" s="55"/>
      <c r="K100" s="58"/>
      <c r="L100" s="59"/>
      <c r="M100" s="54"/>
      <c r="N100" s="55"/>
      <c r="P100" s="58"/>
      <c r="Q100" s="59"/>
      <c r="R100" s="54"/>
      <c r="S100" s="55"/>
    </row>
    <row r="101" spans="1:19" x14ac:dyDescent="0.25">
      <c r="A101" s="58"/>
      <c r="B101" s="59"/>
      <c r="C101" s="54"/>
      <c r="D101" s="55"/>
      <c r="F101" s="58"/>
      <c r="G101" s="59"/>
      <c r="H101" s="54"/>
      <c r="I101" s="55"/>
      <c r="K101" s="58"/>
      <c r="L101" s="59"/>
      <c r="M101" s="54"/>
      <c r="N101" s="55"/>
      <c r="P101" s="58"/>
      <c r="Q101" s="59"/>
      <c r="R101" s="54"/>
      <c r="S101" s="55"/>
    </row>
    <row r="102" spans="1:19" x14ac:dyDescent="0.25">
      <c r="A102" s="58"/>
      <c r="B102" s="59"/>
      <c r="C102" s="54"/>
      <c r="D102" s="55"/>
      <c r="F102" s="58"/>
      <c r="G102" s="59"/>
      <c r="H102" s="54"/>
      <c r="I102" s="55"/>
      <c r="K102" s="58"/>
      <c r="L102" s="59"/>
      <c r="M102" s="54"/>
      <c r="N102" s="55"/>
      <c r="P102" s="58"/>
      <c r="Q102" s="59"/>
      <c r="R102" s="54"/>
      <c r="S102" s="55"/>
    </row>
    <row r="103" spans="1:19" x14ac:dyDescent="0.25">
      <c r="A103" s="58"/>
      <c r="B103" s="59"/>
      <c r="C103" s="54"/>
      <c r="D103" s="55"/>
      <c r="F103" s="58"/>
      <c r="G103" s="59"/>
      <c r="H103" s="54"/>
      <c r="I103" s="55"/>
      <c r="K103" s="58"/>
      <c r="L103" s="59"/>
      <c r="M103" s="54"/>
      <c r="N103" s="55"/>
      <c r="P103" s="58"/>
      <c r="Q103" s="59"/>
      <c r="R103" s="54"/>
      <c r="S103" s="55"/>
    </row>
    <row r="104" spans="1:19" x14ac:dyDescent="0.25">
      <c r="A104" s="58"/>
      <c r="B104" s="59"/>
      <c r="C104" s="54"/>
      <c r="D104" s="55"/>
      <c r="F104" s="58"/>
      <c r="G104" s="59"/>
      <c r="H104" s="54"/>
      <c r="I104" s="55"/>
      <c r="K104" s="58"/>
      <c r="L104" s="59"/>
      <c r="M104" s="54"/>
      <c r="N104" s="55"/>
      <c r="P104" s="58"/>
      <c r="Q104" s="59"/>
      <c r="R104" s="54"/>
      <c r="S104" s="55"/>
    </row>
    <row r="105" spans="1:19" x14ac:dyDescent="0.25">
      <c r="A105" s="58"/>
      <c r="B105" s="59"/>
      <c r="C105" s="54"/>
      <c r="D105" s="55"/>
      <c r="F105" s="58"/>
      <c r="G105" s="59"/>
      <c r="H105" s="54"/>
      <c r="I105" s="55"/>
      <c r="K105" s="58"/>
      <c r="L105" s="59"/>
      <c r="M105" s="54"/>
      <c r="N105" s="55"/>
      <c r="P105" s="58"/>
      <c r="Q105" s="59"/>
      <c r="R105" s="54"/>
      <c r="S105" s="55"/>
    </row>
    <row r="106" spans="1:19" x14ac:dyDescent="0.25">
      <c r="A106" s="58"/>
      <c r="B106" s="59"/>
      <c r="C106" s="54"/>
      <c r="D106" s="55"/>
      <c r="F106" s="58"/>
      <c r="G106" s="59"/>
      <c r="H106" s="54"/>
      <c r="I106" s="55"/>
      <c r="K106" s="58"/>
      <c r="L106" s="59"/>
      <c r="M106" s="54"/>
      <c r="N106" s="55"/>
      <c r="P106" s="58"/>
      <c r="Q106" s="59"/>
      <c r="R106" s="54"/>
      <c r="S106" s="55"/>
    </row>
    <row r="107" spans="1:19" x14ac:dyDescent="0.25">
      <c r="A107" s="58"/>
      <c r="B107" s="59"/>
      <c r="C107" s="54"/>
      <c r="D107" s="55"/>
      <c r="F107" s="58"/>
      <c r="G107" s="59"/>
      <c r="H107" s="54"/>
      <c r="I107" s="55"/>
      <c r="K107" s="58"/>
      <c r="L107" s="59"/>
      <c r="M107" s="54"/>
      <c r="N107" s="55"/>
      <c r="P107" s="58"/>
      <c r="Q107" s="59"/>
      <c r="R107" s="54"/>
      <c r="S107" s="55"/>
    </row>
    <row r="108" spans="1:19" x14ac:dyDescent="0.25">
      <c r="A108" s="58"/>
      <c r="B108" s="59"/>
      <c r="C108" s="54"/>
      <c r="D108" s="55"/>
      <c r="F108" s="58"/>
      <c r="G108" s="59"/>
      <c r="H108" s="54"/>
      <c r="I108" s="55"/>
      <c r="K108" s="58"/>
      <c r="L108" s="59"/>
      <c r="M108" s="54"/>
      <c r="N108" s="55"/>
      <c r="P108" s="58"/>
      <c r="Q108" s="59"/>
      <c r="R108" s="54"/>
      <c r="S108" s="55"/>
    </row>
    <row r="109" spans="1:19" x14ac:dyDescent="0.25">
      <c r="A109" s="58"/>
      <c r="B109" s="59"/>
      <c r="C109" s="54"/>
      <c r="D109" s="55"/>
      <c r="F109" s="58"/>
      <c r="G109" s="59"/>
      <c r="H109" s="54"/>
      <c r="I109" s="55"/>
      <c r="K109" s="58"/>
      <c r="L109" s="59"/>
      <c r="M109" s="54"/>
      <c r="N109" s="55"/>
      <c r="P109" s="58"/>
      <c r="Q109" s="59"/>
      <c r="R109" s="54"/>
      <c r="S109" s="55"/>
    </row>
    <row r="110" spans="1:19" x14ac:dyDescent="0.25">
      <c r="A110" s="58"/>
      <c r="B110" s="59"/>
      <c r="C110" s="54"/>
      <c r="D110" s="55"/>
      <c r="F110" s="58"/>
      <c r="G110" s="59"/>
      <c r="H110" s="54"/>
      <c r="I110" s="55"/>
      <c r="K110" s="58"/>
      <c r="L110" s="59"/>
      <c r="M110" s="54"/>
      <c r="N110" s="55"/>
      <c r="P110" s="58"/>
      <c r="Q110" s="59"/>
      <c r="R110" s="54"/>
      <c r="S110" s="55"/>
    </row>
    <row r="111" spans="1:19" x14ac:dyDescent="0.25">
      <c r="A111" s="58"/>
      <c r="B111" s="59"/>
      <c r="C111" s="54"/>
      <c r="D111" s="55"/>
      <c r="F111" s="58"/>
      <c r="G111" s="59"/>
      <c r="H111" s="54"/>
      <c r="I111" s="55"/>
      <c r="K111" s="58"/>
      <c r="L111" s="59"/>
      <c r="M111" s="54"/>
      <c r="N111" s="55"/>
      <c r="P111" s="58"/>
      <c r="Q111" s="59"/>
      <c r="R111" s="54"/>
      <c r="S111" s="55"/>
    </row>
    <row r="112" spans="1:19" x14ac:dyDescent="0.25">
      <c r="A112" s="58"/>
      <c r="B112" s="59"/>
      <c r="C112" s="54"/>
      <c r="D112" s="55"/>
      <c r="F112" s="58"/>
      <c r="G112" s="59"/>
      <c r="H112" s="54"/>
      <c r="I112" s="55"/>
      <c r="K112" s="58"/>
      <c r="L112" s="59"/>
      <c r="M112" s="54"/>
      <c r="N112" s="55"/>
      <c r="P112" s="58"/>
      <c r="Q112" s="59"/>
      <c r="R112" s="54"/>
      <c r="S112" s="55"/>
    </row>
    <row r="113" spans="1:19" x14ac:dyDescent="0.25">
      <c r="A113" s="58"/>
      <c r="B113" s="59"/>
      <c r="C113" s="54"/>
      <c r="D113" s="55"/>
      <c r="F113" s="58"/>
      <c r="G113" s="59"/>
      <c r="H113" s="54"/>
      <c r="I113" s="55"/>
      <c r="K113" s="58"/>
      <c r="L113" s="59"/>
      <c r="M113" s="54"/>
      <c r="N113" s="55"/>
      <c r="P113" s="58"/>
      <c r="Q113" s="59"/>
      <c r="R113" s="54"/>
      <c r="S113" s="55"/>
    </row>
    <row r="114" spans="1:19" x14ac:dyDescent="0.25">
      <c r="A114" s="58"/>
      <c r="B114" s="59"/>
      <c r="C114" s="54"/>
      <c r="D114" s="55"/>
      <c r="F114" s="58"/>
      <c r="G114" s="59"/>
      <c r="H114" s="54"/>
      <c r="I114" s="55"/>
      <c r="K114" s="58"/>
      <c r="L114" s="59"/>
      <c r="M114" s="54"/>
      <c r="N114" s="55"/>
      <c r="P114" s="58"/>
      <c r="Q114" s="59"/>
      <c r="R114" s="54"/>
      <c r="S114" s="55"/>
    </row>
    <row r="115" spans="1:19" x14ac:dyDescent="0.25">
      <c r="A115" s="58"/>
      <c r="B115" s="59"/>
      <c r="C115" s="54"/>
      <c r="D115" s="55"/>
      <c r="F115" s="58"/>
      <c r="G115" s="59"/>
      <c r="H115" s="54"/>
      <c r="I115" s="55"/>
      <c r="K115" s="58"/>
      <c r="L115" s="59"/>
      <c r="M115" s="54"/>
      <c r="N115" s="55"/>
      <c r="P115" s="58"/>
      <c r="Q115" s="59"/>
      <c r="R115" s="54"/>
      <c r="S115" s="55"/>
    </row>
    <row r="116" spans="1:19" x14ac:dyDescent="0.25">
      <c r="A116" s="58"/>
      <c r="B116" s="59"/>
      <c r="C116" s="54"/>
      <c r="D116" s="55"/>
      <c r="F116" s="58"/>
      <c r="G116" s="59"/>
      <c r="H116" s="54"/>
      <c r="I116" s="55"/>
      <c r="K116" s="58"/>
      <c r="L116" s="59"/>
      <c r="M116" s="54"/>
      <c r="N116" s="55"/>
      <c r="P116" s="58"/>
      <c r="Q116" s="59"/>
      <c r="R116" s="54"/>
      <c r="S116" s="55"/>
    </row>
    <row r="117" spans="1:19" x14ac:dyDescent="0.25">
      <c r="A117" s="58"/>
      <c r="B117" s="59"/>
      <c r="C117" s="54"/>
      <c r="D117" s="55"/>
      <c r="F117" s="58"/>
      <c r="G117" s="59"/>
      <c r="H117" s="54"/>
      <c r="I117" s="55"/>
      <c r="K117" s="58"/>
      <c r="L117" s="59"/>
      <c r="M117" s="54"/>
      <c r="N117" s="55"/>
      <c r="P117" s="58"/>
      <c r="Q117" s="59"/>
      <c r="R117" s="54"/>
      <c r="S117" s="55"/>
    </row>
    <row r="118" spans="1:19" ht="15.75" thickBot="1" x14ac:dyDescent="0.3">
      <c r="A118" s="60"/>
      <c r="B118" s="61"/>
      <c r="C118" s="56"/>
      <c r="D118" s="57"/>
      <c r="F118" s="60"/>
      <c r="G118" s="61"/>
      <c r="H118" s="56"/>
      <c r="I118" s="57"/>
      <c r="K118" s="58"/>
      <c r="L118" s="59"/>
      <c r="M118" s="54"/>
      <c r="N118" s="55"/>
      <c r="P118" s="58"/>
      <c r="Q118" s="59"/>
      <c r="R118" s="54"/>
      <c r="S118" s="55"/>
    </row>
    <row r="119" spans="1:19" x14ac:dyDescent="0.25">
      <c r="K119" s="58"/>
      <c r="L119" s="59"/>
      <c r="M119" s="54"/>
      <c r="N119" s="55"/>
      <c r="P119" s="58"/>
      <c r="Q119" s="59"/>
      <c r="R119" s="54"/>
      <c r="S119" s="55"/>
    </row>
    <row r="120" spans="1:19" x14ac:dyDescent="0.25">
      <c r="K120" s="58"/>
      <c r="L120" s="59"/>
      <c r="M120" s="54"/>
      <c r="N120" s="55"/>
      <c r="P120" s="58"/>
      <c r="Q120" s="59"/>
      <c r="R120" s="54"/>
      <c r="S120" s="55"/>
    </row>
    <row r="121" spans="1:19" x14ac:dyDescent="0.25">
      <c r="K121" s="58"/>
      <c r="L121" s="59"/>
      <c r="M121" s="54"/>
      <c r="N121" s="55"/>
      <c r="P121" s="58"/>
      <c r="Q121" s="59"/>
      <c r="R121" s="54"/>
      <c r="S121" s="55"/>
    </row>
    <row r="122" spans="1:19" x14ac:dyDescent="0.25">
      <c r="K122" s="58"/>
      <c r="L122" s="59"/>
      <c r="M122" s="54"/>
      <c r="N122" s="55"/>
      <c r="P122" s="58"/>
      <c r="Q122" s="59"/>
      <c r="R122" s="54"/>
      <c r="S122" s="55"/>
    </row>
    <row r="123" spans="1:19" x14ac:dyDescent="0.25">
      <c r="K123" s="58"/>
      <c r="L123" s="59"/>
      <c r="M123" s="54"/>
      <c r="N123" s="55"/>
      <c r="P123" s="58"/>
      <c r="Q123" s="59"/>
      <c r="R123" s="54"/>
      <c r="S123" s="55"/>
    </row>
    <row r="124" spans="1:19" x14ac:dyDescent="0.25">
      <c r="K124" s="58"/>
      <c r="L124" s="59"/>
      <c r="M124" s="54"/>
      <c r="N124" s="55"/>
      <c r="P124" s="58"/>
      <c r="Q124" s="59"/>
      <c r="R124" s="54"/>
      <c r="S124" s="55"/>
    </row>
    <row r="125" spans="1:19" x14ac:dyDescent="0.25">
      <c r="K125" s="58"/>
      <c r="L125" s="59"/>
      <c r="M125" s="54"/>
      <c r="N125" s="55"/>
      <c r="P125" s="58"/>
      <c r="Q125" s="59"/>
      <c r="R125" s="54"/>
      <c r="S125" s="55"/>
    </row>
    <row r="126" spans="1:19" x14ac:dyDescent="0.25">
      <c r="K126" s="58"/>
      <c r="L126" s="59"/>
      <c r="M126" s="54"/>
      <c r="N126" s="55"/>
      <c r="P126" s="58"/>
      <c r="Q126" s="59"/>
      <c r="R126" s="54"/>
      <c r="S126" s="55"/>
    </row>
    <row r="127" spans="1:19" x14ac:dyDescent="0.25">
      <c r="K127" s="58"/>
      <c r="L127" s="59"/>
      <c r="M127" s="54"/>
      <c r="N127" s="55"/>
      <c r="P127" s="58"/>
      <c r="Q127" s="59"/>
      <c r="R127" s="54"/>
      <c r="S127" s="55"/>
    </row>
    <row r="128" spans="1:19" x14ac:dyDescent="0.25">
      <c r="K128" s="58"/>
      <c r="L128" s="59"/>
      <c r="M128" s="54"/>
      <c r="N128" s="55"/>
      <c r="P128" s="58"/>
      <c r="Q128" s="59"/>
      <c r="R128" s="54"/>
      <c r="S128" s="55"/>
    </row>
    <row r="129" spans="11:19" x14ac:dyDescent="0.25">
      <c r="K129" s="58"/>
      <c r="L129" s="59"/>
      <c r="M129" s="54"/>
      <c r="N129" s="55"/>
      <c r="P129" s="58"/>
      <c r="Q129" s="59"/>
      <c r="R129" s="54"/>
      <c r="S129" s="55"/>
    </row>
    <row r="130" spans="11:19" x14ac:dyDescent="0.25">
      <c r="K130" s="58"/>
      <c r="L130" s="59"/>
      <c r="M130" s="54"/>
      <c r="N130" s="55"/>
      <c r="P130" s="58"/>
      <c r="Q130" s="59"/>
      <c r="R130" s="54"/>
      <c r="S130" s="55"/>
    </row>
    <row r="131" spans="11:19" x14ac:dyDescent="0.25">
      <c r="K131" s="58"/>
      <c r="L131" s="59"/>
      <c r="M131" s="54"/>
      <c r="N131" s="55"/>
      <c r="P131" s="58"/>
      <c r="Q131" s="59"/>
      <c r="R131" s="54"/>
      <c r="S131" s="55"/>
    </row>
    <row r="132" spans="11:19" x14ac:dyDescent="0.25">
      <c r="K132" s="58"/>
      <c r="L132" s="59"/>
      <c r="M132" s="54"/>
      <c r="N132" s="55"/>
      <c r="P132" s="58"/>
      <c r="Q132" s="59"/>
      <c r="R132" s="54"/>
      <c r="S132" s="55"/>
    </row>
    <row r="133" spans="11:19" x14ac:dyDescent="0.25">
      <c r="K133" s="58"/>
      <c r="L133" s="59"/>
      <c r="M133" s="54"/>
      <c r="N133" s="55"/>
      <c r="P133" s="58"/>
      <c r="Q133" s="59"/>
      <c r="R133" s="54"/>
      <c r="S133" s="55"/>
    </row>
    <row r="134" spans="11:19" x14ac:dyDescent="0.25">
      <c r="K134" s="58"/>
      <c r="L134" s="59"/>
      <c r="M134" s="54"/>
      <c r="N134" s="55"/>
      <c r="P134" s="58"/>
      <c r="Q134" s="59"/>
      <c r="R134" s="54"/>
      <c r="S134" s="55"/>
    </row>
    <row r="135" spans="11:19" x14ac:dyDescent="0.25">
      <c r="K135" s="58"/>
      <c r="L135" s="59"/>
      <c r="M135" s="54"/>
      <c r="N135" s="55"/>
      <c r="P135" s="58"/>
      <c r="Q135" s="59"/>
      <c r="R135" s="54"/>
      <c r="S135" s="55"/>
    </row>
    <row r="136" spans="11:19" x14ac:dyDescent="0.25">
      <c r="K136" s="58"/>
      <c r="L136" s="59"/>
      <c r="M136" s="54"/>
      <c r="N136" s="55"/>
      <c r="P136" s="58"/>
      <c r="Q136" s="59"/>
      <c r="R136" s="54"/>
      <c r="S136" s="55"/>
    </row>
    <row r="137" spans="11:19" x14ac:dyDescent="0.25">
      <c r="K137" s="58"/>
      <c r="L137" s="59"/>
      <c r="M137" s="54"/>
      <c r="N137" s="55"/>
      <c r="P137" s="58"/>
      <c r="Q137" s="59"/>
      <c r="R137" s="54"/>
      <c r="S137" s="55"/>
    </row>
    <row r="138" spans="11:19" x14ac:dyDescent="0.25">
      <c r="K138" s="58"/>
      <c r="L138" s="59"/>
      <c r="M138" s="54"/>
      <c r="N138" s="55"/>
      <c r="P138" s="58"/>
      <c r="Q138" s="59"/>
      <c r="R138" s="54"/>
      <c r="S138" s="55"/>
    </row>
    <row r="139" spans="11:19" x14ac:dyDescent="0.25">
      <c r="K139" s="58"/>
      <c r="L139" s="59"/>
      <c r="M139" s="54"/>
      <c r="N139" s="55"/>
      <c r="P139" s="58"/>
      <c r="Q139" s="59"/>
      <c r="R139" s="54"/>
      <c r="S139" s="55"/>
    </row>
    <row r="140" spans="11:19" x14ac:dyDescent="0.25">
      <c r="K140" s="58"/>
      <c r="L140" s="59"/>
      <c r="M140" s="54"/>
      <c r="N140" s="55"/>
      <c r="P140" s="58"/>
      <c r="Q140" s="59"/>
      <c r="R140" s="54"/>
      <c r="S140" s="55"/>
    </row>
    <row r="141" spans="11:19" x14ac:dyDescent="0.25">
      <c r="K141" s="58"/>
      <c r="L141" s="59"/>
      <c r="M141" s="54"/>
      <c r="N141" s="55"/>
      <c r="P141" s="58"/>
      <c r="Q141" s="59"/>
      <c r="R141" s="54"/>
      <c r="S141" s="55"/>
    </row>
    <row r="142" spans="11:19" x14ac:dyDescent="0.25">
      <c r="K142" s="58"/>
      <c r="L142" s="59"/>
      <c r="M142" s="54"/>
      <c r="N142" s="55"/>
      <c r="P142" s="58"/>
      <c r="Q142" s="59"/>
      <c r="R142" s="54"/>
      <c r="S142" s="55"/>
    </row>
    <row r="143" spans="11:19" x14ac:dyDescent="0.25">
      <c r="K143" s="58"/>
      <c r="L143" s="59"/>
      <c r="M143" s="54"/>
      <c r="N143" s="55"/>
      <c r="P143" s="58"/>
      <c r="Q143" s="59"/>
      <c r="R143" s="54"/>
      <c r="S143" s="55"/>
    </row>
    <row r="144" spans="11:19" x14ac:dyDescent="0.25">
      <c r="K144" s="58"/>
      <c r="L144" s="59"/>
      <c r="M144" s="54"/>
      <c r="N144" s="55"/>
      <c r="P144" s="58"/>
      <c r="Q144" s="59"/>
      <c r="R144" s="54"/>
      <c r="S144" s="55"/>
    </row>
    <row r="145" spans="11:19" x14ac:dyDescent="0.25">
      <c r="K145" s="58"/>
      <c r="L145" s="59"/>
      <c r="M145" s="54"/>
      <c r="N145" s="55"/>
      <c r="P145" s="58"/>
      <c r="Q145" s="59"/>
      <c r="R145" s="54"/>
      <c r="S145" s="55"/>
    </row>
    <row r="146" spans="11:19" x14ac:dyDescent="0.25">
      <c r="K146" s="58"/>
      <c r="L146" s="59"/>
      <c r="M146" s="54"/>
      <c r="N146" s="55"/>
      <c r="P146" s="58"/>
      <c r="Q146" s="59"/>
      <c r="R146" s="54"/>
      <c r="S146" s="55"/>
    </row>
    <row r="147" spans="11:19" x14ac:dyDescent="0.25">
      <c r="K147" s="58"/>
      <c r="L147" s="59"/>
      <c r="M147" s="54"/>
      <c r="N147" s="55"/>
      <c r="P147" s="58"/>
      <c r="Q147" s="59"/>
      <c r="R147" s="54"/>
      <c r="S147" s="55"/>
    </row>
    <row r="148" spans="11:19" x14ac:dyDescent="0.25">
      <c r="K148" s="58"/>
      <c r="L148" s="59"/>
      <c r="M148" s="54"/>
      <c r="N148" s="55"/>
      <c r="P148" s="58"/>
      <c r="Q148" s="59"/>
      <c r="R148" s="54"/>
      <c r="S148" s="55"/>
    </row>
    <row r="149" spans="11:19" x14ac:dyDescent="0.25">
      <c r="K149" s="58"/>
      <c r="L149" s="59"/>
      <c r="M149" s="54"/>
      <c r="N149" s="55"/>
      <c r="P149" s="58"/>
      <c r="Q149" s="59"/>
      <c r="R149" s="54"/>
      <c r="S149" s="55"/>
    </row>
    <row r="150" spans="11:19" x14ac:dyDescent="0.25">
      <c r="K150" s="58"/>
      <c r="L150" s="59"/>
      <c r="M150" s="54"/>
      <c r="N150" s="55"/>
      <c r="P150" s="58"/>
      <c r="Q150" s="59"/>
      <c r="R150" s="54"/>
      <c r="S150" s="55"/>
    </row>
    <row r="151" spans="11:19" x14ac:dyDescent="0.25">
      <c r="K151" s="58"/>
      <c r="L151" s="59"/>
      <c r="M151" s="54"/>
      <c r="N151" s="55"/>
      <c r="P151" s="58"/>
      <c r="Q151" s="59"/>
      <c r="R151" s="54"/>
      <c r="S151" s="55"/>
    </row>
    <row r="152" spans="11:19" x14ac:dyDescent="0.25">
      <c r="K152" s="58"/>
      <c r="L152" s="59"/>
      <c r="M152" s="54"/>
      <c r="N152" s="55"/>
      <c r="P152" s="58"/>
      <c r="Q152" s="59"/>
      <c r="R152" s="54"/>
      <c r="S152" s="55"/>
    </row>
    <row r="153" spans="11:19" x14ac:dyDescent="0.25">
      <c r="K153" s="58"/>
      <c r="L153" s="59"/>
      <c r="M153" s="54"/>
      <c r="N153" s="55"/>
      <c r="P153" s="58"/>
      <c r="Q153" s="59"/>
      <c r="R153" s="54"/>
      <c r="S153" s="55"/>
    </row>
    <row r="154" spans="11:19" x14ac:dyDescent="0.25">
      <c r="K154" s="58"/>
      <c r="L154" s="59"/>
      <c r="M154" s="54"/>
      <c r="N154" s="55"/>
      <c r="P154" s="58"/>
      <c r="Q154" s="59"/>
      <c r="R154" s="54"/>
      <c r="S154" s="55"/>
    </row>
    <row r="155" spans="11:19" x14ac:dyDescent="0.25">
      <c r="K155" s="58"/>
      <c r="L155" s="59"/>
      <c r="M155" s="54"/>
      <c r="N155" s="55"/>
      <c r="P155" s="58"/>
      <c r="Q155" s="59"/>
      <c r="R155" s="54"/>
      <c r="S155" s="55"/>
    </row>
    <row r="156" spans="11:19" x14ac:dyDescent="0.25">
      <c r="K156" s="58"/>
      <c r="L156" s="59"/>
      <c r="M156" s="54"/>
      <c r="N156" s="55"/>
      <c r="P156" s="58"/>
      <c r="Q156" s="59"/>
      <c r="R156" s="54"/>
      <c r="S156" s="55"/>
    </row>
    <row r="157" spans="11:19" x14ac:dyDescent="0.25">
      <c r="K157" s="58"/>
      <c r="L157" s="59"/>
      <c r="M157" s="54"/>
      <c r="N157" s="55"/>
      <c r="P157" s="58"/>
      <c r="Q157" s="59"/>
      <c r="R157" s="54"/>
      <c r="S157" s="55"/>
    </row>
    <row r="158" spans="11:19" x14ac:dyDescent="0.25">
      <c r="K158" s="58"/>
      <c r="L158" s="59"/>
      <c r="M158" s="54"/>
      <c r="N158" s="55"/>
      <c r="P158" s="58"/>
      <c r="Q158" s="59"/>
      <c r="R158" s="54"/>
      <c r="S158" s="55"/>
    </row>
    <row r="159" spans="11:19" x14ac:dyDescent="0.25">
      <c r="K159" s="58"/>
      <c r="L159" s="59"/>
      <c r="M159" s="54"/>
      <c r="N159" s="55"/>
      <c r="P159" s="58"/>
      <c r="Q159" s="59"/>
      <c r="R159" s="54"/>
      <c r="S159" s="55"/>
    </row>
    <row r="160" spans="11:19" x14ac:dyDescent="0.25">
      <c r="K160" s="58"/>
      <c r="L160" s="59"/>
      <c r="M160" s="54"/>
      <c r="N160" s="55"/>
      <c r="P160" s="58"/>
      <c r="Q160" s="59"/>
      <c r="R160" s="54"/>
      <c r="S160" s="55"/>
    </row>
    <row r="161" spans="11:19" x14ac:dyDescent="0.25">
      <c r="K161" s="58"/>
      <c r="L161" s="59"/>
      <c r="M161" s="54"/>
      <c r="N161" s="55"/>
      <c r="P161" s="58"/>
      <c r="Q161" s="59"/>
      <c r="R161" s="54"/>
      <c r="S161" s="55"/>
    </row>
    <row r="162" spans="11:19" x14ac:dyDescent="0.25">
      <c r="K162" s="58"/>
      <c r="L162" s="59"/>
      <c r="M162" s="54"/>
      <c r="N162" s="55"/>
      <c r="P162" s="58"/>
      <c r="Q162" s="59"/>
      <c r="R162" s="54"/>
      <c r="S162" s="55"/>
    </row>
    <row r="163" spans="11:19" x14ac:dyDescent="0.25">
      <c r="K163" s="58"/>
      <c r="L163" s="59"/>
      <c r="M163" s="54"/>
      <c r="N163" s="55"/>
      <c r="P163" s="58"/>
      <c r="Q163" s="59"/>
      <c r="R163" s="54"/>
      <c r="S163" s="55"/>
    </row>
    <row r="164" spans="11:19" x14ac:dyDescent="0.25">
      <c r="K164" s="58"/>
      <c r="L164" s="59"/>
      <c r="M164" s="54"/>
      <c r="N164" s="55"/>
      <c r="P164" s="58"/>
      <c r="Q164" s="59"/>
      <c r="R164" s="54"/>
      <c r="S164" s="55"/>
    </row>
    <row r="165" spans="11:19" x14ac:dyDescent="0.25">
      <c r="K165" s="58"/>
      <c r="L165" s="59"/>
      <c r="M165" s="54"/>
      <c r="N165" s="55"/>
      <c r="P165" s="58"/>
      <c r="Q165" s="59"/>
      <c r="R165" s="54"/>
      <c r="S165" s="55"/>
    </row>
    <row r="166" spans="11:19" x14ac:dyDescent="0.25">
      <c r="K166" s="58"/>
      <c r="L166" s="59"/>
      <c r="M166" s="54"/>
      <c r="N166" s="55"/>
      <c r="P166" s="58"/>
      <c r="Q166" s="59"/>
      <c r="R166" s="54"/>
      <c r="S166" s="55"/>
    </row>
    <row r="167" spans="11:19" x14ac:dyDescent="0.25">
      <c r="K167" s="58"/>
      <c r="L167" s="59"/>
      <c r="M167" s="54"/>
      <c r="N167" s="55"/>
      <c r="P167" s="58"/>
      <c r="Q167" s="59"/>
      <c r="R167" s="54"/>
      <c r="S167" s="55"/>
    </row>
    <row r="168" spans="11:19" x14ac:dyDescent="0.25">
      <c r="K168" s="58"/>
      <c r="L168" s="59"/>
      <c r="M168" s="54"/>
      <c r="N168" s="55"/>
      <c r="P168" s="58"/>
      <c r="Q168" s="59"/>
      <c r="R168" s="54"/>
      <c r="S168" s="55"/>
    </row>
    <row r="169" spans="11:19" x14ac:dyDescent="0.25">
      <c r="K169" s="58"/>
      <c r="L169" s="59"/>
      <c r="M169" s="54"/>
      <c r="N169" s="55"/>
      <c r="P169" s="58"/>
      <c r="Q169" s="59"/>
      <c r="R169" s="54"/>
      <c r="S169" s="55"/>
    </row>
    <row r="170" spans="11:19" x14ac:dyDescent="0.25">
      <c r="K170" s="58"/>
      <c r="L170" s="59"/>
      <c r="M170" s="54"/>
      <c r="N170" s="55"/>
      <c r="P170" s="58"/>
      <c r="Q170" s="59"/>
      <c r="R170" s="54"/>
      <c r="S170" s="55"/>
    </row>
    <row r="171" spans="11:19" x14ac:dyDescent="0.25">
      <c r="K171" s="58"/>
      <c r="L171" s="59"/>
      <c r="M171" s="54"/>
      <c r="N171" s="55"/>
      <c r="P171" s="58"/>
      <c r="Q171" s="59"/>
      <c r="R171" s="54"/>
      <c r="S171" s="55"/>
    </row>
    <row r="172" spans="11:19" x14ac:dyDescent="0.25">
      <c r="K172" s="58"/>
      <c r="L172" s="59"/>
      <c r="M172" s="54"/>
      <c r="N172" s="55"/>
      <c r="P172" s="58"/>
      <c r="Q172" s="59"/>
      <c r="R172" s="54"/>
      <c r="S172" s="55"/>
    </row>
    <row r="173" spans="11:19" x14ac:dyDescent="0.25">
      <c r="K173" s="58"/>
      <c r="L173" s="59"/>
      <c r="M173" s="54"/>
      <c r="N173" s="55"/>
      <c r="P173" s="58"/>
      <c r="Q173" s="59"/>
      <c r="R173" s="54"/>
      <c r="S173" s="55"/>
    </row>
    <row r="174" spans="11:19" x14ac:dyDescent="0.25">
      <c r="K174" s="58"/>
      <c r="L174" s="59"/>
      <c r="M174" s="54"/>
      <c r="N174" s="55"/>
      <c r="P174" s="58"/>
      <c r="Q174" s="59"/>
      <c r="R174" s="54"/>
      <c r="S174" s="55"/>
    </row>
    <row r="175" spans="11:19" x14ac:dyDescent="0.25">
      <c r="K175" s="58"/>
      <c r="L175" s="59"/>
      <c r="M175" s="54"/>
      <c r="N175" s="55"/>
      <c r="P175" s="58"/>
      <c r="Q175" s="59"/>
      <c r="R175" s="54"/>
      <c r="S175" s="55"/>
    </row>
    <row r="176" spans="11:19" x14ac:dyDescent="0.25">
      <c r="K176" s="58"/>
      <c r="L176" s="59"/>
      <c r="M176" s="54"/>
      <c r="N176" s="55"/>
      <c r="P176" s="58"/>
      <c r="Q176" s="59"/>
      <c r="R176" s="54"/>
      <c r="S176" s="55"/>
    </row>
    <row r="177" spans="11:19" x14ac:dyDescent="0.25">
      <c r="K177" s="58"/>
      <c r="L177" s="59"/>
      <c r="M177" s="54"/>
      <c r="N177" s="55"/>
      <c r="P177" s="58"/>
      <c r="Q177" s="59"/>
      <c r="R177" s="54"/>
      <c r="S177" s="55"/>
    </row>
    <row r="178" spans="11:19" x14ac:dyDescent="0.25">
      <c r="K178" s="58"/>
      <c r="L178" s="59"/>
      <c r="M178" s="54"/>
      <c r="N178" s="55"/>
      <c r="P178" s="58"/>
      <c r="Q178" s="59"/>
      <c r="R178" s="54"/>
      <c r="S178" s="55"/>
    </row>
    <row r="179" spans="11:19" x14ac:dyDescent="0.25">
      <c r="K179" s="58"/>
      <c r="L179" s="59"/>
      <c r="M179" s="54"/>
      <c r="N179" s="55"/>
      <c r="P179" s="58"/>
      <c r="Q179" s="59"/>
      <c r="R179" s="54"/>
      <c r="S179" s="55"/>
    </row>
    <row r="180" spans="11:19" x14ac:dyDescent="0.25">
      <c r="K180" s="58"/>
      <c r="L180" s="59"/>
      <c r="M180" s="54"/>
      <c r="N180" s="55"/>
      <c r="P180" s="58"/>
      <c r="Q180" s="59"/>
      <c r="R180" s="54"/>
      <c r="S180" s="55"/>
    </row>
    <row r="181" spans="11:19" x14ac:dyDescent="0.25">
      <c r="K181" s="58"/>
      <c r="L181" s="59"/>
      <c r="M181" s="54"/>
      <c r="N181" s="55"/>
      <c r="P181" s="58"/>
      <c r="Q181" s="59"/>
      <c r="R181" s="54"/>
      <c r="S181" s="55"/>
    </row>
    <row r="182" spans="11:19" x14ac:dyDescent="0.25">
      <c r="K182" s="58"/>
      <c r="L182" s="59"/>
      <c r="M182" s="54"/>
      <c r="N182" s="55"/>
      <c r="P182" s="58"/>
      <c r="Q182" s="59"/>
      <c r="R182" s="54"/>
      <c r="S182" s="55"/>
    </row>
    <row r="183" spans="11:19" x14ac:dyDescent="0.25">
      <c r="K183" s="58"/>
      <c r="L183" s="59"/>
      <c r="M183" s="54"/>
      <c r="N183" s="55"/>
      <c r="P183" s="58"/>
      <c r="Q183" s="59"/>
      <c r="R183" s="54"/>
      <c r="S183" s="55"/>
    </row>
    <row r="184" spans="11:19" x14ac:dyDescent="0.25">
      <c r="K184" s="58"/>
      <c r="L184" s="59"/>
      <c r="M184" s="54"/>
      <c r="N184" s="55"/>
      <c r="P184" s="58"/>
      <c r="Q184" s="59"/>
      <c r="R184" s="54"/>
      <c r="S184" s="55"/>
    </row>
    <row r="185" spans="11:19" x14ac:dyDescent="0.25">
      <c r="K185" s="58"/>
      <c r="L185" s="59"/>
      <c r="M185" s="54"/>
      <c r="N185" s="55"/>
      <c r="P185" s="58"/>
      <c r="Q185" s="59"/>
      <c r="R185" s="54"/>
      <c r="S185" s="55"/>
    </row>
    <row r="186" spans="11:19" x14ac:dyDescent="0.25">
      <c r="K186" s="58"/>
      <c r="L186" s="59"/>
      <c r="M186" s="54"/>
      <c r="N186" s="55"/>
      <c r="P186" s="58"/>
      <c r="Q186" s="59"/>
      <c r="R186" s="54"/>
      <c r="S186" s="55"/>
    </row>
    <row r="187" spans="11:19" x14ac:dyDescent="0.25">
      <c r="K187" s="58"/>
      <c r="L187" s="59"/>
      <c r="M187" s="54"/>
      <c r="N187" s="55"/>
      <c r="P187" s="58"/>
      <c r="Q187" s="59"/>
      <c r="R187" s="54"/>
      <c r="S187" s="55"/>
    </row>
    <row r="188" spans="11:19" x14ac:dyDescent="0.25">
      <c r="K188" s="58"/>
      <c r="L188" s="59"/>
      <c r="M188" s="54"/>
      <c r="N188" s="55"/>
      <c r="P188" s="58"/>
      <c r="Q188" s="59"/>
      <c r="R188" s="54"/>
      <c r="S188" s="55"/>
    </row>
    <row r="189" spans="11:19" x14ac:dyDescent="0.25">
      <c r="K189" s="58"/>
      <c r="L189" s="59"/>
      <c r="M189" s="54"/>
      <c r="N189" s="55"/>
      <c r="P189" s="58"/>
      <c r="Q189" s="59"/>
      <c r="R189" s="54"/>
      <c r="S189" s="55"/>
    </row>
    <row r="190" spans="11:19" x14ac:dyDescent="0.25">
      <c r="K190" s="58"/>
      <c r="L190" s="59"/>
      <c r="M190" s="54"/>
      <c r="N190" s="55"/>
      <c r="P190" s="58"/>
      <c r="Q190" s="59"/>
      <c r="R190" s="54"/>
      <c r="S190" s="55"/>
    </row>
    <row r="191" spans="11:19" x14ac:dyDescent="0.25">
      <c r="K191" s="58"/>
      <c r="L191" s="59"/>
      <c r="M191" s="54"/>
      <c r="N191" s="55"/>
      <c r="P191" s="58"/>
      <c r="Q191" s="59"/>
      <c r="R191" s="54"/>
      <c r="S191" s="55"/>
    </row>
    <row r="192" spans="11:19" x14ac:dyDescent="0.25">
      <c r="K192" s="58"/>
      <c r="L192" s="59"/>
      <c r="M192" s="54"/>
      <c r="N192" s="55"/>
      <c r="P192" s="58"/>
      <c r="Q192" s="59"/>
      <c r="R192" s="54"/>
      <c r="S192" s="55"/>
    </row>
    <row r="193" spans="11:19" x14ac:dyDescent="0.25">
      <c r="K193" s="58"/>
      <c r="L193" s="59"/>
      <c r="M193" s="54"/>
      <c r="N193" s="55"/>
      <c r="P193" s="58"/>
      <c r="Q193" s="59"/>
      <c r="R193" s="54"/>
      <c r="S193" s="55"/>
    </row>
    <row r="194" spans="11:19" x14ac:dyDescent="0.25">
      <c r="K194" s="58"/>
      <c r="L194" s="59"/>
      <c r="M194" s="54"/>
      <c r="N194" s="55"/>
      <c r="P194" s="58"/>
      <c r="Q194" s="59"/>
      <c r="R194" s="54"/>
      <c r="S194" s="55"/>
    </row>
    <row r="195" spans="11:19" x14ac:dyDescent="0.25">
      <c r="K195" s="58"/>
      <c r="L195" s="59"/>
      <c r="M195" s="54"/>
      <c r="N195" s="55"/>
      <c r="P195" s="58"/>
      <c r="Q195" s="59"/>
      <c r="R195" s="54"/>
      <c r="S195" s="55"/>
    </row>
    <row r="196" spans="11:19" x14ac:dyDescent="0.25">
      <c r="K196" s="58"/>
      <c r="L196" s="59"/>
      <c r="M196" s="54"/>
      <c r="N196" s="55"/>
      <c r="P196" s="58"/>
      <c r="Q196" s="59"/>
      <c r="R196" s="54"/>
      <c r="S196" s="55"/>
    </row>
    <row r="197" spans="11:19" x14ac:dyDescent="0.25">
      <c r="K197" s="58"/>
      <c r="L197" s="59"/>
      <c r="M197" s="54"/>
      <c r="N197" s="55"/>
      <c r="P197" s="58"/>
      <c r="Q197" s="59"/>
      <c r="R197" s="54"/>
      <c r="S197" s="55"/>
    </row>
    <row r="198" spans="11:19" x14ac:dyDescent="0.25">
      <c r="K198" s="58"/>
      <c r="L198" s="59"/>
      <c r="M198" s="54"/>
      <c r="N198" s="55"/>
      <c r="P198" s="58"/>
      <c r="Q198" s="59"/>
      <c r="R198" s="54"/>
      <c r="S198" s="55"/>
    </row>
    <row r="199" spans="11:19" x14ac:dyDescent="0.25">
      <c r="K199" s="58"/>
      <c r="L199" s="59"/>
      <c r="M199" s="54"/>
      <c r="N199" s="55"/>
      <c r="P199" s="58"/>
      <c r="Q199" s="59"/>
      <c r="R199" s="54"/>
      <c r="S199" s="55"/>
    </row>
    <row r="200" spans="11:19" x14ac:dyDescent="0.25">
      <c r="K200" s="58"/>
      <c r="L200" s="59"/>
      <c r="M200" s="54"/>
      <c r="N200" s="55"/>
      <c r="P200" s="58"/>
      <c r="Q200" s="59"/>
      <c r="R200" s="54"/>
      <c r="S200" s="55"/>
    </row>
    <row r="201" spans="11:19" x14ac:dyDescent="0.25">
      <c r="K201" s="58"/>
      <c r="L201" s="59"/>
      <c r="M201" s="54"/>
      <c r="N201" s="55"/>
      <c r="P201" s="58"/>
      <c r="Q201" s="59"/>
      <c r="R201" s="54"/>
      <c r="S201" s="55"/>
    </row>
    <row r="202" spans="11:19" x14ac:dyDescent="0.25">
      <c r="K202" s="58"/>
      <c r="L202" s="59"/>
      <c r="M202" s="54"/>
      <c r="N202" s="55"/>
      <c r="P202" s="58"/>
      <c r="Q202" s="59"/>
      <c r="R202" s="54"/>
      <c r="S202" s="55"/>
    </row>
    <row r="203" spans="11:19" x14ac:dyDescent="0.25">
      <c r="K203" s="58"/>
      <c r="L203" s="59"/>
      <c r="M203" s="54"/>
      <c r="N203" s="55"/>
      <c r="P203" s="58"/>
      <c r="Q203" s="59"/>
      <c r="R203" s="54"/>
      <c r="S203" s="55"/>
    </row>
    <row r="204" spans="11:19" x14ac:dyDescent="0.25">
      <c r="K204" s="58"/>
      <c r="L204" s="59"/>
      <c r="M204" s="54"/>
      <c r="N204" s="55"/>
      <c r="P204" s="58"/>
      <c r="Q204" s="59"/>
      <c r="R204" s="54"/>
      <c r="S204" s="55"/>
    </row>
    <row r="205" spans="11:19" x14ac:dyDescent="0.25">
      <c r="K205" s="58"/>
      <c r="L205" s="59"/>
      <c r="M205" s="54"/>
      <c r="N205" s="55"/>
      <c r="P205" s="58"/>
      <c r="Q205" s="59"/>
      <c r="R205" s="54"/>
      <c r="S205" s="55"/>
    </row>
    <row r="206" spans="11:19" x14ac:dyDescent="0.25">
      <c r="K206" s="58"/>
      <c r="L206" s="59"/>
      <c r="M206" s="54"/>
      <c r="N206" s="55"/>
      <c r="P206" s="58"/>
      <c r="Q206" s="59"/>
      <c r="R206" s="54"/>
      <c r="S206" s="55"/>
    </row>
    <row r="207" spans="11:19" x14ac:dyDescent="0.25">
      <c r="K207" s="58"/>
      <c r="L207" s="59"/>
      <c r="M207" s="54"/>
      <c r="N207" s="55"/>
      <c r="P207" s="58"/>
      <c r="Q207" s="59"/>
      <c r="R207" s="54"/>
      <c r="S207" s="55"/>
    </row>
    <row r="208" spans="11:19" x14ac:dyDescent="0.25">
      <c r="K208" s="58"/>
      <c r="L208" s="59"/>
      <c r="M208" s="54"/>
      <c r="N208" s="55"/>
      <c r="P208" s="58"/>
      <c r="Q208" s="59"/>
      <c r="R208" s="54"/>
      <c r="S208" s="55"/>
    </row>
    <row r="209" spans="11:19" x14ac:dyDescent="0.25">
      <c r="K209" s="58"/>
      <c r="L209" s="59"/>
      <c r="M209" s="54"/>
      <c r="N209" s="55"/>
      <c r="P209" s="58"/>
      <c r="Q209" s="59"/>
      <c r="R209" s="54"/>
      <c r="S209" s="55"/>
    </row>
    <row r="210" spans="11:19" x14ac:dyDescent="0.25">
      <c r="K210" s="58"/>
      <c r="L210" s="59"/>
      <c r="M210" s="54"/>
      <c r="N210" s="55"/>
      <c r="P210" s="58"/>
      <c r="Q210" s="59"/>
      <c r="R210" s="54"/>
      <c r="S210" s="55"/>
    </row>
    <row r="211" spans="11:19" x14ac:dyDescent="0.25">
      <c r="K211" s="58"/>
      <c r="L211" s="59"/>
      <c r="M211" s="54"/>
      <c r="N211" s="55"/>
      <c r="P211" s="58"/>
      <c r="Q211" s="59"/>
      <c r="R211" s="54"/>
      <c r="S211" s="55"/>
    </row>
    <row r="212" spans="11:19" x14ac:dyDescent="0.25">
      <c r="K212" s="58"/>
      <c r="L212" s="59"/>
      <c r="M212" s="54"/>
      <c r="N212" s="55"/>
      <c r="P212" s="58"/>
      <c r="Q212" s="59"/>
      <c r="R212" s="54"/>
      <c r="S212" s="55"/>
    </row>
    <row r="213" spans="11:19" x14ac:dyDescent="0.25">
      <c r="K213" s="58"/>
      <c r="L213" s="59"/>
      <c r="M213" s="54"/>
      <c r="N213" s="55"/>
      <c r="P213" s="58"/>
      <c r="Q213" s="59"/>
      <c r="R213" s="54"/>
      <c r="S213" s="55"/>
    </row>
    <row r="214" spans="11:19" x14ac:dyDescent="0.25">
      <c r="K214" s="58"/>
      <c r="L214" s="59"/>
      <c r="M214" s="54"/>
      <c r="N214" s="55"/>
      <c r="P214" s="58"/>
      <c r="Q214" s="59"/>
      <c r="R214" s="54"/>
      <c r="S214" s="55"/>
    </row>
    <row r="215" spans="11:19" x14ac:dyDescent="0.25">
      <c r="K215" s="58"/>
      <c r="L215" s="59"/>
      <c r="M215" s="54"/>
      <c r="N215" s="55"/>
      <c r="P215" s="58"/>
      <c r="Q215" s="59"/>
      <c r="R215" s="54"/>
      <c r="S215" s="55"/>
    </row>
    <row r="216" spans="11:19" x14ac:dyDescent="0.25">
      <c r="K216" s="58"/>
      <c r="L216" s="59"/>
      <c r="M216" s="54"/>
      <c r="N216" s="55"/>
      <c r="P216" s="58"/>
      <c r="Q216" s="59"/>
      <c r="R216" s="54"/>
      <c r="S216" s="55"/>
    </row>
    <row r="217" spans="11:19" x14ac:dyDescent="0.25">
      <c r="K217" s="58"/>
      <c r="L217" s="59"/>
      <c r="M217" s="54"/>
      <c r="N217" s="55"/>
      <c r="P217" s="58"/>
      <c r="Q217" s="59"/>
      <c r="R217" s="54"/>
      <c r="S217" s="55"/>
    </row>
    <row r="218" spans="11:19" x14ac:dyDescent="0.25">
      <c r="K218" s="58"/>
      <c r="L218" s="59"/>
      <c r="M218" s="54"/>
      <c r="N218" s="55"/>
      <c r="P218" s="58"/>
      <c r="Q218" s="59"/>
      <c r="R218" s="54"/>
      <c r="S218" s="55"/>
    </row>
    <row r="219" spans="11:19" x14ac:dyDescent="0.25">
      <c r="K219" s="58"/>
      <c r="L219" s="59"/>
      <c r="M219" s="54"/>
      <c r="N219" s="55"/>
      <c r="P219" s="58"/>
      <c r="Q219" s="59"/>
      <c r="R219" s="54"/>
      <c r="S219" s="55"/>
    </row>
    <row r="220" spans="11:19" x14ac:dyDescent="0.25">
      <c r="K220" s="58"/>
      <c r="L220" s="59"/>
      <c r="M220" s="54"/>
      <c r="N220" s="55"/>
      <c r="P220" s="58"/>
      <c r="Q220" s="59"/>
      <c r="R220" s="54"/>
      <c r="S220" s="55"/>
    </row>
    <row r="221" spans="11:19" x14ac:dyDescent="0.25">
      <c r="K221" s="58"/>
      <c r="L221" s="59"/>
      <c r="M221" s="54"/>
      <c r="N221" s="55"/>
      <c r="P221" s="58"/>
      <c r="Q221" s="59"/>
      <c r="R221" s="54"/>
      <c r="S221" s="55"/>
    </row>
    <row r="222" spans="11:19" x14ac:dyDescent="0.25">
      <c r="K222" s="58"/>
      <c r="L222" s="59"/>
      <c r="M222" s="54"/>
      <c r="N222" s="55"/>
      <c r="P222" s="58"/>
      <c r="Q222" s="59"/>
      <c r="R222" s="54"/>
      <c r="S222" s="55"/>
    </row>
    <row r="223" spans="11:19" x14ac:dyDescent="0.25">
      <c r="K223" s="58"/>
      <c r="L223" s="59"/>
      <c r="M223" s="54"/>
      <c r="N223" s="55"/>
      <c r="P223" s="58"/>
      <c r="Q223" s="59"/>
      <c r="R223" s="54"/>
      <c r="S223" s="55"/>
    </row>
    <row r="224" spans="11:19" x14ac:dyDescent="0.25">
      <c r="K224" s="58"/>
      <c r="L224" s="59"/>
      <c r="M224" s="54"/>
      <c r="N224" s="55"/>
      <c r="P224" s="58"/>
      <c r="Q224" s="59"/>
      <c r="R224" s="54"/>
      <c r="S224" s="55"/>
    </row>
    <row r="225" spans="11:19" x14ac:dyDescent="0.25">
      <c r="K225" s="58"/>
      <c r="L225" s="59"/>
      <c r="M225" s="54"/>
      <c r="N225" s="55"/>
      <c r="P225" s="58"/>
      <c r="Q225" s="59"/>
      <c r="R225" s="54"/>
      <c r="S225" s="55"/>
    </row>
    <row r="226" spans="11:19" x14ac:dyDescent="0.25">
      <c r="K226" s="58"/>
      <c r="L226" s="59"/>
      <c r="M226" s="54"/>
      <c r="N226" s="55"/>
      <c r="P226" s="58"/>
      <c r="Q226" s="59"/>
      <c r="R226" s="54"/>
      <c r="S226" s="55"/>
    </row>
    <row r="227" spans="11:19" x14ac:dyDescent="0.25">
      <c r="K227" s="58"/>
      <c r="L227" s="59"/>
      <c r="M227" s="54"/>
      <c r="N227" s="55"/>
      <c r="P227" s="58"/>
      <c r="Q227" s="59"/>
      <c r="R227" s="54"/>
      <c r="S227" s="55"/>
    </row>
    <row r="228" spans="11:19" x14ac:dyDescent="0.25">
      <c r="K228" s="58"/>
      <c r="L228" s="59"/>
      <c r="M228" s="54"/>
      <c r="N228" s="55"/>
      <c r="P228" s="58"/>
      <c r="Q228" s="59"/>
      <c r="R228" s="54"/>
      <c r="S228" s="55"/>
    </row>
    <row r="229" spans="11:19" x14ac:dyDescent="0.25">
      <c r="K229" s="58"/>
      <c r="L229" s="59"/>
      <c r="M229" s="54"/>
      <c r="N229" s="55"/>
      <c r="P229" s="58"/>
      <c r="Q229" s="59"/>
      <c r="R229" s="54"/>
      <c r="S229" s="55"/>
    </row>
    <row r="230" spans="11:19" x14ac:dyDescent="0.25">
      <c r="K230" s="58"/>
      <c r="L230" s="59"/>
      <c r="M230" s="54"/>
      <c r="N230" s="55"/>
      <c r="P230" s="58"/>
      <c r="Q230" s="59"/>
      <c r="R230" s="54"/>
      <c r="S230" s="55"/>
    </row>
    <row r="231" spans="11:19" x14ac:dyDescent="0.25">
      <c r="K231" s="58"/>
      <c r="L231" s="59"/>
      <c r="M231" s="54"/>
      <c r="N231" s="55"/>
      <c r="P231" s="58"/>
      <c r="Q231" s="59"/>
      <c r="R231" s="54"/>
      <c r="S231" s="55"/>
    </row>
    <row r="232" spans="11:19" x14ac:dyDescent="0.25">
      <c r="K232" s="58"/>
      <c r="L232" s="59"/>
      <c r="M232" s="54"/>
      <c r="N232" s="55"/>
      <c r="P232" s="58"/>
      <c r="Q232" s="59"/>
      <c r="R232" s="54"/>
      <c r="S232" s="55"/>
    </row>
    <row r="233" spans="11:19" x14ac:dyDescent="0.25">
      <c r="K233" s="58"/>
      <c r="L233" s="59"/>
      <c r="M233" s="54"/>
      <c r="N233" s="55"/>
      <c r="P233" s="58"/>
      <c r="Q233" s="59"/>
      <c r="R233" s="54"/>
      <c r="S233" s="55"/>
    </row>
    <row r="234" spans="11:19" x14ac:dyDescent="0.25">
      <c r="K234" s="58"/>
      <c r="L234" s="59"/>
      <c r="M234" s="54"/>
      <c r="N234" s="55"/>
      <c r="P234" s="58"/>
      <c r="Q234" s="59"/>
      <c r="R234" s="54"/>
      <c r="S234" s="55"/>
    </row>
    <row r="235" spans="11:19" x14ac:dyDescent="0.25">
      <c r="K235" s="58"/>
      <c r="L235" s="59"/>
      <c r="M235" s="54"/>
      <c r="N235" s="55"/>
      <c r="P235" s="58"/>
      <c r="Q235" s="59"/>
      <c r="R235" s="54"/>
      <c r="S235" s="55"/>
    </row>
    <row r="236" spans="11:19" x14ac:dyDescent="0.25">
      <c r="K236" s="58"/>
      <c r="L236" s="59"/>
      <c r="M236" s="54"/>
      <c r="N236" s="55"/>
      <c r="P236" s="58"/>
      <c r="Q236" s="59"/>
      <c r="R236" s="54"/>
      <c r="S236" s="55"/>
    </row>
    <row r="237" spans="11:19" x14ac:dyDescent="0.25">
      <c r="K237" s="58"/>
      <c r="L237" s="59"/>
      <c r="M237" s="54"/>
      <c r="N237" s="55"/>
      <c r="P237" s="58"/>
      <c r="Q237" s="59"/>
      <c r="R237" s="54"/>
      <c r="S237" s="55"/>
    </row>
    <row r="238" spans="11:19" x14ac:dyDescent="0.25">
      <c r="K238" s="58"/>
      <c r="L238" s="59"/>
      <c r="M238" s="54"/>
      <c r="N238" s="55"/>
      <c r="P238" s="58"/>
      <c r="Q238" s="59"/>
      <c r="R238" s="54"/>
      <c r="S238" s="55"/>
    </row>
    <row r="239" spans="11:19" x14ac:dyDescent="0.25">
      <c r="K239" s="58"/>
      <c r="L239" s="59"/>
      <c r="M239" s="54"/>
      <c r="N239" s="55"/>
      <c r="P239" s="58"/>
      <c r="Q239" s="59"/>
      <c r="R239" s="54"/>
      <c r="S239" s="55"/>
    </row>
    <row r="240" spans="11:19" x14ac:dyDescent="0.25">
      <c r="K240" s="58"/>
      <c r="L240" s="59"/>
      <c r="M240" s="54"/>
      <c r="N240" s="55"/>
      <c r="P240" s="58"/>
      <c r="Q240" s="59"/>
      <c r="R240" s="54"/>
      <c r="S240" s="55"/>
    </row>
    <row r="241" spans="11:19" x14ac:dyDescent="0.25">
      <c r="K241" s="58"/>
      <c r="L241" s="59"/>
      <c r="M241" s="54"/>
      <c r="N241" s="55"/>
      <c r="P241" s="58"/>
      <c r="Q241" s="59"/>
      <c r="R241" s="54"/>
      <c r="S241" s="55"/>
    </row>
    <row r="242" spans="11:19" x14ac:dyDescent="0.25">
      <c r="K242" s="58"/>
      <c r="L242" s="59"/>
      <c r="M242" s="54"/>
      <c r="N242" s="55"/>
      <c r="P242" s="58"/>
      <c r="Q242" s="59"/>
      <c r="R242" s="54"/>
      <c r="S242" s="55"/>
    </row>
    <row r="243" spans="11:19" x14ac:dyDescent="0.25">
      <c r="K243" s="58"/>
      <c r="L243" s="59"/>
      <c r="M243" s="54"/>
      <c r="N243" s="55"/>
      <c r="P243" s="58"/>
      <c r="Q243" s="59"/>
      <c r="R243" s="54"/>
      <c r="S243" s="55"/>
    </row>
    <row r="244" spans="11:19" x14ac:dyDescent="0.25">
      <c r="K244" s="58"/>
      <c r="L244" s="59"/>
      <c r="M244" s="54"/>
      <c r="N244" s="55"/>
      <c r="P244" s="58"/>
      <c r="Q244" s="59"/>
      <c r="R244" s="54"/>
      <c r="S244" s="55"/>
    </row>
    <row r="245" spans="11:19" x14ac:dyDescent="0.25">
      <c r="K245" s="58"/>
      <c r="L245" s="59"/>
      <c r="M245" s="54"/>
      <c r="N245" s="55"/>
      <c r="P245" s="58"/>
      <c r="Q245" s="59"/>
      <c r="R245" s="54"/>
      <c r="S245" s="55"/>
    </row>
    <row r="246" spans="11:19" x14ac:dyDescent="0.25">
      <c r="K246" s="58"/>
      <c r="L246" s="59"/>
      <c r="M246" s="54"/>
      <c r="N246" s="55"/>
      <c r="P246" s="58"/>
      <c r="Q246" s="59"/>
      <c r="R246" s="54"/>
      <c r="S246" s="55"/>
    </row>
    <row r="247" spans="11:19" x14ac:dyDescent="0.25">
      <c r="K247" s="58"/>
      <c r="L247" s="59"/>
      <c r="M247" s="54"/>
      <c r="N247" s="55"/>
      <c r="P247" s="58"/>
      <c r="Q247" s="59"/>
      <c r="R247" s="54"/>
      <c r="S247" s="55"/>
    </row>
    <row r="248" spans="11:19" x14ac:dyDescent="0.25">
      <c r="K248" s="58"/>
      <c r="L248" s="59"/>
      <c r="M248" s="54"/>
      <c r="N248" s="55"/>
      <c r="P248" s="58"/>
      <c r="Q248" s="59"/>
      <c r="R248" s="54"/>
      <c r="S248" s="55"/>
    </row>
    <row r="249" spans="11:19" x14ac:dyDescent="0.25">
      <c r="K249" s="58"/>
      <c r="L249" s="59"/>
      <c r="M249" s="54"/>
      <c r="N249" s="55"/>
      <c r="P249" s="58"/>
      <c r="Q249" s="59"/>
      <c r="R249" s="54"/>
      <c r="S249" s="55"/>
    </row>
    <row r="250" spans="11:19" x14ac:dyDescent="0.25">
      <c r="K250" s="58"/>
      <c r="L250" s="59"/>
      <c r="M250" s="54"/>
      <c r="N250" s="55"/>
      <c r="P250" s="58"/>
      <c r="Q250" s="59"/>
      <c r="R250" s="54"/>
      <c r="S250" s="55"/>
    </row>
    <row r="251" spans="11:19" x14ac:dyDescent="0.25">
      <c r="K251" s="58"/>
      <c r="L251" s="59"/>
      <c r="M251" s="54"/>
      <c r="N251" s="55"/>
      <c r="P251" s="58"/>
      <c r="Q251" s="59"/>
      <c r="R251" s="54"/>
      <c r="S251" s="55"/>
    </row>
    <row r="252" spans="11:19" x14ac:dyDescent="0.25">
      <c r="K252" s="58"/>
      <c r="L252" s="59"/>
      <c r="M252" s="54"/>
      <c r="N252" s="55"/>
      <c r="P252" s="58"/>
      <c r="Q252" s="59"/>
      <c r="R252" s="54"/>
      <c r="S252" s="55"/>
    </row>
    <row r="253" spans="11:19" x14ac:dyDescent="0.25">
      <c r="K253" s="58"/>
      <c r="L253" s="59"/>
      <c r="M253" s="54"/>
      <c r="N253" s="55"/>
      <c r="P253" s="58"/>
      <c r="Q253" s="59"/>
      <c r="R253" s="54"/>
      <c r="S253" s="55"/>
    </row>
    <row r="254" spans="11:19" x14ac:dyDescent="0.25">
      <c r="K254" s="58"/>
      <c r="L254" s="59"/>
      <c r="M254" s="54"/>
      <c r="N254" s="55"/>
      <c r="P254" s="58"/>
      <c r="Q254" s="59"/>
      <c r="R254" s="54"/>
      <c r="S254" s="55"/>
    </row>
    <row r="255" spans="11:19" x14ac:dyDescent="0.25">
      <c r="K255" s="58"/>
      <c r="L255" s="59"/>
      <c r="M255" s="54"/>
      <c r="N255" s="55"/>
      <c r="P255" s="58"/>
      <c r="Q255" s="59"/>
      <c r="R255" s="54"/>
      <c r="S255" s="55"/>
    </row>
    <row r="256" spans="11:19" x14ac:dyDescent="0.25">
      <c r="K256" s="58"/>
      <c r="L256" s="59"/>
      <c r="M256" s="54"/>
      <c r="N256" s="55"/>
      <c r="P256" s="58"/>
      <c r="Q256" s="59"/>
      <c r="R256" s="54"/>
      <c r="S256" s="55"/>
    </row>
    <row r="257" spans="11:19" x14ac:dyDescent="0.25">
      <c r="K257" s="58"/>
      <c r="L257" s="59"/>
      <c r="M257" s="54"/>
      <c r="N257" s="55"/>
      <c r="P257" s="58"/>
      <c r="Q257" s="59"/>
      <c r="R257" s="54"/>
      <c r="S257" s="55"/>
    </row>
    <row r="258" spans="11:19" x14ac:dyDescent="0.25">
      <c r="K258" s="58"/>
      <c r="L258" s="59"/>
      <c r="M258" s="54"/>
      <c r="N258" s="55"/>
      <c r="P258" s="58"/>
      <c r="Q258" s="59"/>
      <c r="R258" s="54"/>
      <c r="S258" s="55"/>
    </row>
    <row r="259" spans="11:19" x14ac:dyDescent="0.25">
      <c r="K259" s="58"/>
      <c r="L259" s="59"/>
      <c r="M259" s="54"/>
      <c r="N259" s="55"/>
      <c r="P259" s="58"/>
      <c r="Q259" s="59"/>
      <c r="R259" s="54"/>
      <c r="S259" s="55"/>
    </row>
    <row r="260" spans="11:19" x14ac:dyDescent="0.25">
      <c r="K260" s="58"/>
      <c r="L260" s="59"/>
      <c r="M260" s="54"/>
      <c r="N260" s="55"/>
      <c r="P260" s="58"/>
      <c r="Q260" s="59"/>
      <c r="R260" s="54"/>
      <c r="S260" s="55"/>
    </row>
    <row r="261" spans="11:19" x14ac:dyDescent="0.25">
      <c r="K261" s="58"/>
      <c r="L261" s="59"/>
      <c r="M261" s="54"/>
      <c r="N261" s="55"/>
      <c r="P261" s="58"/>
      <c r="Q261" s="59"/>
      <c r="R261" s="54"/>
      <c r="S261" s="55"/>
    </row>
    <row r="262" spans="11:19" x14ac:dyDescent="0.25">
      <c r="K262" s="58"/>
      <c r="L262" s="59"/>
      <c r="M262" s="54"/>
      <c r="N262" s="55"/>
      <c r="P262" s="58"/>
      <c r="Q262" s="59"/>
      <c r="R262" s="54"/>
      <c r="S262" s="55"/>
    </row>
    <row r="263" spans="11:19" x14ac:dyDescent="0.25">
      <c r="K263" s="58"/>
      <c r="L263" s="59"/>
      <c r="M263" s="54"/>
      <c r="N263" s="55"/>
      <c r="P263" s="58"/>
      <c r="Q263" s="59"/>
      <c r="R263" s="54"/>
      <c r="S263" s="55"/>
    </row>
    <row r="264" spans="11:19" x14ac:dyDescent="0.25">
      <c r="K264" s="58"/>
      <c r="L264" s="59"/>
      <c r="M264" s="54"/>
      <c r="N264" s="55"/>
      <c r="P264" s="58"/>
      <c r="Q264" s="59"/>
      <c r="R264" s="54"/>
      <c r="S264" s="55"/>
    </row>
    <row r="265" spans="11:19" x14ac:dyDescent="0.25">
      <c r="K265" s="58"/>
      <c r="L265" s="59"/>
      <c r="M265" s="54"/>
      <c r="N265" s="55"/>
      <c r="P265" s="58"/>
      <c r="Q265" s="59"/>
      <c r="R265" s="54"/>
      <c r="S265" s="55"/>
    </row>
    <row r="266" spans="11:19" x14ac:dyDescent="0.25">
      <c r="K266" s="58"/>
      <c r="L266" s="59"/>
      <c r="M266" s="54"/>
      <c r="N266" s="55"/>
      <c r="P266" s="58"/>
      <c r="Q266" s="59"/>
      <c r="R266" s="54"/>
      <c r="S266" s="55"/>
    </row>
    <row r="267" spans="11:19" x14ac:dyDescent="0.25">
      <c r="K267" s="58"/>
      <c r="L267" s="59"/>
      <c r="M267" s="54"/>
      <c r="N267" s="55"/>
      <c r="P267" s="58"/>
      <c r="Q267" s="59"/>
      <c r="R267" s="54"/>
      <c r="S267" s="55"/>
    </row>
    <row r="268" spans="11:19" x14ac:dyDescent="0.25">
      <c r="K268" s="58"/>
      <c r="L268" s="59"/>
      <c r="M268" s="54"/>
      <c r="N268" s="55"/>
      <c r="P268" s="58"/>
      <c r="Q268" s="59"/>
      <c r="R268" s="54"/>
      <c r="S268" s="55"/>
    </row>
    <row r="269" spans="11:19" x14ac:dyDescent="0.25">
      <c r="K269" s="58"/>
      <c r="L269" s="59"/>
      <c r="M269" s="54"/>
      <c r="N269" s="55"/>
      <c r="P269" s="58"/>
      <c r="Q269" s="59"/>
      <c r="R269" s="54"/>
      <c r="S269" s="55"/>
    </row>
    <row r="270" spans="11:19" x14ac:dyDescent="0.25">
      <c r="K270" s="58"/>
      <c r="L270" s="59"/>
      <c r="M270" s="54"/>
      <c r="N270" s="55"/>
      <c r="P270" s="58"/>
      <c r="Q270" s="59"/>
      <c r="R270" s="54"/>
      <c r="S270" s="55"/>
    </row>
    <row r="271" spans="11:19" x14ac:dyDescent="0.25">
      <c r="K271" s="58"/>
      <c r="L271" s="59"/>
      <c r="M271" s="54"/>
      <c r="N271" s="55"/>
      <c r="P271" s="58"/>
      <c r="Q271" s="59"/>
      <c r="R271" s="54"/>
      <c r="S271" s="55"/>
    </row>
    <row r="272" spans="11:19" x14ac:dyDescent="0.25">
      <c r="K272" s="58"/>
      <c r="L272" s="59"/>
      <c r="M272" s="54"/>
      <c r="N272" s="55"/>
      <c r="P272" s="58"/>
      <c r="Q272" s="59"/>
      <c r="R272" s="54"/>
      <c r="S272" s="55"/>
    </row>
    <row r="273" spans="11:19" x14ac:dyDescent="0.25">
      <c r="K273" s="58"/>
      <c r="L273" s="59"/>
      <c r="M273" s="54"/>
      <c r="N273" s="55"/>
      <c r="P273" s="58"/>
      <c r="Q273" s="59"/>
      <c r="R273" s="54"/>
      <c r="S273" s="55"/>
    </row>
    <row r="274" spans="11:19" x14ac:dyDescent="0.25">
      <c r="K274" s="58"/>
      <c r="L274" s="59"/>
      <c r="M274" s="54"/>
      <c r="N274" s="55"/>
      <c r="P274" s="58"/>
      <c r="Q274" s="59"/>
      <c r="R274" s="54"/>
      <c r="S274" s="55"/>
    </row>
    <row r="275" spans="11:19" x14ac:dyDescent="0.25">
      <c r="K275" s="58"/>
      <c r="L275" s="59"/>
      <c r="M275" s="54"/>
      <c r="N275" s="55"/>
      <c r="P275" s="58"/>
      <c r="Q275" s="59"/>
      <c r="R275" s="54"/>
      <c r="S275" s="55"/>
    </row>
    <row r="276" spans="11:19" x14ac:dyDescent="0.25">
      <c r="K276" s="58"/>
      <c r="L276" s="59"/>
      <c r="M276" s="54"/>
      <c r="N276" s="55"/>
      <c r="P276" s="58"/>
      <c r="Q276" s="59"/>
      <c r="R276" s="54"/>
      <c r="S276" s="55"/>
    </row>
    <row r="277" spans="11:19" x14ac:dyDescent="0.25">
      <c r="K277" s="58"/>
      <c r="L277" s="59"/>
      <c r="M277" s="54"/>
      <c r="N277" s="55"/>
      <c r="P277" s="58"/>
      <c r="Q277" s="59"/>
      <c r="R277" s="54"/>
      <c r="S277" s="55"/>
    </row>
    <row r="278" spans="11:19" x14ac:dyDescent="0.25">
      <c r="K278" s="58"/>
      <c r="L278" s="59"/>
      <c r="M278" s="54"/>
      <c r="N278" s="55"/>
      <c r="P278" s="58"/>
      <c r="Q278" s="59"/>
      <c r="R278" s="54"/>
      <c r="S278" s="55"/>
    </row>
    <row r="279" spans="11:19" x14ac:dyDescent="0.25">
      <c r="K279" s="58"/>
      <c r="L279" s="59"/>
      <c r="M279" s="54"/>
      <c r="N279" s="55"/>
      <c r="P279" s="58"/>
      <c r="Q279" s="59"/>
      <c r="R279" s="54"/>
      <c r="S279" s="55"/>
    </row>
    <row r="280" spans="11:19" x14ac:dyDescent="0.25">
      <c r="K280" s="58"/>
      <c r="L280" s="59"/>
      <c r="M280" s="54"/>
      <c r="N280" s="55"/>
      <c r="P280" s="58"/>
      <c r="Q280" s="59"/>
      <c r="R280" s="54"/>
      <c r="S280" s="55"/>
    </row>
    <row r="281" spans="11:19" x14ac:dyDescent="0.25">
      <c r="K281" s="58"/>
      <c r="L281" s="59"/>
      <c r="M281" s="54"/>
      <c r="N281" s="55"/>
      <c r="P281" s="58"/>
      <c r="Q281" s="59"/>
      <c r="R281" s="54"/>
      <c r="S281" s="55"/>
    </row>
    <row r="282" spans="11:19" x14ac:dyDescent="0.25">
      <c r="K282" s="58"/>
      <c r="L282" s="59"/>
      <c r="M282" s="54"/>
      <c r="N282" s="55"/>
      <c r="P282" s="58"/>
      <c r="Q282" s="59"/>
      <c r="R282" s="54"/>
      <c r="S282" s="55"/>
    </row>
    <row r="283" spans="11:19" x14ac:dyDescent="0.25">
      <c r="K283" s="58"/>
      <c r="L283" s="59"/>
      <c r="M283" s="54"/>
      <c r="N283" s="55"/>
      <c r="P283" s="58"/>
      <c r="Q283" s="59"/>
      <c r="R283" s="54"/>
      <c r="S283" s="55"/>
    </row>
    <row r="284" spans="11:19" x14ac:dyDescent="0.25">
      <c r="K284" s="58"/>
      <c r="L284" s="59"/>
      <c r="M284" s="54"/>
      <c r="N284" s="55"/>
      <c r="P284" s="58"/>
      <c r="Q284" s="59"/>
      <c r="R284" s="54"/>
      <c r="S284" s="55"/>
    </row>
    <row r="285" spans="11:19" x14ac:dyDescent="0.25">
      <c r="K285" s="58"/>
      <c r="L285" s="59"/>
      <c r="M285" s="54"/>
      <c r="N285" s="55"/>
      <c r="P285" s="58"/>
      <c r="Q285" s="59"/>
      <c r="R285" s="54"/>
      <c r="S285" s="55"/>
    </row>
    <row r="286" spans="11:19" x14ac:dyDescent="0.25">
      <c r="K286" s="58"/>
      <c r="L286" s="59"/>
      <c r="M286" s="54"/>
      <c r="N286" s="55"/>
      <c r="P286" s="58"/>
      <c r="Q286" s="59"/>
      <c r="R286" s="54"/>
      <c r="S286" s="55"/>
    </row>
    <row r="287" spans="11:19" x14ac:dyDescent="0.25">
      <c r="K287" s="58"/>
      <c r="L287" s="59"/>
      <c r="M287" s="54"/>
      <c r="N287" s="55"/>
      <c r="P287" s="58"/>
      <c r="Q287" s="59"/>
      <c r="R287" s="54"/>
      <c r="S287" s="55"/>
    </row>
    <row r="288" spans="11:19" x14ac:dyDescent="0.25">
      <c r="K288" s="58"/>
      <c r="L288" s="59"/>
      <c r="M288" s="54"/>
      <c r="N288" s="55"/>
      <c r="P288" s="58"/>
      <c r="Q288" s="59"/>
      <c r="R288" s="54"/>
      <c r="S288" s="55"/>
    </row>
    <row r="289" spans="11:19" x14ac:dyDescent="0.25">
      <c r="K289" s="58"/>
      <c r="L289" s="59"/>
      <c r="M289" s="54"/>
      <c r="N289" s="55"/>
      <c r="P289" s="58"/>
      <c r="Q289" s="59"/>
      <c r="R289" s="54"/>
      <c r="S289" s="55"/>
    </row>
    <row r="290" spans="11:19" x14ac:dyDescent="0.25">
      <c r="K290" s="58"/>
      <c r="L290" s="59"/>
      <c r="M290" s="54"/>
      <c r="N290" s="55"/>
      <c r="P290" s="58"/>
      <c r="Q290" s="59"/>
      <c r="R290" s="54"/>
      <c r="S290" s="55"/>
    </row>
    <row r="291" spans="11:19" x14ac:dyDescent="0.25">
      <c r="K291" s="58"/>
      <c r="L291" s="59"/>
      <c r="M291" s="54"/>
      <c r="N291" s="55"/>
      <c r="P291" s="58"/>
      <c r="Q291" s="59"/>
      <c r="R291" s="54"/>
      <c r="S291" s="55"/>
    </row>
    <row r="292" spans="11:19" x14ac:dyDescent="0.25">
      <c r="K292" s="58"/>
      <c r="L292" s="59"/>
      <c r="M292" s="54"/>
      <c r="N292" s="55"/>
      <c r="P292" s="58"/>
      <c r="Q292" s="59"/>
      <c r="R292" s="54"/>
      <c r="S292" s="55"/>
    </row>
    <row r="293" spans="11:19" x14ac:dyDescent="0.25">
      <c r="K293" s="58"/>
      <c r="L293" s="59"/>
      <c r="M293" s="54"/>
      <c r="N293" s="55"/>
      <c r="P293" s="58"/>
      <c r="Q293" s="59"/>
      <c r="R293" s="54"/>
      <c r="S293" s="55"/>
    </row>
    <row r="294" spans="11:19" x14ac:dyDescent="0.25">
      <c r="K294" s="58"/>
      <c r="L294" s="59"/>
      <c r="M294" s="54"/>
      <c r="N294" s="55"/>
      <c r="P294" s="58"/>
      <c r="Q294" s="59"/>
      <c r="R294" s="54"/>
      <c r="S294" s="55"/>
    </row>
    <row r="295" spans="11:19" x14ac:dyDescent="0.25">
      <c r="K295" s="58"/>
      <c r="L295" s="59"/>
      <c r="M295" s="54"/>
      <c r="N295" s="55"/>
      <c r="P295" s="58"/>
      <c r="Q295" s="59"/>
      <c r="R295" s="54"/>
      <c r="S295" s="55"/>
    </row>
    <row r="296" spans="11:19" x14ac:dyDescent="0.25">
      <c r="K296" s="58"/>
      <c r="L296" s="59"/>
      <c r="M296" s="54"/>
      <c r="N296" s="55"/>
      <c r="P296" s="58"/>
      <c r="Q296" s="59"/>
      <c r="R296" s="54"/>
      <c r="S296" s="55"/>
    </row>
    <row r="297" spans="11:19" x14ac:dyDescent="0.25">
      <c r="K297" s="58"/>
      <c r="L297" s="59"/>
      <c r="M297" s="54"/>
      <c r="N297" s="55"/>
      <c r="P297" s="58"/>
      <c r="Q297" s="59"/>
      <c r="R297" s="54"/>
      <c r="S297" s="55"/>
    </row>
    <row r="298" spans="11:19" x14ac:dyDescent="0.25">
      <c r="K298" s="58"/>
      <c r="L298" s="59"/>
      <c r="M298" s="54"/>
      <c r="N298" s="55"/>
      <c r="P298" s="58"/>
      <c r="Q298" s="59"/>
      <c r="R298" s="54"/>
      <c r="S298" s="55"/>
    </row>
    <row r="299" spans="11:19" x14ac:dyDescent="0.25">
      <c r="K299" s="58"/>
      <c r="L299" s="59"/>
      <c r="M299" s="54"/>
      <c r="N299" s="55"/>
      <c r="P299" s="58"/>
      <c r="Q299" s="59"/>
      <c r="R299" s="54"/>
      <c r="S299" s="55"/>
    </row>
    <row r="300" spans="11:19" x14ac:dyDescent="0.25">
      <c r="K300" s="58"/>
      <c r="L300" s="59"/>
      <c r="M300" s="54"/>
      <c r="N300" s="55"/>
      <c r="P300" s="58"/>
      <c r="Q300" s="59"/>
      <c r="R300" s="54"/>
      <c r="S300" s="55"/>
    </row>
    <row r="301" spans="11:19" x14ac:dyDescent="0.25">
      <c r="K301" s="58"/>
      <c r="L301" s="59"/>
      <c r="M301" s="54"/>
      <c r="N301" s="55"/>
      <c r="P301" s="58"/>
      <c r="Q301" s="59"/>
      <c r="R301" s="54"/>
      <c r="S301" s="55"/>
    </row>
    <row r="302" spans="11:19" x14ac:dyDescent="0.25">
      <c r="K302" s="58"/>
      <c r="L302" s="59"/>
      <c r="M302" s="54"/>
      <c r="N302" s="55"/>
      <c r="P302" s="58"/>
      <c r="Q302" s="59"/>
      <c r="R302" s="54"/>
      <c r="S302" s="55"/>
    </row>
    <row r="303" spans="11:19" x14ac:dyDescent="0.25">
      <c r="K303" s="58"/>
      <c r="L303" s="59"/>
      <c r="M303" s="54"/>
      <c r="N303" s="55"/>
      <c r="P303" s="58"/>
      <c r="Q303" s="59"/>
      <c r="R303" s="54"/>
      <c r="S303" s="55"/>
    </row>
    <row r="304" spans="11:19" x14ac:dyDescent="0.25">
      <c r="K304" s="58"/>
      <c r="L304" s="59"/>
      <c r="M304" s="54"/>
      <c r="N304" s="55"/>
      <c r="P304" s="58"/>
      <c r="Q304" s="59"/>
      <c r="R304" s="54"/>
      <c r="S304" s="55"/>
    </row>
    <row r="305" spans="11:19" x14ac:dyDescent="0.25">
      <c r="K305" s="58"/>
      <c r="L305" s="59"/>
      <c r="M305" s="54"/>
      <c r="N305" s="55"/>
      <c r="P305" s="58"/>
      <c r="Q305" s="59"/>
      <c r="R305" s="54"/>
      <c r="S305" s="55"/>
    </row>
    <row r="306" spans="11:19" x14ac:dyDescent="0.25">
      <c r="K306" s="58"/>
      <c r="L306" s="59"/>
      <c r="M306" s="54"/>
      <c r="N306" s="55"/>
      <c r="P306" s="58"/>
      <c r="Q306" s="59"/>
      <c r="R306" s="54"/>
      <c r="S306" s="55"/>
    </row>
    <row r="307" spans="11:19" x14ac:dyDescent="0.25">
      <c r="K307" s="58"/>
      <c r="L307" s="59"/>
      <c r="M307" s="54"/>
      <c r="N307" s="55"/>
      <c r="P307" s="58"/>
      <c r="Q307" s="59"/>
      <c r="R307" s="54"/>
      <c r="S307" s="55"/>
    </row>
    <row r="308" spans="11:19" x14ac:dyDescent="0.25">
      <c r="K308" s="58"/>
      <c r="L308" s="59"/>
      <c r="M308" s="54"/>
      <c r="N308" s="55"/>
      <c r="P308" s="58"/>
      <c r="Q308" s="59"/>
      <c r="R308" s="54"/>
      <c r="S308" s="55"/>
    </row>
    <row r="309" spans="11:19" x14ac:dyDescent="0.25">
      <c r="K309" s="58"/>
      <c r="L309" s="59"/>
      <c r="M309" s="54"/>
      <c r="N309" s="55"/>
      <c r="P309" s="58"/>
      <c r="Q309" s="59"/>
      <c r="R309" s="54"/>
      <c r="S309" s="55"/>
    </row>
    <row r="310" spans="11:19" x14ac:dyDescent="0.25">
      <c r="K310" s="58"/>
      <c r="L310" s="59"/>
      <c r="M310" s="54"/>
      <c r="N310" s="55"/>
      <c r="P310" s="58"/>
      <c r="Q310" s="59"/>
      <c r="R310" s="54"/>
      <c r="S310" s="55"/>
    </row>
    <row r="311" spans="11:19" x14ac:dyDescent="0.25">
      <c r="K311" s="58"/>
      <c r="L311" s="59"/>
      <c r="M311" s="54"/>
      <c r="N311" s="55"/>
      <c r="P311" s="58"/>
      <c r="Q311" s="59"/>
      <c r="R311" s="54"/>
      <c r="S311" s="55"/>
    </row>
    <row r="312" spans="11:19" x14ac:dyDescent="0.25">
      <c r="K312" s="58"/>
      <c r="L312" s="59"/>
      <c r="M312" s="54"/>
      <c r="N312" s="55"/>
      <c r="P312" s="58"/>
      <c r="Q312" s="59"/>
      <c r="R312" s="54"/>
      <c r="S312" s="55"/>
    </row>
    <row r="313" spans="11:19" x14ac:dyDescent="0.25">
      <c r="K313" s="58"/>
      <c r="L313" s="59"/>
      <c r="M313" s="54"/>
      <c r="N313" s="55"/>
      <c r="P313" s="58"/>
      <c r="Q313" s="59"/>
      <c r="R313" s="54"/>
      <c r="S313" s="55"/>
    </row>
    <row r="314" spans="11:19" x14ac:dyDescent="0.25">
      <c r="K314" s="58"/>
      <c r="L314" s="59"/>
      <c r="M314" s="54"/>
      <c r="N314" s="55"/>
      <c r="P314" s="58"/>
      <c r="Q314" s="59"/>
      <c r="R314" s="54"/>
      <c r="S314" s="55"/>
    </row>
    <row r="315" spans="11:19" x14ac:dyDescent="0.25">
      <c r="K315" s="58"/>
      <c r="L315" s="59"/>
      <c r="M315" s="54"/>
      <c r="N315" s="55"/>
      <c r="P315" s="58"/>
      <c r="Q315" s="59"/>
      <c r="R315" s="54"/>
      <c r="S315" s="55"/>
    </row>
    <row r="316" spans="11:19" x14ac:dyDescent="0.25">
      <c r="K316" s="58"/>
      <c r="L316" s="59"/>
      <c r="M316" s="54"/>
      <c r="N316" s="55"/>
      <c r="P316" s="58"/>
      <c r="Q316" s="59"/>
      <c r="R316" s="54"/>
      <c r="S316" s="55"/>
    </row>
    <row r="317" spans="11:19" x14ac:dyDescent="0.25">
      <c r="K317" s="58"/>
      <c r="L317" s="59"/>
      <c r="M317" s="54"/>
      <c r="N317" s="55"/>
      <c r="P317" s="58"/>
      <c r="Q317" s="59"/>
      <c r="R317" s="54"/>
      <c r="S317" s="55"/>
    </row>
    <row r="318" spans="11:19" x14ac:dyDescent="0.25">
      <c r="K318" s="58"/>
      <c r="L318" s="59"/>
      <c r="M318" s="54"/>
      <c r="N318" s="55"/>
      <c r="P318" s="58"/>
      <c r="Q318" s="59"/>
      <c r="R318" s="54"/>
      <c r="S318" s="55"/>
    </row>
    <row r="319" spans="11:19" x14ac:dyDescent="0.25">
      <c r="K319" s="58"/>
      <c r="L319" s="59"/>
      <c r="M319" s="54"/>
      <c r="N319" s="55"/>
      <c r="P319" s="58"/>
      <c r="Q319" s="59"/>
      <c r="R319" s="54"/>
      <c r="S319" s="55"/>
    </row>
    <row r="320" spans="11:19" x14ac:dyDescent="0.25">
      <c r="K320" s="58"/>
      <c r="L320" s="59"/>
      <c r="M320" s="54"/>
      <c r="N320" s="55"/>
      <c r="P320" s="58"/>
      <c r="Q320" s="59"/>
      <c r="R320" s="54"/>
      <c r="S320" s="55"/>
    </row>
    <row r="321" spans="11:19" x14ac:dyDescent="0.25">
      <c r="K321" s="58"/>
      <c r="L321" s="59"/>
      <c r="M321" s="54"/>
      <c r="N321" s="55"/>
      <c r="P321" s="58"/>
      <c r="Q321" s="59"/>
      <c r="R321" s="54"/>
      <c r="S321" s="55"/>
    </row>
    <row r="322" spans="11:19" x14ac:dyDescent="0.25">
      <c r="K322" s="58"/>
      <c r="L322" s="59"/>
      <c r="M322" s="54"/>
      <c r="N322" s="55"/>
      <c r="P322" s="58"/>
      <c r="Q322" s="59"/>
      <c r="R322" s="54"/>
      <c r="S322" s="55"/>
    </row>
    <row r="323" spans="11:19" x14ac:dyDescent="0.25">
      <c r="K323" s="58"/>
      <c r="L323" s="59"/>
      <c r="M323" s="54"/>
      <c r="N323" s="55"/>
      <c r="P323" s="58"/>
      <c r="Q323" s="59"/>
      <c r="R323" s="54"/>
      <c r="S323" s="55"/>
    </row>
    <row r="324" spans="11:19" x14ac:dyDescent="0.25">
      <c r="K324" s="58"/>
      <c r="L324" s="59"/>
      <c r="M324" s="54"/>
      <c r="N324" s="55"/>
      <c r="P324" s="58"/>
      <c r="Q324" s="59"/>
      <c r="R324" s="54"/>
      <c r="S324" s="55"/>
    </row>
    <row r="325" spans="11:19" x14ac:dyDescent="0.25">
      <c r="K325" s="58"/>
      <c r="L325" s="59"/>
      <c r="M325" s="54"/>
      <c r="N325" s="55"/>
      <c r="P325" s="58"/>
      <c r="Q325" s="59"/>
      <c r="R325" s="54"/>
      <c r="S325" s="55"/>
    </row>
    <row r="326" spans="11:19" x14ac:dyDescent="0.25">
      <c r="K326" s="58"/>
      <c r="L326" s="59"/>
      <c r="M326" s="54"/>
      <c r="N326" s="55"/>
      <c r="P326" s="58"/>
      <c r="Q326" s="59"/>
      <c r="R326" s="54"/>
      <c r="S326" s="55"/>
    </row>
    <row r="327" spans="11:19" x14ac:dyDescent="0.25">
      <c r="K327" s="58"/>
      <c r="L327" s="59"/>
      <c r="M327" s="54"/>
      <c r="N327" s="55"/>
      <c r="P327" s="58"/>
      <c r="Q327" s="59"/>
      <c r="R327" s="54"/>
      <c r="S327" s="55"/>
    </row>
    <row r="328" spans="11:19" x14ac:dyDescent="0.25">
      <c r="K328" s="58"/>
      <c r="L328" s="59"/>
      <c r="M328" s="54"/>
      <c r="N328" s="55"/>
      <c r="P328" s="58"/>
      <c r="Q328" s="59"/>
      <c r="R328" s="54"/>
      <c r="S328" s="55"/>
    </row>
    <row r="329" spans="11:19" x14ac:dyDescent="0.25">
      <c r="K329" s="58"/>
      <c r="L329" s="59"/>
      <c r="M329" s="54"/>
      <c r="N329" s="55"/>
      <c r="P329" s="58"/>
      <c r="Q329" s="59"/>
      <c r="R329" s="54"/>
      <c r="S329" s="55"/>
    </row>
    <row r="330" spans="11:19" x14ac:dyDescent="0.25">
      <c r="K330" s="58"/>
      <c r="L330" s="59"/>
      <c r="M330" s="54"/>
      <c r="N330" s="55"/>
      <c r="P330" s="58"/>
      <c r="Q330" s="59"/>
      <c r="R330" s="54"/>
      <c r="S330" s="55"/>
    </row>
    <row r="331" spans="11:19" x14ac:dyDescent="0.25">
      <c r="K331" s="58"/>
      <c r="L331" s="59"/>
      <c r="M331" s="54"/>
      <c r="N331" s="55"/>
      <c r="P331" s="58"/>
      <c r="Q331" s="59"/>
      <c r="R331" s="54"/>
      <c r="S331" s="55"/>
    </row>
    <row r="332" spans="11:19" x14ac:dyDescent="0.25">
      <c r="K332" s="58"/>
      <c r="L332" s="59"/>
      <c r="M332" s="54"/>
      <c r="N332" s="55"/>
      <c r="P332" s="58"/>
      <c r="Q332" s="59"/>
      <c r="R332" s="54"/>
      <c r="S332" s="55"/>
    </row>
    <row r="333" spans="11:19" x14ac:dyDescent="0.25">
      <c r="K333" s="58"/>
      <c r="L333" s="59"/>
      <c r="M333" s="54"/>
      <c r="N333" s="55"/>
      <c r="P333" s="58"/>
      <c r="Q333" s="59"/>
      <c r="R333" s="54"/>
      <c r="S333" s="55"/>
    </row>
    <row r="334" spans="11:19" x14ac:dyDescent="0.25">
      <c r="K334" s="58"/>
      <c r="L334" s="59"/>
      <c r="M334" s="54"/>
      <c r="N334" s="55"/>
      <c r="P334" s="58"/>
      <c r="Q334" s="59"/>
      <c r="R334" s="54"/>
      <c r="S334" s="55"/>
    </row>
    <row r="335" spans="11:19" x14ac:dyDescent="0.25">
      <c r="K335" s="58"/>
      <c r="L335" s="59"/>
      <c r="M335" s="54"/>
      <c r="N335" s="55"/>
      <c r="P335" s="58"/>
      <c r="Q335" s="59"/>
      <c r="R335" s="54"/>
      <c r="S335" s="55"/>
    </row>
    <row r="336" spans="11:19" x14ac:dyDescent="0.25">
      <c r="K336" s="58"/>
      <c r="L336" s="59"/>
      <c r="M336" s="54"/>
      <c r="N336" s="55"/>
      <c r="P336" s="58"/>
      <c r="Q336" s="59"/>
      <c r="R336" s="54"/>
      <c r="S336" s="55"/>
    </row>
    <row r="337" spans="11:19" x14ac:dyDescent="0.25">
      <c r="K337" s="58"/>
      <c r="L337" s="59"/>
      <c r="M337" s="54"/>
      <c r="N337" s="55"/>
      <c r="P337" s="58"/>
      <c r="Q337" s="59"/>
      <c r="R337" s="54"/>
      <c r="S337" s="55"/>
    </row>
    <row r="338" spans="11:19" x14ac:dyDescent="0.25">
      <c r="K338" s="58"/>
      <c r="L338" s="59"/>
      <c r="M338" s="54"/>
      <c r="N338" s="55"/>
      <c r="P338" s="58"/>
      <c r="Q338" s="59"/>
      <c r="R338" s="54"/>
      <c r="S338" s="55"/>
    </row>
    <row r="339" spans="11:19" x14ac:dyDescent="0.25">
      <c r="K339" s="58"/>
      <c r="L339" s="59"/>
      <c r="M339" s="54"/>
      <c r="N339" s="55"/>
      <c r="P339" s="58"/>
      <c r="Q339" s="59"/>
      <c r="R339" s="54"/>
      <c r="S339" s="55"/>
    </row>
    <row r="340" spans="11:19" x14ac:dyDescent="0.25">
      <c r="K340" s="58"/>
      <c r="L340" s="59"/>
      <c r="M340" s="54"/>
      <c r="N340" s="55"/>
      <c r="P340" s="58"/>
      <c r="Q340" s="59"/>
      <c r="R340" s="54"/>
      <c r="S340" s="55"/>
    </row>
    <row r="341" spans="11:19" x14ac:dyDescent="0.25">
      <c r="K341" s="58"/>
      <c r="L341" s="59"/>
      <c r="M341" s="54"/>
      <c r="N341" s="55"/>
      <c r="P341" s="58"/>
      <c r="Q341" s="59"/>
      <c r="R341" s="54"/>
      <c r="S341" s="55"/>
    </row>
    <row r="342" spans="11:19" x14ac:dyDescent="0.25">
      <c r="K342" s="58"/>
      <c r="L342" s="59"/>
      <c r="M342" s="54"/>
      <c r="N342" s="55"/>
      <c r="P342" s="58"/>
      <c r="Q342" s="59"/>
      <c r="R342" s="54"/>
      <c r="S342" s="55"/>
    </row>
    <row r="343" spans="11:19" x14ac:dyDescent="0.25">
      <c r="K343" s="58"/>
      <c r="L343" s="59"/>
      <c r="M343" s="54"/>
      <c r="N343" s="55"/>
      <c r="P343" s="58"/>
      <c r="Q343" s="59"/>
      <c r="R343" s="54"/>
      <c r="S343" s="55"/>
    </row>
    <row r="344" spans="11:19" x14ac:dyDescent="0.25">
      <c r="K344" s="58"/>
      <c r="L344" s="59"/>
      <c r="M344" s="54"/>
      <c r="N344" s="55"/>
      <c r="P344" s="58"/>
      <c r="Q344" s="59"/>
      <c r="R344" s="54"/>
      <c r="S344" s="55"/>
    </row>
    <row r="345" spans="11:19" x14ac:dyDescent="0.25">
      <c r="K345" s="58"/>
      <c r="L345" s="59"/>
      <c r="M345" s="54"/>
      <c r="N345" s="55"/>
      <c r="P345" s="58"/>
      <c r="Q345" s="59"/>
      <c r="R345" s="54"/>
      <c r="S345" s="55"/>
    </row>
    <row r="346" spans="11:19" x14ac:dyDescent="0.25">
      <c r="K346" s="58"/>
      <c r="L346" s="59"/>
      <c r="M346" s="54"/>
      <c r="N346" s="55"/>
      <c r="P346" s="58"/>
      <c r="Q346" s="59"/>
      <c r="R346" s="54"/>
      <c r="S346" s="55"/>
    </row>
    <row r="347" spans="11:19" x14ac:dyDescent="0.25">
      <c r="K347" s="58"/>
      <c r="L347" s="59"/>
      <c r="M347" s="54"/>
      <c r="N347" s="55"/>
      <c r="P347" s="58"/>
      <c r="Q347" s="59"/>
      <c r="R347" s="54"/>
      <c r="S347" s="55"/>
    </row>
    <row r="348" spans="11:19" ht="15.75" thickBot="1" x14ac:dyDescent="0.3">
      <c r="K348" s="60"/>
      <c r="L348" s="61"/>
      <c r="M348" s="56"/>
      <c r="N348" s="57"/>
      <c r="P348" s="60"/>
      <c r="Q348" s="61"/>
      <c r="R348" s="56"/>
      <c r="S348" s="57"/>
    </row>
  </sheetData>
  <mergeCells count="4">
    <mergeCell ref="A8:D8"/>
    <mergeCell ref="F8:I8"/>
    <mergeCell ref="K8:N8"/>
    <mergeCell ref="P8:S8"/>
  </mergeCells>
  <conditionalFormatting sqref="G3">
    <cfRule type="cellIs" dxfId="54" priority="5" operator="greaterThan">
      <formula>$J$4</formula>
    </cfRule>
  </conditionalFormatting>
  <conditionalFormatting sqref="T5">
    <cfRule type="cellIs" dxfId="53" priority="1" operator="greaterThan">
      <formula>$T$6</formula>
    </cfRule>
    <cfRule type="cellIs" dxfId="52" priority="4" operator="lessThan">
      <formula>$T$6</formula>
    </cfRule>
  </conditionalFormatting>
  <conditionalFormatting sqref="T6">
    <cfRule type="cellIs" dxfId="51" priority="2" operator="greaterThan">
      <formula>$T$5</formula>
    </cfRule>
    <cfRule type="cellIs" dxfId="50" priority="3" operator="lessThan">
      <formula>$T$5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3ECCBC-3D80-43DB-AC56-CFF28B424502}">
  <sheetPr codeName="Sheet21"/>
  <dimension ref="A1:T348"/>
  <sheetViews>
    <sheetView zoomScale="70" zoomScaleNormal="70" workbookViewId="0">
      <pane ySplit="9" topLeftCell="A10" activePane="bottomLeft" state="frozen"/>
      <selection pane="bottomLeft" activeCell="T19" sqref="T19"/>
    </sheetView>
  </sheetViews>
  <sheetFormatPr baseColWidth="10" defaultColWidth="9.140625" defaultRowHeight="15" x14ac:dyDescent="0.25"/>
  <cols>
    <col min="2" max="2" width="11.85546875" bestFit="1" customWidth="1"/>
    <col min="3" max="3" width="13.85546875" customWidth="1"/>
    <col min="4" max="4" width="14.5703125" customWidth="1"/>
    <col min="5" max="8" width="14.5703125" bestFit="1" customWidth="1"/>
    <col min="9" max="9" width="11.42578125" bestFit="1" customWidth="1"/>
    <col min="10" max="10" width="12.140625" bestFit="1" customWidth="1"/>
    <col min="12" max="12" width="11.85546875" bestFit="1" customWidth="1"/>
    <col min="13" max="13" width="13.85546875" bestFit="1" customWidth="1"/>
    <col min="14" max="14" width="12.7109375" bestFit="1" customWidth="1"/>
    <col min="15" max="15" width="8.7109375" customWidth="1"/>
    <col min="18" max="18" width="13.85546875" bestFit="1" customWidth="1"/>
    <col min="19" max="19" width="11.5703125" bestFit="1" customWidth="1"/>
    <col min="20" max="20" width="12.42578125" bestFit="1" customWidth="1"/>
    <col min="22" max="23" width="14.5703125" bestFit="1" customWidth="1"/>
    <col min="24" max="24" width="15.85546875" bestFit="1" customWidth="1"/>
    <col min="26" max="26" width="15.85546875" bestFit="1" customWidth="1"/>
  </cols>
  <sheetData>
    <row r="1" spans="1:20" ht="15.75" thickBot="1" x14ac:dyDescent="0.3">
      <c r="C1" s="1" t="s">
        <v>0</v>
      </c>
      <c r="D1" s="2" t="s">
        <v>1</v>
      </c>
      <c r="E1" s="1" t="s">
        <v>2</v>
      </c>
      <c r="F1" s="2" t="s">
        <v>3</v>
      </c>
      <c r="G1" s="63" t="s">
        <v>4</v>
      </c>
      <c r="H1" s="81" t="s">
        <v>24</v>
      </c>
      <c r="I1" s="66" t="s">
        <v>5</v>
      </c>
      <c r="J1" s="3">
        <v>368</v>
      </c>
      <c r="M1" s="1" t="s">
        <v>5</v>
      </c>
      <c r="N1" s="4" t="s">
        <v>6</v>
      </c>
      <c r="P1" t="s">
        <v>0</v>
      </c>
      <c r="Q1">
        <f>SUM(E10:E54)</f>
        <v>11</v>
      </c>
      <c r="R1" t="s">
        <v>2</v>
      </c>
      <c r="S1">
        <f>(M3/M2)*Q1</f>
        <v>7.3333333333333339</v>
      </c>
      <c r="T1">
        <f>S1-7</f>
        <v>0.33333333333333393</v>
      </c>
    </row>
    <row r="2" spans="1:20" ht="15.75" thickBot="1" x14ac:dyDescent="0.3">
      <c r="B2" s="5" t="s">
        <v>7</v>
      </c>
      <c r="C2" s="6">
        <f>SUMPRODUCT(C10:C118,E10:E118)</f>
        <v>5960701</v>
      </c>
      <c r="D2" s="7">
        <f>SUMPRODUCT(H10:H118,J10:J118)</f>
        <v>1663062</v>
      </c>
      <c r="E2" s="6">
        <f>SUMPRODUCT(M10:M348,O10:O348)</f>
        <v>5587768</v>
      </c>
      <c r="F2" s="7">
        <f>SUMPRODUCT(R10:R348,T10:T348)</f>
        <v>4769837</v>
      </c>
      <c r="G2" s="64">
        <f>C2+D2+E2+F2</f>
        <v>17981368</v>
      </c>
      <c r="H2" s="82">
        <v>24786935</v>
      </c>
      <c r="I2" s="67" t="s">
        <v>6</v>
      </c>
      <c r="J2" s="8">
        <v>334</v>
      </c>
      <c r="L2" s="5" t="s">
        <v>8</v>
      </c>
      <c r="M2" s="9">
        <v>0.6</v>
      </c>
      <c r="N2" s="10">
        <v>0.25</v>
      </c>
      <c r="P2" t="s">
        <v>3</v>
      </c>
      <c r="Q2">
        <f>SUM(T10:T64)</f>
        <v>7.0000000000000009</v>
      </c>
      <c r="R2" t="s">
        <v>1</v>
      </c>
      <c r="S2">
        <f>(N2/N3)*Q2</f>
        <v>2.3333333333333335</v>
      </c>
      <c r="T2">
        <f>S2-2</f>
        <v>0.33333333333333348</v>
      </c>
    </row>
    <row r="3" spans="1:20" ht="15.75" thickBot="1" x14ac:dyDescent="0.3">
      <c r="B3" s="11" t="s">
        <v>9</v>
      </c>
      <c r="C3" s="12">
        <f>SUMPRODUCT(B10:B118,E10:E118)</f>
        <v>333.58695652173918</v>
      </c>
      <c r="D3" s="13">
        <f>SUMPRODUCT(G10:G118,J10:J118)</f>
        <v>77.964071856287433</v>
      </c>
      <c r="E3" s="12">
        <f>SUMPRODUCT(L10:L348,O10:O348)</f>
        <v>222.39130434782612</v>
      </c>
      <c r="F3" s="13">
        <f>SUMPRODUCT(Q10:Q348,T10:T348)</f>
        <v>233.8922155688623</v>
      </c>
      <c r="G3" s="65">
        <f>SUM(C3:F3)</f>
        <v>867.83454829471509</v>
      </c>
      <c r="H3" s="80">
        <f>(H2-G2)/G2</f>
        <v>0.37847882319076059</v>
      </c>
      <c r="I3" s="67" t="s">
        <v>10</v>
      </c>
      <c r="J3" s="8">
        <f>11160</f>
        <v>11160</v>
      </c>
      <c r="L3" s="14" t="s">
        <v>11</v>
      </c>
      <c r="M3" s="15">
        <v>0.4</v>
      </c>
      <c r="N3" s="16">
        <v>0.75</v>
      </c>
      <c r="P3" t="s">
        <v>0</v>
      </c>
      <c r="Q3">
        <v>1</v>
      </c>
      <c r="R3" t="s">
        <v>2</v>
      </c>
      <c r="S3">
        <f>(M3/M2)*Q3</f>
        <v>0.66666666666666674</v>
      </c>
    </row>
    <row r="4" spans="1:20" ht="15.75" thickBot="1" x14ac:dyDescent="0.3">
      <c r="B4" s="14" t="s">
        <v>12</v>
      </c>
      <c r="C4" s="17">
        <f>SUM(E10:E118)*J3</f>
        <v>122760</v>
      </c>
      <c r="D4" s="18">
        <f>SUM(J10:J118)*J3</f>
        <v>26040</v>
      </c>
      <c r="E4" s="17">
        <f>SUM(O10:O348)*J3</f>
        <v>81840</v>
      </c>
      <c r="F4" s="18">
        <f>SUM(T10:T348)*J3</f>
        <v>78120.000000000015</v>
      </c>
      <c r="G4" s="19">
        <f>SUM(C4:F4)</f>
        <v>308760</v>
      </c>
      <c r="H4" s="20"/>
      <c r="I4" s="21" t="s">
        <v>13</v>
      </c>
      <c r="J4" s="22">
        <v>100000</v>
      </c>
      <c r="L4" s="5" t="s">
        <v>14</v>
      </c>
      <c r="M4" s="76">
        <f>C4/(C4+E4)</f>
        <v>0.6</v>
      </c>
      <c r="N4" s="77">
        <f>D4/(D4+F4)</f>
        <v>0.24999999999999997</v>
      </c>
      <c r="O4" s="23"/>
      <c r="P4" t="s">
        <v>3</v>
      </c>
      <c r="Q4">
        <v>1</v>
      </c>
      <c r="R4" t="s">
        <v>1</v>
      </c>
      <c r="S4">
        <f>(N2/N3)*Q4</f>
        <v>0.33333333333333331</v>
      </c>
    </row>
    <row r="5" spans="1:20" ht="15.75" thickBot="1" x14ac:dyDescent="0.3">
      <c r="B5" s="24" t="s">
        <v>15</v>
      </c>
      <c r="C5" s="25">
        <v>217620</v>
      </c>
      <c r="D5" s="26">
        <v>74400</v>
      </c>
      <c r="E5" s="27">
        <v>145080</v>
      </c>
      <c r="F5" s="26">
        <v>223200</v>
      </c>
      <c r="G5" s="28">
        <f>SUM(C5:F5)</f>
        <v>660300</v>
      </c>
      <c r="H5" s="20"/>
      <c r="I5" s="20"/>
      <c r="L5" s="29" t="s">
        <v>16</v>
      </c>
      <c r="M5" s="78">
        <f>E4/(C4+E4)</f>
        <v>0.4</v>
      </c>
      <c r="N5" s="79">
        <f>F4/(D4+F4)</f>
        <v>0.75</v>
      </c>
      <c r="O5" s="23"/>
      <c r="P5" t="s">
        <v>0</v>
      </c>
      <c r="Q5">
        <v>4892.7842293906815</v>
      </c>
      <c r="R5" t="s">
        <v>2</v>
      </c>
      <c r="S5">
        <v>21357.354838709678</v>
      </c>
      <c r="T5">
        <f>Q5*Q3+S5*S3</f>
        <v>19131.02078853047</v>
      </c>
    </row>
    <row r="6" spans="1:20" ht="15.75" thickBot="1" x14ac:dyDescent="0.3">
      <c r="B6" s="24" t="s">
        <v>17</v>
      </c>
      <c r="C6" s="27">
        <f>C5-C4</f>
        <v>94860</v>
      </c>
      <c r="D6" s="30">
        <f>D5-D4</f>
        <v>48360</v>
      </c>
      <c r="E6" s="27">
        <f>E5-E4</f>
        <v>63240</v>
      </c>
      <c r="F6" s="30">
        <f>F5-F4</f>
        <v>145080</v>
      </c>
      <c r="H6" s="20">
        <v>11610446.222222222</v>
      </c>
      <c r="I6" s="20"/>
      <c r="J6" s="62"/>
      <c r="N6" s="23"/>
      <c r="O6" s="23"/>
      <c r="P6" t="s">
        <v>3</v>
      </c>
      <c r="Q6">
        <v>13274.195519713261</v>
      </c>
      <c r="R6" t="s">
        <v>1</v>
      </c>
      <c r="S6">
        <v>18763.617204301077</v>
      </c>
      <c r="T6">
        <f>Q6*Q4+S6*S4</f>
        <v>19528.734587813618</v>
      </c>
    </row>
    <row r="7" spans="1:20" ht="15.75" thickBot="1" x14ac:dyDescent="0.3"/>
    <row r="8" spans="1:20" ht="15.75" thickBot="1" x14ac:dyDescent="0.3">
      <c r="A8" s="113" t="s">
        <v>18</v>
      </c>
      <c r="B8" s="114"/>
      <c r="C8" s="114"/>
      <c r="D8" s="115"/>
      <c r="E8" s="31"/>
      <c r="F8" s="113" t="s">
        <v>19</v>
      </c>
      <c r="G8" s="114"/>
      <c r="H8" s="114"/>
      <c r="I8" s="115"/>
      <c r="J8" s="31"/>
      <c r="K8" s="113" t="s">
        <v>20</v>
      </c>
      <c r="L8" s="114"/>
      <c r="M8" s="114"/>
      <c r="N8" s="115"/>
      <c r="O8" s="31"/>
      <c r="P8" s="113" t="s">
        <v>21</v>
      </c>
      <c r="Q8" s="114"/>
      <c r="R8" s="114"/>
      <c r="S8" s="115"/>
    </row>
    <row r="9" spans="1:20" ht="15.75" thickBot="1" x14ac:dyDescent="0.3">
      <c r="A9" s="32" t="s">
        <v>22</v>
      </c>
      <c r="B9" s="33" t="s">
        <v>9</v>
      </c>
      <c r="C9" s="33" t="s">
        <v>7</v>
      </c>
      <c r="D9" s="34" t="s">
        <v>23</v>
      </c>
      <c r="E9" s="31"/>
      <c r="F9" s="32" t="s">
        <v>22</v>
      </c>
      <c r="G9" s="33" t="s">
        <v>9</v>
      </c>
      <c r="H9" s="33" t="s">
        <v>7</v>
      </c>
      <c r="I9" s="34" t="s">
        <v>23</v>
      </c>
      <c r="J9" s="31"/>
      <c r="K9" s="32" t="s">
        <v>22</v>
      </c>
      <c r="L9" s="33" t="s">
        <v>9</v>
      </c>
      <c r="M9" s="33" t="s">
        <v>7</v>
      </c>
      <c r="N9" s="34" t="s">
        <v>23</v>
      </c>
      <c r="O9" s="31"/>
      <c r="P9" s="35" t="s">
        <v>22</v>
      </c>
      <c r="Q9" s="36" t="s">
        <v>9</v>
      </c>
      <c r="R9" s="36" t="s">
        <v>7</v>
      </c>
      <c r="S9" s="37" t="s">
        <v>23</v>
      </c>
    </row>
    <row r="10" spans="1:20" x14ac:dyDescent="0.25">
      <c r="A10" s="38">
        <v>15</v>
      </c>
      <c r="B10" s="39">
        <f>$J$3/$J$1</f>
        <v>30.326086956521738</v>
      </c>
      <c r="C10" s="40">
        <v>823261</v>
      </c>
      <c r="D10" s="41">
        <f>C10/B10</f>
        <v>27146.957706093192</v>
      </c>
      <c r="E10">
        <v>1</v>
      </c>
      <c r="F10" s="74">
        <v>9</v>
      </c>
      <c r="G10" s="70">
        <f>$J$3/$J$2</f>
        <v>33.41317365269461</v>
      </c>
      <c r="H10" s="75">
        <v>839159</v>
      </c>
      <c r="I10" s="71">
        <f>H10/G10</f>
        <v>25114.615232974909</v>
      </c>
      <c r="J10">
        <v>0</v>
      </c>
      <c r="K10" s="38">
        <v>99</v>
      </c>
      <c r="L10" s="39">
        <f>$J$3/$J$1</f>
        <v>30.326086956521738</v>
      </c>
      <c r="M10" s="40">
        <v>891762</v>
      </c>
      <c r="N10" s="41">
        <f>M10/L10</f>
        <v>29405.772043010755</v>
      </c>
      <c r="O10">
        <v>1</v>
      </c>
      <c r="P10" s="42">
        <v>31</v>
      </c>
      <c r="Q10" s="43">
        <f>$J$3/$J$2</f>
        <v>33.41317365269461</v>
      </c>
      <c r="R10" s="44">
        <v>828146</v>
      </c>
      <c r="S10" s="45">
        <f>R10/Q10</f>
        <v>24785.014695340502</v>
      </c>
      <c r="T10">
        <v>1</v>
      </c>
    </row>
    <row r="11" spans="1:20" x14ac:dyDescent="0.25">
      <c r="A11" s="46">
        <v>4</v>
      </c>
      <c r="B11" s="39">
        <f t="shared" ref="B11:B54" si="0">$J$3/$J$1</f>
        <v>30.326086956521738</v>
      </c>
      <c r="C11" s="47">
        <v>748702</v>
      </c>
      <c r="D11" s="41">
        <f t="shared" ref="D11:D54" si="1">C11/B11</f>
        <v>24688.381362007171</v>
      </c>
      <c r="E11">
        <v>1</v>
      </c>
      <c r="F11" s="48">
        <v>1</v>
      </c>
      <c r="G11" s="43">
        <f t="shared" ref="G11:G54" si="2">$J$3/$J$2</f>
        <v>33.41317365269461</v>
      </c>
      <c r="H11" s="49">
        <v>816679</v>
      </c>
      <c r="I11" s="45">
        <f t="shared" ref="I11:I54" si="3">H11/G11</f>
        <v>24441.826702508963</v>
      </c>
      <c r="J11">
        <v>1</v>
      </c>
      <c r="K11" s="46">
        <v>22</v>
      </c>
      <c r="L11" s="39">
        <f t="shared" ref="L11:L64" si="4">$J$3/$J$1</f>
        <v>30.326086956521738</v>
      </c>
      <c r="M11" s="47">
        <v>787867</v>
      </c>
      <c r="N11" s="41">
        <f t="shared" ref="N11:N64" si="5">M11/L11</f>
        <v>25979.843727598567</v>
      </c>
      <c r="O11">
        <v>1</v>
      </c>
      <c r="P11" s="48">
        <v>95</v>
      </c>
      <c r="Q11" s="43">
        <f t="shared" ref="Q11:Q64" si="6">$J$3/$J$2</f>
        <v>33.41317365269461</v>
      </c>
      <c r="R11" s="49">
        <v>778683</v>
      </c>
      <c r="S11" s="45">
        <f t="shared" ref="S11:S64" si="7">R11/Q11</f>
        <v>23304.670430107526</v>
      </c>
      <c r="T11">
        <v>1</v>
      </c>
    </row>
    <row r="12" spans="1:20" x14ac:dyDescent="0.25">
      <c r="A12" s="46">
        <v>75</v>
      </c>
      <c r="B12" s="39">
        <f t="shared" si="0"/>
        <v>30.326086956521738</v>
      </c>
      <c r="C12" s="47">
        <v>700923</v>
      </c>
      <c r="D12" s="41">
        <f t="shared" si="1"/>
        <v>23112.873118279571</v>
      </c>
      <c r="E12">
        <v>1</v>
      </c>
      <c r="F12" s="48">
        <v>3</v>
      </c>
      <c r="G12" s="43">
        <f t="shared" si="2"/>
        <v>33.41317365269461</v>
      </c>
      <c r="H12" s="49">
        <v>637399</v>
      </c>
      <c r="I12" s="45">
        <f t="shared" si="3"/>
        <v>19076.278315412186</v>
      </c>
      <c r="J12">
        <v>1</v>
      </c>
      <c r="K12" s="46">
        <v>83</v>
      </c>
      <c r="L12" s="39">
        <f t="shared" si="4"/>
        <v>30.326086956521738</v>
      </c>
      <c r="M12" s="47">
        <v>776669</v>
      </c>
      <c r="N12" s="41">
        <f t="shared" si="5"/>
        <v>25610.590681003585</v>
      </c>
      <c r="O12">
        <v>1</v>
      </c>
      <c r="P12" s="48">
        <v>32</v>
      </c>
      <c r="Q12" s="43">
        <f t="shared" si="6"/>
        <v>33.41317365269461</v>
      </c>
      <c r="R12" s="49">
        <v>742165</v>
      </c>
      <c r="S12" s="45">
        <f t="shared" si="7"/>
        <v>22211.748207885306</v>
      </c>
      <c r="T12">
        <v>1</v>
      </c>
    </row>
    <row r="13" spans="1:20" x14ac:dyDescent="0.25">
      <c r="A13" s="46">
        <v>61</v>
      </c>
      <c r="B13" s="39">
        <f t="shared" si="0"/>
        <v>30.326086956521738</v>
      </c>
      <c r="C13" s="47">
        <v>594344</v>
      </c>
      <c r="D13" s="41">
        <f t="shared" si="1"/>
        <v>19598.440143369175</v>
      </c>
      <c r="E13">
        <v>1</v>
      </c>
      <c r="F13" s="52">
        <v>89</v>
      </c>
      <c r="G13" s="72">
        <f t="shared" si="2"/>
        <v>33.41317365269461</v>
      </c>
      <c r="H13" s="53">
        <v>626952</v>
      </c>
      <c r="I13" s="73">
        <f t="shared" si="3"/>
        <v>18763.617204301077</v>
      </c>
      <c r="J13">
        <v>0.33333333333333348</v>
      </c>
      <c r="K13" s="46">
        <v>57</v>
      </c>
      <c r="L13" s="39">
        <f t="shared" si="4"/>
        <v>30.326086956521738</v>
      </c>
      <c r="M13" s="47">
        <v>764937</v>
      </c>
      <c r="N13" s="41">
        <f t="shared" si="5"/>
        <v>25223.729032258067</v>
      </c>
      <c r="O13">
        <v>1</v>
      </c>
      <c r="P13" s="48">
        <v>86</v>
      </c>
      <c r="Q13" s="43">
        <f t="shared" si="6"/>
        <v>33.41317365269461</v>
      </c>
      <c r="R13" s="49">
        <v>708838</v>
      </c>
      <c r="S13" s="45">
        <f t="shared" si="7"/>
        <v>21214.327240143371</v>
      </c>
      <c r="T13">
        <v>1</v>
      </c>
    </row>
    <row r="14" spans="1:20" x14ac:dyDescent="0.25">
      <c r="A14" s="46">
        <v>2</v>
      </c>
      <c r="B14" s="39">
        <f t="shared" si="0"/>
        <v>30.326086956521738</v>
      </c>
      <c r="C14" s="47">
        <v>573963</v>
      </c>
      <c r="D14" s="41">
        <f t="shared" si="1"/>
        <v>18926.378494623656</v>
      </c>
      <c r="E14">
        <v>1</v>
      </c>
      <c r="F14" s="58">
        <v>74</v>
      </c>
      <c r="G14" s="68">
        <f t="shared" si="2"/>
        <v>33.41317365269461</v>
      </c>
      <c r="H14" s="54">
        <v>528188</v>
      </c>
      <c r="I14" s="69">
        <f t="shared" si="3"/>
        <v>15807.7770609319</v>
      </c>
      <c r="K14" s="46">
        <v>33</v>
      </c>
      <c r="L14" s="39">
        <f t="shared" si="4"/>
        <v>30.326086956521738</v>
      </c>
      <c r="M14" s="47">
        <v>739492</v>
      </c>
      <c r="N14" s="41">
        <f t="shared" si="5"/>
        <v>24384.682437275987</v>
      </c>
      <c r="O14">
        <v>1</v>
      </c>
      <c r="P14" s="48">
        <v>44</v>
      </c>
      <c r="Q14" s="43">
        <f t="shared" si="6"/>
        <v>33.41317365269461</v>
      </c>
      <c r="R14" s="49">
        <v>644475</v>
      </c>
      <c r="S14" s="45">
        <f t="shared" si="7"/>
        <v>19288.051075268817</v>
      </c>
      <c r="T14">
        <v>1</v>
      </c>
    </row>
    <row r="15" spans="1:20" x14ac:dyDescent="0.25">
      <c r="A15" s="46">
        <v>66</v>
      </c>
      <c r="B15" s="39">
        <f t="shared" si="0"/>
        <v>30.326086956521738</v>
      </c>
      <c r="C15" s="47">
        <v>543888</v>
      </c>
      <c r="D15" s="41">
        <f t="shared" si="1"/>
        <v>17934.65806451613</v>
      </c>
      <c r="E15">
        <v>1</v>
      </c>
      <c r="F15" s="58">
        <v>7</v>
      </c>
      <c r="G15" s="68">
        <f t="shared" si="2"/>
        <v>33.41317365269461</v>
      </c>
      <c r="H15" s="54">
        <v>517706</v>
      </c>
      <c r="I15" s="69">
        <f t="shared" si="3"/>
        <v>15494.068458781363</v>
      </c>
      <c r="K15" s="46">
        <v>34</v>
      </c>
      <c r="L15" s="39">
        <f t="shared" si="4"/>
        <v>30.326086956521738</v>
      </c>
      <c r="M15" s="47">
        <v>706466</v>
      </c>
      <c r="N15" s="41">
        <f t="shared" si="5"/>
        <v>23295.653046594984</v>
      </c>
      <c r="O15">
        <v>1</v>
      </c>
      <c r="P15" s="48">
        <v>43</v>
      </c>
      <c r="Q15" s="43">
        <f t="shared" si="6"/>
        <v>33.41317365269461</v>
      </c>
      <c r="R15" s="49">
        <v>600711</v>
      </c>
      <c r="S15" s="45">
        <f t="shared" si="7"/>
        <v>17978.268279569893</v>
      </c>
      <c r="T15">
        <v>1.0000000000000007</v>
      </c>
    </row>
    <row r="16" spans="1:20" x14ac:dyDescent="0.25">
      <c r="A16" s="46">
        <v>9</v>
      </c>
      <c r="B16" s="39">
        <f t="shared" si="0"/>
        <v>30.326086956521738</v>
      </c>
      <c r="C16" s="47">
        <v>458407</v>
      </c>
      <c r="D16" s="41">
        <f t="shared" si="1"/>
        <v>15115.929749103943</v>
      </c>
      <c r="E16">
        <v>1</v>
      </c>
      <c r="F16" s="58">
        <v>16</v>
      </c>
      <c r="G16" s="68">
        <f t="shared" si="2"/>
        <v>33.41317365269461</v>
      </c>
      <c r="H16" s="54">
        <v>471825</v>
      </c>
      <c r="I16" s="69">
        <f t="shared" si="3"/>
        <v>14120.927419354839</v>
      </c>
      <c r="K16" s="46">
        <v>54</v>
      </c>
      <c r="L16" s="39">
        <f t="shared" si="4"/>
        <v>30.326086956521738</v>
      </c>
      <c r="M16" s="47">
        <v>704680</v>
      </c>
      <c r="N16" s="41">
        <f t="shared" si="5"/>
        <v>23236.759856630826</v>
      </c>
      <c r="O16">
        <v>1</v>
      </c>
      <c r="P16" s="50">
        <v>54</v>
      </c>
      <c r="Q16" s="70">
        <f t="shared" si="6"/>
        <v>33.41317365269461</v>
      </c>
      <c r="R16" s="51">
        <v>600526</v>
      </c>
      <c r="S16" s="71">
        <f t="shared" si="7"/>
        <v>17972.73154121864</v>
      </c>
      <c r="T16">
        <v>0</v>
      </c>
    </row>
    <row r="17" spans="1:20" x14ac:dyDescent="0.25">
      <c r="A17" s="46">
        <v>6</v>
      </c>
      <c r="B17" s="39">
        <f t="shared" si="0"/>
        <v>30.326086956521738</v>
      </c>
      <c r="C17" s="47">
        <v>413342</v>
      </c>
      <c r="D17" s="41">
        <f t="shared" si="1"/>
        <v>13629.915412186379</v>
      </c>
      <c r="E17">
        <v>1</v>
      </c>
      <c r="F17" s="58">
        <v>20</v>
      </c>
      <c r="G17" s="68">
        <f t="shared" si="2"/>
        <v>33.41317365269461</v>
      </c>
      <c r="H17" s="54">
        <v>465526</v>
      </c>
      <c r="I17" s="69">
        <f t="shared" si="3"/>
        <v>13932.408960573477</v>
      </c>
      <c r="K17" s="52">
        <v>46</v>
      </c>
      <c r="L17" s="72">
        <f t="shared" si="4"/>
        <v>30.326086956521738</v>
      </c>
      <c r="M17" s="53">
        <v>647685</v>
      </c>
      <c r="N17" s="73">
        <f t="shared" si="5"/>
        <v>21357.354838709678</v>
      </c>
      <c r="O17">
        <v>0.33333333333333393</v>
      </c>
      <c r="P17" s="50">
        <v>33</v>
      </c>
      <c r="Q17" s="70">
        <f t="shared" si="6"/>
        <v>33.41317365269461</v>
      </c>
      <c r="R17" s="51">
        <v>533105</v>
      </c>
      <c r="S17" s="71">
        <f t="shared" si="7"/>
        <v>15954.934587813621</v>
      </c>
      <c r="T17">
        <v>0</v>
      </c>
    </row>
    <row r="18" spans="1:20" x14ac:dyDescent="0.25">
      <c r="A18" s="46">
        <v>90</v>
      </c>
      <c r="B18" s="39">
        <f t="shared" si="0"/>
        <v>30.326086956521738</v>
      </c>
      <c r="C18" s="47">
        <v>390167</v>
      </c>
      <c r="D18" s="41">
        <f t="shared" si="1"/>
        <v>12865.721863799283</v>
      </c>
      <c r="E18">
        <v>1</v>
      </c>
      <c r="F18" s="58">
        <v>71</v>
      </c>
      <c r="G18" s="68">
        <f t="shared" si="2"/>
        <v>33.41317365269461</v>
      </c>
      <c r="H18" s="54">
        <v>459240</v>
      </c>
      <c r="I18" s="69">
        <f t="shared" si="3"/>
        <v>13744.279569892473</v>
      </c>
      <c r="K18" s="58">
        <v>35</v>
      </c>
      <c r="L18" s="68">
        <f t="shared" si="4"/>
        <v>30.326086956521738</v>
      </c>
      <c r="M18" s="54">
        <v>520964</v>
      </c>
      <c r="N18" s="69">
        <f t="shared" si="5"/>
        <v>17178.741218637992</v>
      </c>
      <c r="P18" s="48">
        <v>29</v>
      </c>
      <c r="Q18" s="43">
        <f t="shared" si="6"/>
        <v>33.41317365269461</v>
      </c>
      <c r="R18" s="49">
        <v>466819</v>
      </c>
      <c r="S18" s="45">
        <f t="shared" si="7"/>
        <v>13971.106272401434</v>
      </c>
      <c r="T18">
        <v>1</v>
      </c>
    </row>
    <row r="19" spans="1:20" x14ac:dyDescent="0.25">
      <c r="A19" s="46">
        <v>10</v>
      </c>
      <c r="B19" s="39">
        <f t="shared" si="0"/>
        <v>30.326086956521738</v>
      </c>
      <c r="C19" s="47">
        <v>374487</v>
      </c>
      <c r="D19" s="41">
        <f t="shared" si="1"/>
        <v>12348.675268817206</v>
      </c>
      <c r="E19">
        <v>1</v>
      </c>
      <c r="F19" s="58">
        <v>73</v>
      </c>
      <c r="G19" s="68">
        <f t="shared" si="2"/>
        <v>33.41317365269461</v>
      </c>
      <c r="H19" s="54">
        <v>435675</v>
      </c>
      <c r="I19" s="69">
        <f t="shared" si="3"/>
        <v>13039.018817204302</v>
      </c>
      <c r="K19" s="58">
        <v>28</v>
      </c>
      <c r="L19" s="68">
        <f t="shared" si="4"/>
        <v>30.326086956521738</v>
      </c>
      <c r="M19" s="54">
        <v>485282</v>
      </c>
      <c r="N19" s="69">
        <f t="shared" si="5"/>
        <v>16002.130465949822</v>
      </c>
      <c r="P19" s="58">
        <v>39</v>
      </c>
      <c r="Q19" s="68">
        <f t="shared" si="6"/>
        <v>33.41317365269461</v>
      </c>
      <c r="R19" s="54">
        <v>443533</v>
      </c>
      <c r="S19" s="69">
        <f t="shared" si="7"/>
        <v>13274.195519713261</v>
      </c>
    </row>
    <row r="20" spans="1:20" x14ac:dyDescent="0.25">
      <c r="A20" s="46">
        <v>72</v>
      </c>
      <c r="B20" s="39">
        <f t="shared" si="0"/>
        <v>30.326086956521738</v>
      </c>
      <c r="C20" s="47">
        <v>339217</v>
      </c>
      <c r="D20" s="41">
        <f t="shared" si="1"/>
        <v>11185.65017921147</v>
      </c>
      <c r="E20">
        <v>1</v>
      </c>
      <c r="F20" s="50">
        <v>4</v>
      </c>
      <c r="G20" s="70">
        <f t="shared" si="2"/>
        <v>33.41317365269461</v>
      </c>
      <c r="H20" s="51">
        <v>435251</v>
      </c>
      <c r="I20" s="71">
        <f t="shared" si="3"/>
        <v>13026.329211469534</v>
      </c>
      <c r="J20">
        <v>0</v>
      </c>
      <c r="K20" s="58">
        <v>25</v>
      </c>
      <c r="L20" s="68">
        <f t="shared" si="4"/>
        <v>30.326086956521738</v>
      </c>
      <c r="M20" s="54">
        <v>428682</v>
      </c>
      <c r="N20" s="69">
        <f t="shared" si="5"/>
        <v>14135.750537634409</v>
      </c>
      <c r="P20" s="58">
        <v>85</v>
      </c>
      <c r="Q20" s="68">
        <f t="shared" si="6"/>
        <v>33.41317365269461</v>
      </c>
      <c r="R20" s="54">
        <v>400656</v>
      </c>
      <c r="S20" s="69">
        <f t="shared" si="7"/>
        <v>11990.959139784947</v>
      </c>
    </row>
    <row r="21" spans="1:20" x14ac:dyDescent="0.25">
      <c r="A21" s="58">
        <v>63</v>
      </c>
      <c r="B21" s="68">
        <f t="shared" si="0"/>
        <v>30.326086956521738</v>
      </c>
      <c r="C21" s="54">
        <v>148379</v>
      </c>
      <c r="D21" s="69">
        <f t="shared" si="1"/>
        <v>4892.7842293906815</v>
      </c>
      <c r="F21" s="58">
        <v>58</v>
      </c>
      <c r="G21" s="68">
        <f t="shared" si="2"/>
        <v>33.41317365269461</v>
      </c>
      <c r="H21" s="54">
        <v>425212</v>
      </c>
      <c r="I21" s="69">
        <f t="shared" si="3"/>
        <v>12725.878853046595</v>
      </c>
      <c r="K21" s="58">
        <v>53</v>
      </c>
      <c r="L21" s="68">
        <f t="shared" si="4"/>
        <v>30.326086956521738</v>
      </c>
      <c r="M21" s="54">
        <v>427876</v>
      </c>
      <c r="N21" s="69">
        <f t="shared" si="5"/>
        <v>14109.17275985663</v>
      </c>
      <c r="P21" s="58">
        <v>51</v>
      </c>
      <c r="Q21" s="68">
        <f t="shared" si="6"/>
        <v>33.41317365269461</v>
      </c>
      <c r="R21" s="54">
        <v>295735</v>
      </c>
      <c r="S21" s="69">
        <f t="shared" si="7"/>
        <v>8850.8503584229402</v>
      </c>
    </row>
    <row r="22" spans="1:20" x14ac:dyDescent="0.25">
      <c r="A22" s="58">
        <v>5</v>
      </c>
      <c r="B22" s="68">
        <f t="shared" si="0"/>
        <v>30.326086956521738</v>
      </c>
      <c r="C22" s="54">
        <v>135603</v>
      </c>
      <c r="D22" s="69">
        <f t="shared" si="1"/>
        <v>4471.4967741935488</v>
      </c>
      <c r="F22" s="58">
        <v>69</v>
      </c>
      <c r="G22" s="68">
        <f t="shared" si="2"/>
        <v>33.41317365269461</v>
      </c>
      <c r="H22" s="54">
        <v>301059</v>
      </c>
      <c r="I22" s="69">
        <f t="shared" si="3"/>
        <v>9010.188709677419</v>
      </c>
      <c r="K22" s="58">
        <v>30</v>
      </c>
      <c r="L22" s="68">
        <f t="shared" si="4"/>
        <v>30.326086956521738</v>
      </c>
      <c r="M22" s="54">
        <v>412457</v>
      </c>
      <c r="N22" s="69">
        <f t="shared" si="5"/>
        <v>13600.732616487456</v>
      </c>
      <c r="P22" s="58">
        <v>84</v>
      </c>
      <c r="Q22" s="68">
        <f t="shared" si="6"/>
        <v>33.41317365269461</v>
      </c>
      <c r="R22" s="54">
        <v>277116</v>
      </c>
      <c r="S22" s="69">
        <f t="shared" si="7"/>
        <v>8293.6150537634403</v>
      </c>
    </row>
    <row r="23" spans="1:20" x14ac:dyDescent="0.25">
      <c r="A23" s="52">
        <v>89</v>
      </c>
      <c r="B23" s="72">
        <f t="shared" si="0"/>
        <v>30.326086956521738</v>
      </c>
      <c r="C23" s="53">
        <v>43767</v>
      </c>
      <c r="D23" s="73">
        <f t="shared" si="1"/>
        <v>1443.2129032258065</v>
      </c>
      <c r="F23" s="58">
        <v>91</v>
      </c>
      <c r="G23" s="68">
        <f t="shared" si="2"/>
        <v>33.41317365269461</v>
      </c>
      <c r="H23" s="54">
        <v>248437</v>
      </c>
      <c r="I23" s="69">
        <f t="shared" si="3"/>
        <v>7435.3008960573479</v>
      </c>
      <c r="K23" s="58">
        <v>45</v>
      </c>
      <c r="L23" s="68">
        <f t="shared" si="4"/>
        <v>30.326086956521738</v>
      </c>
      <c r="M23" s="54">
        <v>411553</v>
      </c>
      <c r="N23" s="69">
        <f t="shared" si="5"/>
        <v>13570.923297491039</v>
      </c>
      <c r="P23" s="58">
        <v>100</v>
      </c>
      <c r="Q23" s="68">
        <f t="shared" si="6"/>
        <v>33.41317365269461</v>
      </c>
      <c r="R23" s="54">
        <v>196154</v>
      </c>
      <c r="S23" s="69">
        <f t="shared" si="7"/>
        <v>5870.5587813620077</v>
      </c>
    </row>
    <row r="24" spans="1:20" x14ac:dyDescent="0.25">
      <c r="A24" s="58">
        <v>8</v>
      </c>
      <c r="B24" s="68">
        <f t="shared" si="0"/>
        <v>30.326086956521738</v>
      </c>
      <c r="C24" s="54">
        <v>-31569</v>
      </c>
      <c r="D24" s="69">
        <f t="shared" si="1"/>
        <v>-1040.9849462365592</v>
      </c>
      <c r="F24" s="50">
        <v>75</v>
      </c>
      <c r="G24" s="70">
        <f t="shared" si="2"/>
        <v>33.41317365269461</v>
      </c>
      <c r="H24" s="51">
        <v>241104</v>
      </c>
      <c r="I24" s="71">
        <f t="shared" si="3"/>
        <v>7215.8365591397851</v>
      </c>
      <c r="J24">
        <v>0</v>
      </c>
      <c r="K24" s="50">
        <v>43</v>
      </c>
      <c r="L24" s="70">
        <f t="shared" si="4"/>
        <v>30.326086956521738</v>
      </c>
      <c r="M24" s="51">
        <v>287718</v>
      </c>
      <c r="N24" s="71">
        <f t="shared" si="5"/>
        <v>9487.4752688172048</v>
      </c>
      <c r="O24">
        <v>0</v>
      </c>
      <c r="P24" s="58">
        <v>56</v>
      </c>
      <c r="Q24" s="68">
        <f t="shared" si="6"/>
        <v>33.41317365269461</v>
      </c>
      <c r="R24" s="54">
        <v>175558</v>
      </c>
      <c r="S24" s="69">
        <f t="shared" si="7"/>
        <v>5254.1551971326162</v>
      </c>
    </row>
    <row r="25" spans="1:20" x14ac:dyDescent="0.25">
      <c r="A25" s="58">
        <v>62</v>
      </c>
      <c r="B25" s="68">
        <f t="shared" si="0"/>
        <v>30.326086956521738</v>
      </c>
      <c r="C25" s="54">
        <v>-50310</v>
      </c>
      <c r="D25" s="69">
        <f t="shared" si="1"/>
        <v>-1658.9677419354839</v>
      </c>
      <c r="F25" s="58">
        <v>21</v>
      </c>
      <c r="G25" s="68">
        <f t="shared" si="2"/>
        <v>33.41317365269461</v>
      </c>
      <c r="H25" s="54">
        <v>182068</v>
      </c>
      <c r="I25" s="69">
        <f t="shared" si="3"/>
        <v>5448.9885304659501</v>
      </c>
      <c r="K25" s="58">
        <v>47</v>
      </c>
      <c r="L25" s="68">
        <f t="shared" si="4"/>
        <v>30.326086956521738</v>
      </c>
      <c r="M25" s="54">
        <v>244892</v>
      </c>
      <c r="N25" s="69">
        <f t="shared" si="5"/>
        <v>8075.2917562724015</v>
      </c>
      <c r="P25" s="58">
        <v>24</v>
      </c>
      <c r="Q25" s="68">
        <f t="shared" si="6"/>
        <v>33.41317365269461</v>
      </c>
      <c r="R25" s="54">
        <v>71007</v>
      </c>
      <c r="S25" s="69">
        <f t="shared" si="7"/>
        <v>2125.1198924731184</v>
      </c>
    </row>
    <row r="26" spans="1:20" x14ac:dyDescent="0.25">
      <c r="A26" s="58">
        <v>20</v>
      </c>
      <c r="B26" s="68">
        <f t="shared" si="0"/>
        <v>30.326086956521738</v>
      </c>
      <c r="C26" s="54">
        <v>-55320</v>
      </c>
      <c r="D26" s="69">
        <f t="shared" si="1"/>
        <v>-1824.1720430107528</v>
      </c>
      <c r="F26" s="58">
        <v>59</v>
      </c>
      <c r="G26" s="68">
        <f t="shared" si="2"/>
        <v>33.41317365269461</v>
      </c>
      <c r="H26" s="54">
        <v>167225</v>
      </c>
      <c r="I26" s="69">
        <f t="shared" si="3"/>
        <v>5004.7625448028675</v>
      </c>
      <c r="K26" s="58">
        <v>27</v>
      </c>
      <c r="L26" s="68">
        <f t="shared" si="4"/>
        <v>30.326086956521738</v>
      </c>
      <c r="M26" s="54">
        <v>217246</v>
      </c>
      <c r="N26" s="69">
        <f t="shared" si="5"/>
        <v>7163.6673835125448</v>
      </c>
      <c r="P26" s="58">
        <v>94</v>
      </c>
      <c r="Q26" s="68">
        <f t="shared" si="6"/>
        <v>33.41317365269461</v>
      </c>
      <c r="R26" s="54">
        <v>48569</v>
      </c>
      <c r="S26" s="69">
        <f t="shared" si="7"/>
        <v>1453.5883512544804</v>
      </c>
    </row>
    <row r="27" spans="1:20" x14ac:dyDescent="0.25">
      <c r="A27" s="58">
        <v>14</v>
      </c>
      <c r="B27" s="68">
        <f t="shared" si="0"/>
        <v>30.326086956521738</v>
      </c>
      <c r="C27" s="54">
        <v>-99929</v>
      </c>
      <c r="D27" s="69">
        <f t="shared" si="1"/>
        <v>-3295.1498207885306</v>
      </c>
      <c r="F27" s="58">
        <v>63</v>
      </c>
      <c r="G27" s="68">
        <f t="shared" si="2"/>
        <v>33.41317365269461</v>
      </c>
      <c r="H27" s="54">
        <v>-59023</v>
      </c>
      <c r="I27" s="69">
        <f t="shared" si="3"/>
        <v>-1766.4589605734768</v>
      </c>
      <c r="K27" s="58">
        <v>98</v>
      </c>
      <c r="L27" s="68">
        <f t="shared" si="4"/>
        <v>30.326086956521738</v>
      </c>
      <c r="M27" s="54">
        <v>186371</v>
      </c>
      <c r="N27" s="69">
        <f t="shared" si="5"/>
        <v>6145.5670250896055</v>
      </c>
      <c r="P27" s="58">
        <v>98</v>
      </c>
      <c r="Q27" s="68">
        <f t="shared" si="6"/>
        <v>33.41317365269461</v>
      </c>
      <c r="R27" s="54">
        <v>42432</v>
      </c>
      <c r="S27" s="69">
        <f t="shared" si="7"/>
        <v>1269.9182795698925</v>
      </c>
    </row>
    <row r="28" spans="1:20" x14ac:dyDescent="0.25">
      <c r="A28" s="58">
        <v>59</v>
      </c>
      <c r="B28" s="68">
        <f t="shared" si="0"/>
        <v>30.326086956521738</v>
      </c>
      <c r="C28" s="54">
        <v>-120499</v>
      </c>
      <c r="D28" s="69">
        <f t="shared" si="1"/>
        <v>-3973.4437275985665</v>
      </c>
      <c r="F28" s="58">
        <v>70</v>
      </c>
      <c r="G28" s="68">
        <f t="shared" si="2"/>
        <v>33.41317365269461</v>
      </c>
      <c r="H28" s="54">
        <v>-82956</v>
      </c>
      <c r="I28" s="69">
        <f t="shared" si="3"/>
        <v>-2482.7333333333336</v>
      </c>
      <c r="K28" s="58">
        <v>82</v>
      </c>
      <c r="L28" s="68">
        <f t="shared" si="4"/>
        <v>30.326086956521738</v>
      </c>
      <c r="M28" s="54">
        <v>157735</v>
      </c>
      <c r="N28" s="69">
        <f t="shared" si="5"/>
        <v>5201.2974910394269</v>
      </c>
      <c r="P28" s="58">
        <v>79</v>
      </c>
      <c r="Q28" s="68">
        <f t="shared" si="6"/>
        <v>33.41317365269461</v>
      </c>
      <c r="R28" s="54">
        <v>-17472</v>
      </c>
      <c r="S28" s="69">
        <f t="shared" si="7"/>
        <v>-522.9075268817204</v>
      </c>
    </row>
    <row r="29" spans="1:20" x14ac:dyDescent="0.25">
      <c r="A29" s="58">
        <v>11</v>
      </c>
      <c r="B29" s="68">
        <f t="shared" si="0"/>
        <v>30.326086956521738</v>
      </c>
      <c r="C29" s="54">
        <v>-150180</v>
      </c>
      <c r="D29" s="69">
        <f t="shared" si="1"/>
        <v>-4952.1720430107525</v>
      </c>
      <c r="F29" s="58">
        <v>64</v>
      </c>
      <c r="G29" s="68">
        <f t="shared" si="2"/>
        <v>33.41317365269461</v>
      </c>
      <c r="H29" s="54">
        <v>-163863</v>
      </c>
      <c r="I29" s="69">
        <f t="shared" si="3"/>
        <v>-4904.1435483870973</v>
      </c>
      <c r="K29" s="58">
        <v>39</v>
      </c>
      <c r="L29" s="68">
        <f t="shared" si="4"/>
        <v>30.326086956521738</v>
      </c>
      <c r="M29" s="54">
        <v>75371</v>
      </c>
      <c r="N29" s="69">
        <f t="shared" si="5"/>
        <v>2485.3519713261649</v>
      </c>
      <c r="P29" s="58">
        <v>30</v>
      </c>
      <c r="Q29" s="68">
        <f t="shared" si="6"/>
        <v>33.41317365269461</v>
      </c>
      <c r="R29" s="54">
        <v>-18899</v>
      </c>
      <c r="S29" s="69">
        <f t="shared" si="7"/>
        <v>-565.61523297491044</v>
      </c>
    </row>
    <row r="30" spans="1:20" x14ac:dyDescent="0.25">
      <c r="A30" s="58">
        <v>19</v>
      </c>
      <c r="B30" s="68">
        <f t="shared" si="0"/>
        <v>30.326086956521738</v>
      </c>
      <c r="C30" s="54">
        <v>-212225</v>
      </c>
      <c r="D30" s="69">
        <f t="shared" si="1"/>
        <v>-6998.1003584229393</v>
      </c>
      <c r="F30" s="58">
        <v>8</v>
      </c>
      <c r="G30" s="68">
        <f t="shared" si="2"/>
        <v>33.41317365269461</v>
      </c>
      <c r="H30" s="54">
        <v>-187009</v>
      </c>
      <c r="I30" s="69">
        <f t="shared" si="3"/>
        <v>-5596.8643369175625</v>
      </c>
      <c r="K30" s="58">
        <v>79</v>
      </c>
      <c r="L30" s="68">
        <f t="shared" si="4"/>
        <v>30.326086956521738</v>
      </c>
      <c r="M30" s="54">
        <v>42924</v>
      </c>
      <c r="N30" s="69">
        <f t="shared" si="5"/>
        <v>1415.4150537634409</v>
      </c>
      <c r="P30" s="50">
        <v>99</v>
      </c>
      <c r="Q30" s="70">
        <f t="shared" si="6"/>
        <v>33.41317365269461</v>
      </c>
      <c r="R30" s="51">
        <v>-53380</v>
      </c>
      <c r="S30" s="71">
        <f t="shared" si="7"/>
        <v>-1597.573476702509</v>
      </c>
    </row>
    <row r="31" spans="1:20" x14ac:dyDescent="0.25">
      <c r="A31" s="58">
        <v>7</v>
      </c>
      <c r="B31" s="68">
        <f t="shared" si="0"/>
        <v>30.326086956521738</v>
      </c>
      <c r="C31" s="54">
        <v>-425925</v>
      </c>
      <c r="D31" s="69">
        <f t="shared" si="1"/>
        <v>-14044.83870967742</v>
      </c>
      <c r="F31" s="50">
        <v>61</v>
      </c>
      <c r="G31" s="70">
        <f t="shared" si="2"/>
        <v>33.41317365269461</v>
      </c>
      <c r="H31" s="51">
        <v>-223907</v>
      </c>
      <c r="I31" s="71">
        <f t="shared" si="3"/>
        <v>-6701.159318996416</v>
      </c>
      <c r="J31">
        <v>0</v>
      </c>
      <c r="K31" s="58">
        <v>49</v>
      </c>
      <c r="L31" s="68">
        <f t="shared" si="4"/>
        <v>30.326086956521738</v>
      </c>
      <c r="M31" s="54">
        <v>-35135</v>
      </c>
      <c r="N31" s="69">
        <f t="shared" si="5"/>
        <v>-1158.573476702509</v>
      </c>
      <c r="P31" s="58">
        <v>76</v>
      </c>
      <c r="Q31" s="68">
        <f t="shared" si="6"/>
        <v>33.41317365269461</v>
      </c>
      <c r="R31" s="54">
        <v>-134133</v>
      </c>
      <c r="S31" s="69">
        <f t="shared" si="7"/>
        <v>-4014.3747311827956</v>
      </c>
    </row>
    <row r="32" spans="1:20" x14ac:dyDescent="0.25">
      <c r="A32" s="58">
        <v>88</v>
      </c>
      <c r="B32" s="68">
        <f t="shared" si="0"/>
        <v>30.326086956521738</v>
      </c>
      <c r="C32" s="54">
        <v>-426293</v>
      </c>
      <c r="D32" s="69">
        <f t="shared" si="1"/>
        <v>-14056.973476702509</v>
      </c>
      <c r="F32" s="58">
        <v>92</v>
      </c>
      <c r="G32" s="68">
        <f t="shared" si="2"/>
        <v>33.41317365269461</v>
      </c>
      <c r="H32" s="54">
        <v>-299484</v>
      </c>
      <c r="I32" s="69">
        <f t="shared" si="3"/>
        <v>-8963.0516129032258</v>
      </c>
      <c r="K32" s="50">
        <v>86</v>
      </c>
      <c r="L32" s="70">
        <f t="shared" si="4"/>
        <v>30.326086956521738</v>
      </c>
      <c r="M32" s="51">
        <v>-36114</v>
      </c>
      <c r="N32" s="71">
        <f t="shared" si="5"/>
        <v>-1190.8559139784948</v>
      </c>
      <c r="O32">
        <v>0</v>
      </c>
      <c r="P32" s="58">
        <v>27</v>
      </c>
      <c r="Q32" s="68">
        <f t="shared" si="6"/>
        <v>33.41317365269461</v>
      </c>
      <c r="R32" s="54">
        <v>-237585</v>
      </c>
      <c r="S32" s="69">
        <f t="shared" si="7"/>
        <v>-7110.5188172043008</v>
      </c>
    </row>
    <row r="33" spans="1:19" x14ac:dyDescent="0.25">
      <c r="A33" s="50">
        <v>1</v>
      </c>
      <c r="B33" s="70">
        <f t="shared" si="0"/>
        <v>30.326086956521738</v>
      </c>
      <c r="C33" s="51">
        <v>-436549</v>
      </c>
      <c r="D33" s="71">
        <f t="shared" si="1"/>
        <v>-14395.164157706093</v>
      </c>
      <c r="E33">
        <v>0</v>
      </c>
      <c r="F33" s="58">
        <v>93</v>
      </c>
      <c r="G33" s="68">
        <f t="shared" si="2"/>
        <v>33.41317365269461</v>
      </c>
      <c r="H33" s="54">
        <v>-392062</v>
      </c>
      <c r="I33" s="69">
        <f t="shared" si="3"/>
        <v>-11733.755197132617</v>
      </c>
      <c r="K33" s="50">
        <v>95</v>
      </c>
      <c r="L33" s="70">
        <f t="shared" si="4"/>
        <v>30.326086956521738</v>
      </c>
      <c r="M33" s="51">
        <v>-117870</v>
      </c>
      <c r="N33" s="71">
        <f t="shared" si="5"/>
        <v>-3886.7526881720432</v>
      </c>
      <c r="O33">
        <v>0</v>
      </c>
      <c r="P33" s="58">
        <v>49</v>
      </c>
      <c r="Q33" s="68">
        <f t="shared" si="6"/>
        <v>33.41317365269461</v>
      </c>
      <c r="R33" s="54">
        <v>-320509</v>
      </c>
      <c r="S33" s="69">
        <f t="shared" si="7"/>
        <v>-9592.2944444444438</v>
      </c>
    </row>
    <row r="34" spans="1:19" x14ac:dyDescent="0.25">
      <c r="A34" s="58">
        <v>16</v>
      </c>
      <c r="B34" s="68">
        <f t="shared" si="0"/>
        <v>30.326086956521738</v>
      </c>
      <c r="C34" s="54">
        <v>-516654</v>
      </c>
      <c r="D34" s="69">
        <f t="shared" si="1"/>
        <v>-17036.619354838709</v>
      </c>
      <c r="F34" s="58">
        <v>17</v>
      </c>
      <c r="G34" s="68">
        <f t="shared" si="2"/>
        <v>33.41317365269461</v>
      </c>
      <c r="H34" s="54">
        <v>-421127</v>
      </c>
      <c r="I34" s="69">
        <f t="shared" si="3"/>
        <v>-12603.621684587813</v>
      </c>
      <c r="K34" s="58">
        <v>42</v>
      </c>
      <c r="L34" s="68">
        <f t="shared" si="4"/>
        <v>30.326086956521738</v>
      </c>
      <c r="M34" s="54">
        <v>-137859</v>
      </c>
      <c r="N34" s="69">
        <f t="shared" si="5"/>
        <v>-4545.8881720430109</v>
      </c>
      <c r="P34" s="58">
        <v>47</v>
      </c>
      <c r="Q34" s="68">
        <f t="shared" si="6"/>
        <v>33.41317365269461</v>
      </c>
      <c r="R34" s="54">
        <v>-338573</v>
      </c>
      <c r="S34" s="69">
        <f t="shared" si="7"/>
        <v>-10132.919534050179</v>
      </c>
    </row>
    <row r="35" spans="1:19" x14ac:dyDescent="0.25">
      <c r="A35" s="58">
        <v>73</v>
      </c>
      <c r="B35" s="68">
        <f t="shared" si="0"/>
        <v>30.326086956521738</v>
      </c>
      <c r="C35" s="54">
        <v>-526062</v>
      </c>
      <c r="D35" s="69">
        <f t="shared" si="1"/>
        <v>-17346.847311827958</v>
      </c>
      <c r="F35" s="58">
        <v>5</v>
      </c>
      <c r="G35" s="68">
        <f t="shared" si="2"/>
        <v>33.41317365269461</v>
      </c>
      <c r="H35" s="54">
        <v>-473972</v>
      </c>
      <c r="I35" s="69">
        <f t="shared" si="3"/>
        <v>-14185.183512544803</v>
      </c>
      <c r="K35" s="58">
        <v>50</v>
      </c>
      <c r="L35" s="68">
        <f t="shared" si="4"/>
        <v>30.326086956521738</v>
      </c>
      <c r="M35" s="54">
        <v>-141217</v>
      </c>
      <c r="N35" s="69">
        <f t="shared" si="5"/>
        <v>-4656.6179211469534</v>
      </c>
      <c r="P35" s="50">
        <v>34</v>
      </c>
      <c r="Q35" s="70">
        <f t="shared" si="6"/>
        <v>33.41317365269461</v>
      </c>
      <c r="R35" s="51">
        <v>-343537</v>
      </c>
      <c r="S35" s="71">
        <f t="shared" si="7"/>
        <v>-10281.483691756273</v>
      </c>
    </row>
    <row r="36" spans="1:19" x14ac:dyDescent="0.25">
      <c r="A36" s="58">
        <v>69</v>
      </c>
      <c r="B36" s="68">
        <f t="shared" si="0"/>
        <v>30.326086956521738</v>
      </c>
      <c r="C36" s="54">
        <v>-582190</v>
      </c>
      <c r="D36" s="69">
        <f t="shared" si="1"/>
        <v>-19197.663082437277</v>
      </c>
      <c r="F36" s="58">
        <v>67</v>
      </c>
      <c r="G36" s="68">
        <f t="shared" si="2"/>
        <v>33.41317365269461</v>
      </c>
      <c r="H36" s="54">
        <v>-479440</v>
      </c>
      <c r="I36" s="69">
        <f t="shared" si="3"/>
        <v>-14348.831541218638</v>
      </c>
      <c r="K36" s="58">
        <v>24</v>
      </c>
      <c r="L36" s="68">
        <f t="shared" si="4"/>
        <v>30.326086956521738</v>
      </c>
      <c r="M36" s="54">
        <v>-265494</v>
      </c>
      <c r="N36" s="69">
        <f t="shared" si="5"/>
        <v>-8754.6408602150532</v>
      </c>
      <c r="P36" s="58">
        <v>26</v>
      </c>
      <c r="Q36" s="68">
        <f t="shared" si="6"/>
        <v>33.41317365269461</v>
      </c>
      <c r="R36" s="54">
        <v>-410208</v>
      </c>
      <c r="S36" s="69">
        <f t="shared" si="7"/>
        <v>-12276.834408602152</v>
      </c>
    </row>
    <row r="37" spans="1:19" x14ac:dyDescent="0.25">
      <c r="A37" s="58">
        <v>17</v>
      </c>
      <c r="B37" s="68">
        <f t="shared" si="0"/>
        <v>30.326086956521738</v>
      </c>
      <c r="C37" s="54">
        <v>-710390</v>
      </c>
      <c r="D37" s="69">
        <f t="shared" si="1"/>
        <v>-23425.046594982079</v>
      </c>
      <c r="F37" s="58">
        <v>65</v>
      </c>
      <c r="G37" s="68">
        <f t="shared" si="2"/>
        <v>33.41317365269461</v>
      </c>
      <c r="H37" s="54">
        <v>-681880</v>
      </c>
      <c r="I37" s="69">
        <f t="shared" si="3"/>
        <v>-20407.519713261649</v>
      </c>
      <c r="K37" s="50">
        <v>44</v>
      </c>
      <c r="L37" s="70">
        <f t="shared" si="4"/>
        <v>30.326086956521738</v>
      </c>
      <c r="M37" s="51">
        <v>-279807</v>
      </c>
      <c r="N37" s="71">
        <f t="shared" si="5"/>
        <v>-9226.6107526881715</v>
      </c>
      <c r="O37">
        <v>0</v>
      </c>
      <c r="P37" s="58">
        <v>55</v>
      </c>
      <c r="Q37" s="68">
        <f t="shared" si="6"/>
        <v>33.41317365269461</v>
      </c>
      <c r="R37" s="54">
        <v>-412943</v>
      </c>
      <c r="S37" s="69">
        <f t="shared" si="7"/>
        <v>-12358.688351254481</v>
      </c>
    </row>
    <row r="38" spans="1:19" x14ac:dyDescent="0.25">
      <c r="A38" s="58">
        <v>12</v>
      </c>
      <c r="B38" s="68">
        <f t="shared" si="0"/>
        <v>30.326086956521738</v>
      </c>
      <c r="C38" s="54">
        <v>-753136</v>
      </c>
      <c r="D38" s="69">
        <f t="shared" si="1"/>
        <v>-24834.592114695341</v>
      </c>
      <c r="F38" s="50">
        <v>15</v>
      </c>
      <c r="G38" s="70">
        <f t="shared" si="2"/>
        <v>33.41317365269461</v>
      </c>
      <c r="H38" s="51">
        <v>-737370</v>
      </c>
      <c r="I38" s="71">
        <f t="shared" si="3"/>
        <v>-22068.241935483871</v>
      </c>
      <c r="J38">
        <v>0</v>
      </c>
      <c r="K38" s="58">
        <v>78</v>
      </c>
      <c r="L38" s="68">
        <f t="shared" si="4"/>
        <v>30.326086956521738</v>
      </c>
      <c r="M38" s="54">
        <v>-450754</v>
      </c>
      <c r="N38" s="69">
        <f t="shared" si="5"/>
        <v>-14863.572759856632</v>
      </c>
      <c r="P38" s="50">
        <v>22</v>
      </c>
      <c r="Q38" s="70">
        <f t="shared" si="6"/>
        <v>33.41317365269461</v>
      </c>
      <c r="R38" s="51">
        <v>-443480</v>
      </c>
      <c r="S38" s="71">
        <f t="shared" si="7"/>
        <v>-13272.609318996416</v>
      </c>
    </row>
    <row r="39" spans="1:19" x14ac:dyDescent="0.25">
      <c r="A39" s="58">
        <v>58</v>
      </c>
      <c r="B39" s="68">
        <f t="shared" si="0"/>
        <v>30.326086956521738</v>
      </c>
      <c r="C39" s="54">
        <v>-793953</v>
      </c>
      <c r="D39" s="69">
        <f t="shared" si="1"/>
        <v>-26180.529032258066</v>
      </c>
      <c r="F39" s="50">
        <v>6</v>
      </c>
      <c r="G39" s="70">
        <f t="shared" si="2"/>
        <v>33.41317365269461</v>
      </c>
      <c r="H39" s="51">
        <v>-760719</v>
      </c>
      <c r="I39" s="71">
        <f t="shared" si="3"/>
        <v>-22767.038172043012</v>
      </c>
      <c r="J39">
        <v>0</v>
      </c>
      <c r="K39" s="58">
        <v>81</v>
      </c>
      <c r="L39" s="68">
        <f t="shared" si="4"/>
        <v>30.326086956521738</v>
      </c>
      <c r="M39" s="54">
        <v>-460974</v>
      </c>
      <c r="N39" s="69">
        <f t="shared" si="5"/>
        <v>-15200.576344086023</v>
      </c>
      <c r="P39" s="58">
        <v>97</v>
      </c>
      <c r="Q39" s="68">
        <f t="shared" si="6"/>
        <v>33.41317365269461</v>
      </c>
      <c r="R39" s="54">
        <v>-474669</v>
      </c>
      <c r="S39" s="69">
        <f t="shared" si="7"/>
        <v>-14206.043548387097</v>
      </c>
    </row>
    <row r="40" spans="1:19" x14ac:dyDescent="0.25">
      <c r="A40" s="58">
        <v>68</v>
      </c>
      <c r="B40" s="68">
        <f t="shared" si="0"/>
        <v>30.326086956521738</v>
      </c>
      <c r="C40" s="54">
        <v>-803861</v>
      </c>
      <c r="D40" s="69">
        <f t="shared" si="1"/>
        <v>-26507.244444444445</v>
      </c>
      <c r="F40" s="58">
        <v>18</v>
      </c>
      <c r="G40" s="68">
        <f t="shared" si="2"/>
        <v>33.41317365269461</v>
      </c>
      <c r="H40" s="54">
        <v>-824942</v>
      </c>
      <c r="I40" s="69">
        <f t="shared" si="3"/>
        <v>-24689.124372759856</v>
      </c>
      <c r="K40" s="58">
        <v>48</v>
      </c>
      <c r="L40" s="68">
        <f t="shared" si="4"/>
        <v>30.326086956521738</v>
      </c>
      <c r="M40" s="54">
        <v>-522318</v>
      </c>
      <c r="N40" s="69">
        <f t="shared" si="5"/>
        <v>-17223.389247311829</v>
      </c>
      <c r="P40" s="50">
        <v>57</v>
      </c>
      <c r="Q40" s="70">
        <f t="shared" si="6"/>
        <v>33.41317365269461</v>
      </c>
      <c r="R40" s="51">
        <v>-519769</v>
      </c>
      <c r="S40" s="71">
        <f t="shared" si="7"/>
        <v>-15555.810573476703</v>
      </c>
    </row>
    <row r="41" spans="1:19" x14ac:dyDescent="0.25">
      <c r="A41" s="58">
        <v>60</v>
      </c>
      <c r="B41" s="68">
        <f t="shared" si="0"/>
        <v>30.326086956521738</v>
      </c>
      <c r="C41" s="54">
        <v>-850901</v>
      </c>
      <c r="D41" s="69">
        <f t="shared" si="1"/>
        <v>-28058.384229390682</v>
      </c>
      <c r="F41" s="58">
        <v>11</v>
      </c>
      <c r="G41" s="68">
        <f t="shared" si="2"/>
        <v>33.41317365269461</v>
      </c>
      <c r="H41" s="54">
        <v>-906527</v>
      </c>
      <c r="I41" s="69">
        <f t="shared" si="3"/>
        <v>-27130.825985663083</v>
      </c>
      <c r="K41" s="58">
        <v>87</v>
      </c>
      <c r="L41" s="68">
        <f t="shared" si="4"/>
        <v>30.326086956521738</v>
      </c>
      <c r="M41" s="54">
        <v>-542332</v>
      </c>
      <c r="N41" s="69">
        <f t="shared" si="5"/>
        <v>-17883.349103942652</v>
      </c>
      <c r="P41" s="58">
        <v>35</v>
      </c>
      <c r="Q41" s="68">
        <f t="shared" si="6"/>
        <v>33.41317365269461</v>
      </c>
      <c r="R41" s="54">
        <v>-552149</v>
      </c>
      <c r="S41" s="69">
        <f t="shared" si="7"/>
        <v>-16524.889426523299</v>
      </c>
    </row>
    <row r="42" spans="1:19" x14ac:dyDescent="0.25">
      <c r="A42" s="58">
        <v>74</v>
      </c>
      <c r="B42" s="68">
        <f t="shared" si="0"/>
        <v>30.326086956521738</v>
      </c>
      <c r="C42" s="54">
        <v>-871942</v>
      </c>
      <c r="D42" s="69">
        <f t="shared" si="1"/>
        <v>-28752.209318996418</v>
      </c>
      <c r="F42" s="58">
        <v>14</v>
      </c>
      <c r="G42" s="68">
        <f t="shared" si="2"/>
        <v>33.41317365269461</v>
      </c>
      <c r="H42" s="54">
        <v>-923878</v>
      </c>
      <c r="I42" s="69">
        <f t="shared" si="3"/>
        <v>-27650.112186379931</v>
      </c>
      <c r="K42" s="58">
        <v>41</v>
      </c>
      <c r="L42" s="68">
        <f t="shared" si="4"/>
        <v>30.326086956521738</v>
      </c>
      <c r="M42" s="54">
        <v>-545075</v>
      </c>
      <c r="N42" s="69">
        <f t="shared" si="5"/>
        <v>-17973.799283154123</v>
      </c>
      <c r="P42" s="58">
        <v>81</v>
      </c>
      <c r="Q42" s="68">
        <f t="shared" si="6"/>
        <v>33.41317365269461</v>
      </c>
      <c r="R42" s="54">
        <v>-553719</v>
      </c>
      <c r="S42" s="69">
        <f t="shared" si="7"/>
        <v>-16571.876881720429</v>
      </c>
    </row>
    <row r="43" spans="1:19" x14ac:dyDescent="0.25">
      <c r="A43" s="58">
        <v>71</v>
      </c>
      <c r="B43" s="68">
        <f t="shared" si="0"/>
        <v>30.326086956521738</v>
      </c>
      <c r="C43" s="54">
        <v>-879757</v>
      </c>
      <c r="D43" s="69">
        <f t="shared" si="1"/>
        <v>-29009.908243727601</v>
      </c>
      <c r="F43" s="50">
        <v>90</v>
      </c>
      <c r="G43" s="70">
        <f t="shared" si="2"/>
        <v>33.41317365269461</v>
      </c>
      <c r="H43" s="51">
        <v>-944796</v>
      </c>
      <c r="I43" s="71">
        <f t="shared" si="3"/>
        <v>-28276.152688172042</v>
      </c>
      <c r="J43">
        <v>0</v>
      </c>
      <c r="K43" s="58">
        <v>23</v>
      </c>
      <c r="L43" s="68">
        <f t="shared" si="4"/>
        <v>30.326086956521738</v>
      </c>
      <c r="M43" s="54">
        <v>-550483</v>
      </c>
      <c r="N43" s="69">
        <f t="shared" si="5"/>
        <v>-18152.127598566309</v>
      </c>
      <c r="P43" s="58">
        <v>25</v>
      </c>
      <c r="Q43" s="68">
        <f t="shared" si="6"/>
        <v>33.41317365269461</v>
      </c>
      <c r="R43" s="54">
        <v>-602771</v>
      </c>
      <c r="S43" s="69">
        <f t="shared" si="7"/>
        <v>-18039.920609318997</v>
      </c>
    </row>
    <row r="44" spans="1:19" x14ac:dyDescent="0.25">
      <c r="A44" s="58">
        <v>13</v>
      </c>
      <c r="B44" s="68">
        <f t="shared" si="0"/>
        <v>30.326086956521738</v>
      </c>
      <c r="C44" s="54">
        <v>-1072053</v>
      </c>
      <c r="D44" s="69">
        <f t="shared" si="1"/>
        <v>-35350.851612903229</v>
      </c>
      <c r="F44" s="58">
        <v>88</v>
      </c>
      <c r="G44" s="68">
        <f t="shared" si="2"/>
        <v>33.41317365269461</v>
      </c>
      <c r="H44" s="54">
        <v>-964689</v>
      </c>
      <c r="I44" s="69">
        <f t="shared" si="3"/>
        <v>-28871.516666666666</v>
      </c>
      <c r="K44" s="58">
        <v>55</v>
      </c>
      <c r="L44" s="68">
        <f t="shared" si="4"/>
        <v>30.326086956521738</v>
      </c>
      <c r="M44" s="54">
        <v>-592287</v>
      </c>
      <c r="N44" s="69">
        <f t="shared" si="5"/>
        <v>-19530.610752688171</v>
      </c>
      <c r="P44" s="58">
        <v>23</v>
      </c>
      <c r="Q44" s="68">
        <f t="shared" si="6"/>
        <v>33.41317365269461</v>
      </c>
      <c r="R44" s="54">
        <v>-625997</v>
      </c>
      <c r="S44" s="69">
        <f t="shared" si="7"/>
        <v>-18735.035663082439</v>
      </c>
    </row>
    <row r="45" spans="1:19" x14ac:dyDescent="0.25">
      <c r="A45" s="58">
        <v>92</v>
      </c>
      <c r="B45" s="68">
        <f t="shared" si="0"/>
        <v>30.326086956521738</v>
      </c>
      <c r="C45" s="54">
        <v>-1105120</v>
      </c>
      <c r="D45" s="69">
        <f t="shared" si="1"/>
        <v>-36441.232974910396</v>
      </c>
      <c r="F45" s="50">
        <v>10</v>
      </c>
      <c r="G45" s="70">
        <f t="shared" si="2"/>
        <v>33.41317365269461</v>
      </c>
      <c r="H45" s="51">
        <v>-1019506</v>
      </c>
      <c r="I45" s="71">
        <f t="shared" si="3"/>
        <v>-30512.097132616487</v>
      </c>
      <c r="J45">
        <v>0</v>
      </c>
      <c r="K45" s="50">
        <v>31</v>
      </c>
      <c r="L45" s="70">
        <f t="shared" si="4"/>
        <v>30.326086956521738</v>
      </c>
      <c r="M45" s="51">
        <v>-620072</v>
      </c>
      <c r="N45" s="71">
        <f t="shared" si="5"/>
        <v>-20446.818637992834</v>
      </c>
      <c r="O45">
        <v>0</v>
      </c>
      <c r="P45" s="58">
        <v>78</v>
      </c>
      <c r="Q45" s="68">
        <f t="shared" si="6"/>
        <v>33.41317365269461</v>
      </c>
      <c r="R45" s="54">
        <v>-732192</v>
      </c>
      <c r="S45" s="69">
        <f t="shared" si="7"/>
        <v>-21913.273118279569</v>
      </c>
    </row>
    <row r="46" spans="1:19" x14ac:dyDescent="0.25">
      <c r="A46" s="58">
        <v>21</v>
      </c>
      <c r="B46" s="68">
        <f t="shared" si="0"/>
        <v>30.326086956521738</v>
      </c>
      <c r="C46" s="54">
        <v>-1124143</v>
      </c>
      <c r="D46" s="69">
        <f t="shared" si="1"/>
        <v>-37068.514695340506</v>
      </c>
      <c r="F46" s="50">
        <v>2</v>
      </c>
      <c r="G46" s="70">
        <f t="shared" si="2"/>
        <v>33.41317365269461</v>
      </c>
      <c r="H46" s="51">
        <v>-1048073</v>
      </c>
      <c r="I46" s="71">
        <f t="shared" si="3"/>
        <v>-31367.059318996417</v>
      </c>
      <c r="J46">
        <v>0</v>
      </c>
      <c r="K46" s="58">
        <v>40</v>
      </c>
      <c r="L46" s="68">
        <f t="shared" si="4"/>
        <v>30.326086956521738</v>
      </c>
      <c r="M46" s="54">
        <v>-658386</v>
      </c>
      <c r="N46" s="69">
        <f t="shared" si="5"/>
        <v>-21710.219354838711</v>
      </c>
      <c r="P46" s="58">
        <v>41</v>
      </c>
      <c r="Q46" s="68">
        <f t="shared" si="6"/>
        <v>33.41317365269461</v>
      </c>
      <c r="R46" s="54">
        <v>-890843</v>
      </c>
      <c r="S46" s="69">
        <f t="shared" si="7"/>
        <v>-26661.430286738352</v>
      </c>
    </row>
    <row r="47" spans="1:19" x14ac:dyDescent="0.25">
      <c r="A47" s="58">
        <v>64</v>
      </c>
      <c r="B47" s="68">
        <f t="shared" si="0"/>
        <v>30.326086956521738</v>
      </c>
      <c r="C47" s="54">
        <v>-1198677</v>
      </c>
      <c r="D47" s="69">
        <f t="shared" si="1"/>
        <v>-39526.26666666667</v>
      </c>
      <c r="F47" s="58">
        <v>12</v>
      </c>
      <c r="G47" s="68">
        <f t="shared" si="2"/>
        <v>33.41317365269461</v>
      </c>
      <c r="H47" s="54">
        <v>-1098022</v>
      </c>
      <c r="I47" s="69">
        <f t="shared" si="3"/>
        <v>-32861.948745519716</v>
      </c>
      <c r="K47" s="58">
        <v>97</v>
      </c>
      <c r="L47" s="68">
        <f t="shared" si="4"/>
        <v>30.326086956521738</v>
      </c>
      <c r="M47" s="54">
        <v>-661431</v>
      </c>
      <c r="N47" s="69">
        <f t="shared" si="5"/>
        <v>-21810.627956989247</v>
      </c>
      <c r="P47" s="58">
        <v>48</v>
      </c>
      <c r="Q47" s="68">
        <f t="shared" si="6"/>
        <v>33.41317365269461</v>
      </c>
      <c r="R47" s="54">
        <v>-914243</v>
      </c>
      <c r="S47" s="69">
        <f t="shared" si="7"/>
        <v>-27361.752867383515</v>
      </c>
    </row>
    <row r="48" spans="1:19" x14ac:dyDescent="0.25">
      <c r="A48" s="50">
        <v>3</v>
      </c>
      <c r="B48" s="70">
        <f t="shared" si="0"/>
        <v>30.326086956521738</v>
      </c>
      <c r="C48" s="51">
        <v>-1231829</v>
      </c>
      <c r="D48" s="71">
        <f t="shared" si="1"/>
        <v>-40619.450896057351</v>
      </c>
      <c r="E48">
        <v>0</v>
      </c>
      <c r="F48" s="50">
        <v>72</v>
      </c>
      <c r="G48" s="70">
        <f t="shared" si="2"/>
        <v>33.41317365269461</v>
      </c>
      <c r="H48" s="51">
        <v>-1168137</v>
      </c>
      <c r="I48" s="71">
        <f t="shared" si="3"/>
        <v>-34960.372580645162</v>
      </c>
      <c r="J48">
        <v>0</v>
      </c>
      <c r="K48" s="58">
        <v>56</v>
      </c>
      <c r="L48" s="68">
        <f t="shared" si="4"/>
        <v>30.326086956521738</v>
      </c>
      <c r="M48" s="54">
        <v>-736742</v>
      </c>
      <c r="N48" s="69">
        <f t="shared" si="5"/>
        <v>-24294.001433691756</v>
      </c>
      <c r="P48" s="58">
        <v>96</v>
      </c>
      <c r="Q48" s="68">
        <f t="shared" si="6"/>
        <v>33.41317365269461</v>
      </c>
      <c r="R48" s="54">
        <v>-944950</v>
      </c>
      <c r="S48" s="69">
        <f t="shared" si="7"/>
        <v>-28280.76164874552</v>
      </c>
    </row>
    <row r="49" spans="1:20" x14ac:dyDescent="0.25">
      <c r="A49" s="58">
        <v>70</v>
      </c>
      <c r="B49" s="68">
        <f t="shared" si="0"/>
        <v>30.326086956521738</v>
      </c>
      <c r="C49" s="54">
        <v>-1290356</v>
      </c>
      <c r="D49" s="69">
        <f t="shared" si="1"/>
        <v>-42549.373476702509</v>
      </c>
      <c r="F49" s="58">
        <v>62</v>
      </c>
      <c r="G49" s="68">
        <f t="shared" si="2"/>
        <v>33.41317365269461</v>
      </c>
      <c r="H49" s="54">
        <v>-1177761</v>
      </c>
      <c r="I49" s="69">
        <f t="shared" si="3"/>
        <v>-35248.402688172042</v>
      </c>
      <c r="K49" s="58">
        <v>85</v>
      </c>
      <c r="L49" s="68">
        <f t="shared" si="4"/>
        <v>30.326086956521738</v>
      </c>
      <c r="M49" s="54">
        <v>-789944</v>
      </c>
      <c r="N49" s="69">
        <f t="shared" si="5"/>
        <v>-26048.332616487456</v>
      </c>
      <c r="P49" s="58">
        <v>82</v>
      </c>
      <c r="Q49" s="68">
        <f t="shared" si="6"/>
        <v>33.41317365269461</v>
      </c>
      <c r="R49" s="54">
        <v>-954865</v>
      </c>
      <c r="S49" s="69">
        <f t="shared" si="7"/>
        <v>-28577.500896057347</v>
      </c>
    </row>
    <row r="50" spans="1:20" x14ac:dyDescent="0.25">
      <c r="A50" s="58">
        <v>65</v>
      </c>
      <c r="B50" s="68">
        <f t="shared" si="0"/>
        <v>30.326086956521738</v>
      </c>
      <c r="C50" s="54">
        <v>-1335361</v>
      </c>
      <c r="D50" s="69">
        <f t="shared" si="1"/>
        <v>-44033.409318996419</v>
      </c>
      <c r="F50" s="58">
        <v>19</v>
      </c>
      <c r="G50" s="68">
        <f t="shared" si="2"/>
        <v>33.41317365269461</v>
      </c>
      <c r="H50" s="54">
        <v>-1251057</v>
      </c>
      <c r="I50" s="69">
        <f t="shared" si="3"/>
        <v>-37442.028494623657</v>
      </c>
      <c r="K50" s="58">
        <v>26</v>
      </c>
      <c r="L50" s="68">
        <f t="shared" si="4"/>
        <v>30.326086956521738</v>
      </c>
      <c r="M50" s="54">
        <v>-946136</v>
      </c>
      <c r="N50" s="69">
        <f t="shared" si="5"/>
        <v>-31198.749820788533</v>
      </c>
      <c r="P50" s="58">
        <v>50</v>
      </c>
      <c r="Q50" s="68">
        <f t="shared" si="6"/>
        <v>33.41317365269461</v>
      </c>
      <c r="R50" s="54">
        <v>-1011749</v>
      </c>
      <c r="S50" s="69">
        <f t="shared" si="7"/>
        <v>-30279.943189964157</v>
      </c>
    </row>
    <row r="51" spans="1:20" x14ac:dyDescent="0.25">
      <c r="A51" s="58">
        <v>18</v>
      </c>
      <c r="B51" s="68">
        <f t="shared" si="0"/>
        <v>30.326086956521738</v>
      </c>
      <c r="C51" s="54">
        <v>-1388548</v>
      </c>
      <c r="D51" s="69">
        <f t="shared" si="1"/>
        <v>-45787.2458781362</v>
      </c>
      <c r="F51" s="58">
        <v>68</v>
      </c>
      <c r="G51" s="68">
        <f t="shared" si="2"/>
        <v>33.41317365269461</v>
      </c>
      <c r="H51" s="54">
        <v>-1292553</v>
      </c>
      <c r="I51" s="69">
        <f t="shared" si="3"/>
        <v>-38683.933870967739</v>
      </c>
      <c r="K51" s="58">
        <v>84</v>
      </c>
      <c r="L51" s="68">
        <f t="shared" si="4"/>
        <v>30.326086956521738</v>
      </c>
      <c r="M51" s="54">
        <v>-948146</v>
      </c>
      <c r="N51" s="69">
        <f t="shared" si="5"/>
        <v>-31265.029390681004</v>
      </c>
      <c r="P51" s="58">
        <v>40</v>
      </c>
      <c r="Q51" s="68">
        <f t="shared" si="6"/>
        <v>33.41317365269461</v>
      </c>
      <c r="R51" s="54">
        <v>-1028317</v>
      </c>
      <c r="S51" s="69">
        <f t="shared" si="7"/>
        <v>-30775.795519713261</v>
      </c>
    </row>
    <row r="52" spans="1:20" x14ac:dyDescent="0.25">
      <c r="A52" s="58">
        <v>91</v>
      </c>
      <c r="B52" s="68">
        <f t="shared" si="0"/>
        <v>30.326086956521738</v>
      </c>
      <c r="C52" s="54">
        <v>-1477388</v>
      </c>
      <c r="D52" s="69">
        <f t="shared" si="1"/>
        <v>-48716.736917562725</v>
      </c>
      <c r="F52" s="58">
        <v>60</v>
      </c>
      <c r="G52" s="68">
        <f t="shared" si="2"/>
        <v>33.41317365269461</v>
      </c>
      <c r="H52" s="54">
        <v>-1363928</v>
      </c>
      <c r="I52" s="69">
        <f t="shared" si="3"/>
        <v>-40820.067383512549</v>
      </c>
      <c r="K52" s="58">
        <v>37</v>
      </c>
      <c r="L52" s="68">
        <f t="shared" si="4"/>
        <v>30.326086956521738</v>
      </c>
      <c r="M52" s="54">
        <v>-1123636</v>
      </c>
      <c r="N52" s="69">
        <f t="shared" si="5"/>
        <v>-37051.796415770608</v>
      </c>
      <c r="P52" s="58">
        <v>45</v>
      </c>
      <c r="Q52" s="68">
        <f t="shared" si="6"/>
        <v>33.41317365269461</v>
      </c>
      <c r="R52" s="54">
        <v>-1108132</v>
      </c>
      <c r="S52" s="69">
        <f t="shared" si="7"/>
        <v>-33164.524014336916</v>
      </c>
    </row>
    <row r="53" spans="1:20" x14ac:dyDescent="0.25">
      <c r="A53" s="58">
        <v>67</v>
      </c>
      <c r="B53" s="68">
        <f t="shared" si="0"/>
        <v>30.326086956521738</v>
      </c>
      <c r="C53" s="54">
        <v>-1558535</v>
      </c>
      <c r="D53" s="69">
        <f t="shared" si="1"/>
        <v>-51392.551971326167</v>
      </c>
      <c r="F53" s="50">
        <v>66</v>
      </c>
      <c r="G53" s="70">
        <f t="shared" si="2"/>
        <v>33.41317365269461</v>
      </c>
      <c r="H53" s="51">
        <v>-1541082</v>
      </c>
      <c r="I53" s="71">
        <f t="shared" si="3"/>
        <v>-46121.988172043013</v>
      </c>
      <c r="J53">
        <v>0</v>
      </c>
      <c r="K53" s="58">
        <v>77</v>
      </c>
      <c r="L53" s="68">
        <f t="shared" si="4"/>
        <v>30.326086956521738</v>
      </c>
      <c r="M53" s="54">
        <v>-1136517</v>
      </c>
      <c r="N53" s="69">
        <f t="shared" si="5"/>
        <v>-37476.546236559137</v>
      </c>
      <c r="P53" s="58">
        <v>37</v>
      </c>
      <c r="Q53" s="68">
        <f t="shared" si="6"/>
        <v>33.41317365269461</v>
      </c>
      <c r="R53" s="54">
        <v>-1231599</v>
      </c>
      <c r="S53" s="69">
        <f t="shared" si="7"/>
        <v>-36859.683333333334</v>
      </c>
    </row>
    <row r="54" spans="1:20" x14ac:dyDescent="0.25">
      <c r="A54" s="58">
        <v>93</v>
      </c>
      <c r="B54" s="68">
        <f t="shared" si="0"/>
        <v>30.326086956521738</v>
      </c>
      <c r="C54" s="54">
        <v>-1560391</v>
      </c>
      <c r="D54" s="69">
        <f t="shared" si="1"/>
        <v>-51453.753405017924</v>
      </c>
      <c r="F54" s="58">
        <v>13</v>
      </c>
      <c r="G54" s="68">
        <f t="shared" si="2"/>
        <v>33.41317365269461</v>
      </c>
      <c r="H54" s="54">
        <v>-1570807</v>
      </c>
      <c r="I54" s="69">
        <f t="shared" si="3"/>
        <v>-47011.607347670251</v>
      </c>
      <c r="K54" s="58">
        <v>94</v>
      </c>
      <c r="L54" s="68">
        <f t="shared" si="4"/>
        <v>30.326086956521738</v>
      </c>
      <c r="M54" s="54">
        <v>-1189690</v>
      </c>
      <c r="N54" s="69">
        <f t="shared" si="5"/>
        <v>-39229.921146953406</v>
      </c>
      <c r="P54" s="58">
        <v>80</v>
      </c>
      <c r="Q54" s="68">
        <f t="shared" si="6"/>
        <v>33.41317365269461</v>
      </c>
      <c r="R54" s="54">
        <v>-1261366</v>
      </c>
      <c r="S54" s="69">
        <f t="shared" si="7"/>
        <v>-37750.559498207884</v>
      </c>
    </row>
    <row r="55" spans="1:20" x14ac:dyDescent="0.25">
      <c r="A55" s="58"/>
      <c r="B55" s="59"/>
      <c r="C55" s="54"/>
      <c r="D55" s="55"/>
      <c r="F55" s="58"/>
      <c r="G55" s="59"/>
      <c r="H55" s="54"/>
      <c r="I55" s="55"/>
      <c r="K55" s="50">
        <v>32</v>
      </c>
      <c r="L55" s="70">
        <f t="shared" si="4"/>
        <v>30.326086956521738</v>
      </c>
      <c r="M55" s="51">
        <v>-1238968</v>
      </c>
      <c r="N55" s="71">
        <f t="shared" si="5"/>
        <v>-40854.858781362011</v>
      </c>
      <c r="O55">
        <v>0</v>
      </c>
      <c r="P55" s="58">
        <v>52</v>
      </c>
      <c r="Q55" s="68">
        <f t="shared" si="6"/>
        <v>33.41317365269461</v>
      </c>
      <c r="R55" s="54">
        <v>-1306284</v>
      </c>
      <c r="S55" s="69">
        <f t="shared" si="7"/>
        <v>-39094.879569892473</v>
      </c>
    </row>
    <row r="56" spans="1:20" x14ac:dyDescent="0.25">
      <c r="A56" s="58"/>
      <c r="B56" s="59"/>
      <c r="C56" s="54"/>
      <c r="D56" s="55"/>
      <c r="F56" s="58"/>
      <c r="G56" s="59"/>
      <c r="H56" s="54"/>
      <c r="I56" s="55"/>
      <c r="K56" s="58">
        <v>36</v>
      </c>
      <c r="L56" s="68">
        <f t="shared" si="4"/>
        <v>30.326086956521738</v>
      </c>
      <c r="M56" s="54">
        <v>-1281241</v>
      </c>
      <c r="N56" s="69">
        <f t="shared" si="5"/>
        <v>-42248.807168458785</v>
      </c>
      <c r="P56" s="58">
        <v>38</v>
      </c>
      <c r="Q56" s="68">
        <f t="shared" si="6"/>
        <v>33.41317365269461</v>
      </c>
      <c r="R56" s="54">
        <v>-1308829</v>
      </c>
      <c r="S56" s="69">
        <f t="shared" si="7"/>
        <v>-39171.047132616492</v>
      </c>
    </row>
    <row r="57" spans="1:20" x14ac:dyDescent="0.25">
      <c r="A57" s="58"/>
      <c r="B57" s="59"/>
      <c r="C57" s="54"/>
      <c r="D57" s="55"/>
      <c r="F57" s="58"/>
      <c r="G57" s="59"/>
      <c r="H57" s="54"/>
      <c r="I57" s="55"/>
      <c r="K57" s="50">
        <v>29</v>
      </c>
      <c r="L57" s="70">
        <f t="shared" si="4"/>
        <v>30.326086956521738</v>
      </c>
      <c r="M57" s="51">
        <v>-1329121</v>
      </c>
      <c r="N57" s="71">
        <f t="shared" si="5"/>
        <v>-43827.645878136202</v>
      </c>
      <c r="O57">
        <v>0</v>
      </c>
      <c r="P57" s="52">
        <v>46</v>
      </c>
      <c r="Q57" s="72">
        <f t="shared" si="6"/>
        <v>33.41317365269461</v>
      </c>
      <c r="R57" s="53">
        <v>-1311822</v>
      </c>
      <c r="S57" s="73">
        <f t="shared" si="7"/>
        <v>-39260.622580645162</v>
      </c>
      <c r="T57">
        <v>0</v>
      </c>
    </row>
    <row r="58" spans="1:20" x14ac:dyDescent="0.25">
      <c r="A58" s="58"/>
      <c r="B58" s="59"/>
      <c r="C58" s="54"/>
      <c r="D58" s="55"/>
      <c r="F58" s="58"/>
      <c r="G58" s="59"/>
      <c r="H58" s="54"/>
      <c r="I58" s="55"/>
      <c r="K58" s="58">
        <v>80</v>
      </c>
      <c r="L58" s="68">
        <f t="shared" si="4"/>
        <v>30.326086956521738</v>
      </c>
      <c r="M58" s="54">
        <v>-1382584</v>
      </c>
      <c r="N58" s="69">
        <f t="shared" si="5"/>
        <v>-45590.583512544807</v>
      </c>
      <c r="P58" s="58">
        <v>53</v>
      </c>
      <c r="Q58" s="68">
        <f t="shared" si="6"/>
        <v>33.41317365269461</v>
      </c>
      <c r="R58" s="54">
        <v>-1316172</v>
      </c>
      <c r="S58" s="69">
        <f t="shared" si="7"/>
        <v>-39390.810752688172</v>
      </c>
    </row>
    <row r="59" spans="1:20" x14ac:dyDescent="0.25">
      <c r="A59" s="58"/>
      <c r="B59" s="59"/>
      <c r="C59" s="54"/>
      <c r="D59" s="55"/>
      <c r="F59" s="58"/>
      <c r="G59" s="59"/>
      <c r="H59" s="54"/>
      <c r="I59" s="55"/>
      <c r="K59" s="58">
        <v>38</v>
      </c>
      <c r="L59" s="68">
        <f t="shared" si="4"/>
        <v>30.326086956521738</v>
      </c>
      <c r="M59" s="54">
        <v>-1454904</v>
      </c>
      <c r="N59" s="69">
        <f t="shared" si="5"/>
        <v>-47975.329032258065</v>
      </c>
      <c r="P59" s="58">
        <v>87</v>
      </c>
      <c r="Q59" s="68">
        <f t="shared" si="6"/>
        <v>33.41317365269461</v>
      </c>
      <c r="R59" s="54">
        <v>-1394051</v>
      </c>
      <c r="S59" s="69">
        <f t="shared" si="7"/>
        <v>-41721.598028673834</v>
      </c>
    </row>
    <row r="60" spans="1:20" x14ac:dyDescent="0.25">
      <c r="A60" s="58"/>
      <c r="B60" s="59"/>
      <c r="C60" s="54"/>
      <c r="D60" s="55"/>
      <c r="F60" s="58"/>
      <c r="G60" s="59"/>
      <c r="H60" s="54"/>
      <c r="I60" s="55"/>
      <c r="K60" s="58">
        <v>96</v>
      </c>
      <c r="L60" s="68">
        <f t="shared" si="4"/>
        <v>30.326086956521738</v>
      </c>
      <c r="M60" s="54">
        <v>-1495940</v>
      </c>
      <c r="N60" s="69">
        <f t="shared" si="5"/>
        <v>-49328.487455197137</v>
      </c>
      <c r="P60" s="58">
        <v>36</v>
      </c>
      <c r="Q60" s="68">
        <f t="shared" si="6"/>
        <v>33.41317365269461</v>
      </c>
      <c r="R60" s="54">
        <v>-1395762</v>
      </c>
      <c r="S60" s="69">
        <f t="shared" si="7"/>
        <v>-41772.805376344084</v>
      </c>
    </row>
    <row r="61" spans="1:20" x14ac:dyDescent="0.25">
      <c r="A61" s="58"/>
      <c r="B61" s="59"/>
      <c r="C61" s="54"/>
      <c r="D61" s="55"/>
      <c r="F61" s="58"/>
      <c r="G61" s="59"/>
      <c r="H61" s="54"/>
      <c r="I61" s="55"/>
      <c r="K61" s="58">
        <v>76</v>
      </c>
      <c r="L61" s="68">
        <f t="shared" si="4"/>
        <v>30.326086956521738</v>
      </c>
      <c r="M61" s="54">
        <v>-1505954</v>
      </c>
      <c r="N61" s="69">
        <f t="shared" si="5"/>
        <v>-49658.698207885303</v>
      </c>
      <c r="P61" s="58">
        <v>42</v>
      </c>
      <c r="Q61" s="68">
        <f t="shared" si="6"/>
        <v>33.41317365269461</v>
      </c>
      <c r="R61" s="54">
        <v>-1449513</v>
      </c>
      <c r="S61" s="69">
        <f t="shared" si="7"/>
        <v>-43381.48225806452</v>
      </c>
    </row>
    <row r="62" spans="1:20" x14ac:dyDescent="0.25">
      <c r="A62" s="58"/>
      <c r="B62" s="59"/>
      <c r="C62" s="54"/>
      <c r="D62" s="55"/>
      <c r="F62" s="58"/>
      <c r="G62" s="59"/>
      <c r="H62" s="54"/>
      <c r="I62" s="55"/>
      <c r="K62" s="58">
        <v>52</v>
      </c>
      <c r="L62" s="68">
        <f t="shared" si="4"/>
        <v>30.326086956521738</v>
      </c>
      <c r="M62" s="54">
        <v>-1572435</v>
      </c>
      <c r="N62" s="69">
        <f t="shared" si="5"/>
        <v>-51850.903225806454</v>
      </c>
      <c r="P62" s="58">
        <v>28</v>
      </c>
      <c r="Q62" s="68">
        <f t="shared" si="6"/>
        <v>33.41317365269461</v>
      </c>
      <c r="R62" s="54">
        <v>-1475625</v>
      </c>
      <c r="S62" s="69">
        <f t="shared" si="7"/>
        <v>-44162.970430107525</v>
      </c>
    </row>
    <row r="63" spans="1:20" x14ac:dyDescent="0.25">
      <c r="A63" s="58"/>
      <c r="B63" s="59"/>
      <c r="C63" s="54"/>
      <c r="D63" s="55"/>
      <c r="F63" s="58"/>
      <c r="G63" s="59"/>
      <c r="H63" s="54"/>
      <c r="I63" s="55"/>
      <c r="K63" s="58">
        <v>100</v>
      </c>
      <c r="L63" s="68">
        <f t="shared" si="4"/>
        <v>30.326086956521738</v>
      </c>
      <c r="M63" s="54">
        <v>-1597710</v>
      </c>
      <c r="N63" s="69">
        <f t="shared" si="5"/>
        <v>-52684.344086021505</v>
      </c>
      <c r="P63" s="50">
        <v>83</v>
      </c>
      <c r="Q63" s="70">
        <f t="shared" si="6"/>
        <v>33.41317365269461</v>
      </c>
      <c r="R63" s="51">
        <v>-1533913</v>
      </c>
      <c r="S63" s="71">
        <f t="shared" si="7"/>
        <v>-45907.432078853046</v>
      </c>
    </row>
    <row r="64" spans="1:20" x14ac:dyDescent="0.25">
      <c r="A64" s="58"/>
      <c r="B64" s="59"/>
      <c r="C64" s="54"/>
      <c r="D64" s="55"/>
      <c r="F64" s="58"/>
      <c r="G64" s="59"/>
      <c r="H64" s="54"/>
      <c r="I64" s="55"/>
      <c r="K64" s="58">
        <v>51</v>
      </c>
      <c r="L64" s="68">
        <f t="shared" si="4"/>
        <v>30.326086956521738</v>
      </c>
      <c r="M64" s="54">
        <v>-1602000</v>
      </c>
      <c r="N64" s="69">
        <f t="shared" si="5"/>
        <v>-52825.806451612902</v>
      </c>
      <c r="P64" s="58">
        <v>77</v>
      </c>
      <c r="Q64" s="68">
        <f t="shared" si="6"/>
        <v>33.41317365269461</v>
      </c>
      <c r="R64" s="54">
        <v>-1545855</v>
      </c>
      <c r="S64" s="69">
        <f t="shared" si="7"/>
        <v>-46264.836021505376</v>
      </c>
    </row>
    <row r="65" spans="1:19" x14ac:dyDescent="0.25">
      <c r="A65" s="58"/>
      <c r="B65" s="59"/>
      <c r="C65" s="54"/>
      <c r="D65" s="55"/>
      <c r="F65" s="58"/>
      <c r="G65" s="59"/>
      <c r="H65" s="54"/>
      <c r="I65" s="55"/>
      <c r="K65" s="58"/>
      <c r="L65" s="59"/>
      <c r="M65" s="54"/>
      <c r="N65" s="55"/>
      <c r="P65" s="58"/>
      <c r="Q65" s="59"/>
      <c r="R65" s="54"/>
      <c r="S65" s="55"/>
    </row>
    <row r="66" spans="1:19" x14ac:dyDescent="0.25">
      <c r="A66" s="58"/>
      <c r="B66" s="59"/>
      <c r="C66" s="54"/>
      <c r="D66" s="55"/>
      <c r="F66" s="58"/>
      <c r="G66" s="59"/>
      <c r="H66" s="54"/>
      <c r="I66" s="55"/>
      <c r="K66" s="58"/>
      <c r="L66" s="59"/>
      <c r="M66" s="54"/>
      <c r="N66" s="55"/>
      <c r="P66" s="58"/>
      <c r="Q66" s="59"/>
      <c r="R66" s="54"/>
      <c r="S66" s="55"/>
    </row>
    <row r="67" spans="1:19" x14ac:dyDescent="0.25">
      <c r="A67" s="58"/>
      <c r="B67" s="59"/>
      <c r="C67" s="54"/>
      <c r="D67" s="55"/>
      <c r="F67" s="58"/>
      <c r="G67" s="59"/>
      <c r="H67" s="54"/>
      <c r="I67" s="55"/>
      <c r="K67" s="58"/>
      <c r="L67" s="59"/>
      <c r="M67" s="54"/>
      <c r="N67" s="55"/>
      <c r="P67" s="58"/>
      <c r="Q67" s="59"/>
      <c r="R67" s="54"/>
      <c r="S67" s="55"/>
    </row>
    <row r="68" spans="1:19" x14ac:dyDescent="0.25">
      <c r="A68" s="58"/>
      <c r="B68" s="59"/>
      <c r="C68" s="54"/>
      <c r="D68" s="55"/>
      <c r="F68" s="58"/>
      <c r="G68" s="59"/>
      <c r="H68" s="54"/>
      <c r="I68" s="55"/>
      <c r="K68" s="58"/>
      <c r="L68" s="59"/>
      <c r="M68" s="54"/>
      <c r="N68" s="55"/>
      <c r="P68" s="58"/>
      <c r="Q68" s="59"/>
      <c r="R68" s="54"/>
      <c r="S68" s="55"/>
    </row>
    <row r="69" spans="1:19" x14ac:dyDescent="0.25">
      <c r="A69" s="58"/>
      <c r="B69" s="59"/>
      <c r="C69" s="54"/>
      <c r="D69" s="55"/>
      <c r="F69" s="58"/>
      <c r="G69" s="59"/>
      <c r="H69" s="54"/>
      <c r="I69" s="55"/>
      <c r="K69" s="58"/>
      <c r="L69" s="59"/>
      <c r="M69" s="54"/>
      <c r="N69" s="55"/>
      <c r="P69" s="58"/>
      <c r="Q69" s="59"/>
      <c r="R69" s="54"/>
      <c r="S69" s="55"/>
    </row>
    <row r="70" spans="1:19" x14ac:dyDescent="0.25">
      <c r="A70" s="58"/>
      <c r="B70" s="59"/>
      <c r="C70" s="54"/>
      <c r="D70" s="55"/>
      <c r="F70" s="58"/>
      <c r="G70" s="59"/>
      <c r="H70" s="54"/>
      <c r="I70" s="55"/>
      <c r="K70" s="58"/>
      <c r="L70" s="59"/>
      <c r="M70" s="54"/>
      <c r="N70" s="55"/>
      <c r="P70" s="58"/>
      <c r="Q70" s="59"/>
      <c r="R70" s="54"/>
      <c r="S70" s="55"/>
    </row>
    <row r="71" spans="1:19" x14ac:dyDescent="0.25">
      <c r="A71" s="58"/>
      <c r="B71" s="59"/>
      <c r="C71" s="54"/>
      <c r="D71" s="55"/>
      <c r="F71" s="58"/>
      <c r="G71" s="59"/>
      <c r="H71" s="54"/>
      <c r="I71" s="55"/>
      <c r="K71" s="58"/>
      <c r="L71" s="59"/>
      <c r="M71" s="54"/>
      <c r="N71" s="55"/>
      <c r="P71" s="58"/>
      <c r="Q71" s="59"/>
      <c r="R71" s="54"/>
      <c r="S71" s="55"/>
    </row>
    <row r="72" spans="1:19" x14ac:dyDescent="0.25">
      <c r="A72" s="58"/>
      <c r="B72" s="59"/>
      <c r="C72" s="54"/>
      <c r="D72" s="55"/>
      <c r="F72" s="58"/>
      <c r="G72" s="59"/>
      <c r="H72" s="54"/>
      <c r="I72" s="55"/>
      <c r="K72" s="58"/>
      <c r="L72" s="59"/>
      <c r="M72" s="54"/>
      <c r="N72" s="55"/>
      <c r="P72" s="58"/>
      <c r="Q72" s="59"/>
      <c r="R72" s="54"/>
      <c r="S72" s="55"/>
    </row>
    <row r="73" spans="1:19" x14ac:dyDescent="0.25">
      <c r="A73" s="58"/>
      <c r="B73" s="59"/>
      <c r="C73" s="54"/>
      <c r="D73" s="55"/>
      <c r="F73" s="58"/>
      <c r="G73" s="59"/>
      <c r="H73" s="54"/>
      <c r="I73" s="55"/>
      <c r="K73" s="58"/>
      <c r="L73" s="59"/>
      <c r="M73" s="54"/>
      <c r="N73" s="55"/>
      <c r="P73" s="58"/>
      <c r="Q73" s="59"/>
      <c r="R73" s="54"/>
      <c r="S73" s="55"/>
    </row>
    <row r="74" spans="1:19" x14ac:dyDescent="0.25">
      <c r="A74" s="58"/>
      <c r="B74" s="59"/>
      <c r="C74" s="54"/>
      <c r="D74" s="55"/>
      <c r="F74" s="58"/>
      <c r="G74" s="59"/>
      <c r="H74" s="54"/>
      <c r="I74" s="55"/>
      <c r="K74" s="58"/>
      <c r="L74" s="59"/>
      <c r="M74" s="54"/>
      <c r="N74" s="55"/>
      <c r="P74" s="58"/>
      <c r="Q74" s="59"/>
      <c r="R74" s="54"/>
      <c r="S74" s="55"/>
    </row>
    <row r="75" spans="1:19" x14ac:dyDescent="0.25">
      <c r="A75" s="58"/>
      <c r="B75" s="59"/>
      <c r="C75" s="54"/>
      <c r="D75" s="55"/>
      <c r="F75" s="58"/>
      <c r="G75" s="59"/>
      <c r="H75" s="54"/>
      <c r="I75" s="55"/>
      <c r="K75" s="58"/>
      <c r="L75" s="59"/>
      <c r="M75" s="54"/>
      <c r="N75" s="55"/>
      <c r="P75" s="58"/>
      <c r="Q75" s="59"/>
      <c r="R75" s="54"/>
      <c r="S75" s="55"/>
    </row>
    <row r="76" spans="1:19" x14ac:dyDescent="0.25">
      <c r="A76" s="58"/>
      <c r="B76" s="59"/>
      <c r="C76" s="54"/>
      <c r="D76" s="55"/>
      <c r="F76" s="58"/>
      <c r="G76" s="59"/>
      <c r="H76" s="54"/>
      <c r="I76" s="55"/>
      <c r="K76" s="58"/>
      <c r="L76" s="59"/>
      <c r="M76" s="54"/>
      <c r="N76" s="55"/>
      <c r="P76" s="58"/>
      <c r="Q76" s="59"/>
      <c r="R76" s="54"/>
      <c r="S76" s="55"/>
    </row>
    <row r="77" spans="1:19" x14ac:dyDescent="0.25">
      <c r="A77" s="58"/>
      <c r="B77" s="59"/>
      <c r="C77" s="54"/>
      <c r="D77" s="55"/>
      <c r="F77" s="58"/>
      <c r="G77" s="59"/>
      <c r="H77" s="54"/>
      <c r="I77" s="55"/>
      <c r="K77" s="58"/>
      <c r="L77" s="59"/>
      <c r="M77" s="54"/>
      <c r="N77" s="55"/>
      <c r="P77" s="58"/>
      <c r="Q77" s="59"/>
      <c r="R77" s="54"/>
      <c r="S77" s="55"/>
    </row>
    <row r="78" spans="1:19" x14ac:dyDescent="0.25">
      <c r="A78" s="58"/>
      <c r="B78" s="59"/>
      <c r="C78" s="54"/>
      <c r="D78" s="55"/>
      <c r="F78" s="58"/>
      <c r="G78" s="59"/>
      <c r="H78" s="54"/>
      <c r="I78" s="55"/>
      <c r="K78" s="58"/>
      <c r="L78" s="59"/>
      <c r="M78" s="54"/>
      <c r="N78" s="55"/>
      <c r="P78" s="58"/>
      <c r="Q78" s="59"/>
      <c r="R78" s="54"/>
      <c r="S78" s="55"/>
    </row>
    <row r="79" spans="1:19" x14ac:dyDescent="0.25">
      <c r="A79" s="58"/>
      <c r="B79" s="59"/>
      <c r="C79" s="54"/>
      <c r="D79" s="55"/>
      <c r="F79" s="58"/>
      <c r="G79" s="59"/>
      <c r="H79" s="54"/>
      <c r="I79" s="55"/>
      <c r="K79" s="58"/>
      <c r="L79" s="59"/>
      <c r="M79" s="54"/>
      <c r="N79" s="55"/>
      <c r="P79" s="58"/>
      <c r="Q79" s="59"/>
      <c r="R79" s="54"/>
      <c r="S79" s="55"/>
    </row>
    <row r="80" spans="1:19" x14ac:dyDescent="0.25">
      <c r="A80" s="58"/>
      <c r="B80" s="59"/>
      <c r="C80" s="54"/>
      <c r="D80" s="55"/>
      <c r="F80" s="58"/>
      <c r="G80" s="59"/>
      <c r="H80" s="54"/>
      <c r="I80" s="55"/>
      <c r="K80" s="58"/>
      <c r="L80" s="59"/>
      <c r="M80" s="54"/>
      <c r="N80" s="55"/>
      <c r="P80" s="58"/>
      <c r="Q80" s="59"/>
      <c r="R80" s="54"/>
      <c r="S80" s="55"/>
    </row>
    <row r="81" spans="1:19" x14ac:dyDescent="0.25">
      <c r="A81" s="58"/>
      <c r="B81" s="59"/>
      <c r="C81" s="54"/>
      <c r="D81" s="55"/>
      <c r="F81" s="58"/>
      <c r="G81" s="59"/>
      <c r="H81" s="54"/>
      <c r="I81" s="55"/>
      <c r="K81" s="58"/>
      <c r="L81" s="59"/>
      <c r="M81" s="54"/>
      <c r="N81" s="55"/>
      <c r="P81" s="58"/>
      <c r="Q81" s="59"/>
      <c r="R81" s="54"/>
      <c r="S81" s="55"/>
    </row>
    <row r="82" spans="1:19" x14ac:dyDescent="0.25">
      <c r="A82" s="58"/>
      <c r="B82" s="59"/>
      <c r="C82" s="54"/>
      <c r="D82" s="55"/>
      <c r="F82" s="58"/>
      <c r="G82" s="59"/>
      <c r="H82" s="54"/>
      <c r="I82" s="55"/>
      <c r="K82" s="58"/>
      <c r="L82" s="59"/>
      <c r="M82" s="54"/>
      <c r="N82" s="55"/>
      <c r="P82" s="58"/>
      <c r="Q82" s="59"/>
      <c r="R82" s="54"/>
      <c r="S82" s="55"/>
    </row>
    <row r="83" spans="1:19" x14ac:dyDescent="0.25">
      <c r="A83" s="58"/>
      <c r="B83" s="59"/>
      <c r="C83" s="54"/>
      <c r="D83" s="55"/>
      <c r="F83" s="58"/>
      <c r="G83" s="59"/>
      <c r="H83" s="54"/>
      <c r="I83" s="55"/>
      <c r="K83" s="58"/>
      <c r="L83" s="59"/>
      <c r="M83" s="54"/>
      <c r="N83" s="55"/>
      <c r="P83" s="58"/>
      <c r="Q83" s="59"/>
      <c r="R83" s="54"/>
      <c r="S83" s="55"/>
    </row>
    <row r="84" spans="1:19" x14ac:dyDescent="0.25">
      <c r="A84" s="58"/>
      <c r="B84" s="59"/>
      <c r="C84" s="54"/>
      <c r="D84" s="55"/>
      <c r="F84" s="58"/>
      <c r="G84" s="59"/>
      <c r="H84" s="54"/>
      <c r="I84" s="55"/>
      <c r="K84" s="58"/>
      <c r="L84" s="59"/>
      <c r="M84" s="54"/>
      <c r="N84" s="55"/>
      <c r="P84" s="58"/>
      <c r="Q84" s="59"/>
      <c r="R84" s="54"/>
      <c r="S84" s="55"/>
    </row>
    <row r="85" spans="1:19" x14ac:dyDescent="0.25">
      <c r="A85" s="58"/>
      <c r="B85" s="59"/>
      <c r="C85" s="54"/>
      <c r="D85" s="55"/>
      <c r="F85" s="58"/>
      <c r="G85" s="59"/>
      <c r="H85" s="54"/>
      <c r="I85" s="55"/>
      <c r="K85" s="58"/>
      <c r="L85" s="59"/>
      <c r="M85" s="54"/>
      <c r="N85" s="55"/>
      <c r="P85" s="58"/>
      <c r="Q85" s="59"/>
      <c r="R85" s="54"/>
      <c r="S85" s="55"/>
    </row>
    <row r="86" spans="1:19" x14ac:dyDescent="0.25">
      <c r="A86" s="58"/>
      <c r="B86" s="59"/>
      <c r="C86" s="54"/>
      <c r="D86" s="55"/>
      <c r="F86" s="58"/>
      <c r="G86" s="59"/>
      <c r="H86" s="54"/>
      <c r="I86" s="55"/>
      <c r="K86" s="58"/>
      <c r="L86" s="59"/>
      <c r="M86" s="54"/>
      <c r="N86" s="55"/>
      <c r="P86" s="58"/>
      <c r="Q86" s="59"/>
      <c r="R86" s="54"/>
      <c r="S86" s="55"/>
    </row>
    <row r="87" spans="1:19" x14ac:dyDescent="0.25">
      <c r="A87" s="58"/>
      <c r="B87" s="59"/>
      <c r="C87" s="54"/>
      <c r="D87" s="55"/>
      <c r="F87" s="58"/>
      <c r="G87" s="59"/>
      <c r="H87" s="54"/>
      <c r="I87" s="55"/>
      <c r="K87" s="58"/>
      <c r="L87" s="59"/>
      <c r="M87" s="54"/>
      <c r="N87" s="55"/>
      <c r="P87" s="58"/>
      <c r="Q87" s="59"/>
      <c r="R87" s="54"/>
      <c r="S87" s="55"/>
    </row>
    <row r="88" spans="1:19" x14ac:dyDescent="0.25">
      <c r="A88" s="58"/>
      <c r="B88" s="59"/>
      <c r="C88" s="54"/>
      <c r="D88" s="55"/>
      <c r="F88" s="58"/>
      <c r="G88" s="59"/>
      <c r="H88" s="54"/>
      <c r="I88" s="55"/>
      <c r="K88" s="58"/>
      <c r="L88" s="59"/>
      <c r="M88" s="54"/>
      <c r="N88" s="55"/>
      <c r="P88" s="58"/>
      <c r="Q88" s="59"/>
      <c r="R88" s="54"/>
      <c r="S88" s="55"/>
    </row>
    <row r="89" spans="1:19" x14ac:dyDescent="0.25">
      <c r="A89" s="58"/>
      <c r="B89" s="59"/>
      <c r="C89" s="54"/>
      <c r="D89" s="55"/>
      <c r="F89" s="58"/>
      <c r="G89" s="59"/>
      <c r="H89" s="54"/>
      <c r="I89" s="55"/>
      <c r="K89" s="58"/>
      <c r="L89" s="59"/>
      <c r="M89" s="54"/>
      <c r="N89" s="55"/>
      <c r="P89" s="58"/>
      <c r="Q89" s="59"/>
      <c r="R89" s="54"/>
      <c r="S89" s="55"/>
    </row>
    <row r="90" spans="1:19" x14ac:dyDescent="0.25">
      <c r="A90" s="58"/>
      <c r="B90" s="59"/>
      <c r="C90" s="54"/>
      <c r="D90" s="55"/>
      <c r="F90" s="58"/>
      <c r="G90" s="59"/>
      <c r="H90" s="54"/>
      <c r="I90" s="55"/>
      <c r="K90" s="58"/>
      <c r="L90" s="59"/>
      <c r="M90" s="54"/>
      <c r="N90" s="55"/>
      <c r="P90" s="58"/>
      <c r="Q90" s="59"/>
      <c r="R90" s="54"/>
      <c r="S90" s="55"/>
    </row>
    <row r="91" spans="1:19" x14ac:dyDescent="0.25">
      <c r="A91" s="58"/>
      <c r="B91" s="59"/>
      <c r="C91" s="54"/>
      <c r="D91" s="55"/>
      <c r="F91" s="58"/>
      <c r="G91" s="59"/>
      <c r="H91" s="54"/>
      <c r="I91" s="55"/>
      <c r="K91" s="58"/>
      <c r="L91" s="59"/>
      <c r="M91" s="54"/>
      <c r="N91" s="55"/>
      <c r="P91" s="58"/>
      <c r="Q91" s="59"/>
      <c r="R91" s="54"/>
      <c r="S91" s="55"/>
    </row>
    <row r="92" spans="1:19" x14ac:dyDescent="0.25">
      <c r="A92" s="58"/>
      <c r="B92" s="59"/>
      <c r="C92" s="54"/>
      <c r="D92" s="55"/>
      <c r="F92" s="58"/>
      <c r="G92" s="59"/>
      <c r="H92" s="54"/>
      <c r="I92" s="55"/>
      <c r="K92" s="58"/>
      <c r="L92" s="59"/>
      <c r="M92" s="54"/>
      <c r="N92" s="55"/>
      <c r="P92" s="58"/>
      <c r="Q92" s="59"/>
      <c r="R92" s="54"/>
      <c r="S92" s="55"/>
    </row>
    <row r="93" spans="1:19" x14ac:dyDescent="0.25">
      <c r="A93" s="58"/>
      <c r="B93" s="59"/>
      <c r="C93" s="54"/>
      <c r="D93" s="55"/>
      <c r="F93" s="58"/>
      <c r="G93" s="59"/>
      <c r="H93" s="54"/>
      <c r="I93" s="55"/>
      <c r="K93" s="58"/>
      <c r="L93" s="59"/>
      <c r="M93" s="54"/>
      <c r="N93" s="55"/>
      <c r="P93" s="58"/>
      <c r="Q93" s="59"/>
      <c r="R93" s="54"/>
      <c r="S93" s="55"/>
    </row>
    <row r="94" spans="1:19" x14ac:dyDescent="0.25">
      <c r="A94" s="58"/>
      <c r="B94" s="59"/>
      <c r="C94" s="54"/>
      <c r="D94" s="55"/>
      <c r="F94" s="58"/>
      <c r="G94" s="59"/>
      <c r="H94" s="54"/>
      <c r="I94" s="55"/>
      <c r="K94" s="58"/>
      <c r="L94" s="59"/>
      <c r="M94" s="54"/>
      <c r="N94" s="55"/>
      <c r="P94" s="58"/>
      <c r="Q94" s="59"/>
      <c r="R94" s="54"/>
      <c r="S94" s="55"/>
    </row>
    <row r="95" spans="1:19" x14ac:dyDescent="0.25">
      <c r="A95" s="58"/>
      <c r="B95" s="59"/>
      <c r="C95" s="54"/>
      <c r="D95" s="55"/>
      <c r="F95" s="58"/>
      <c r="G95" s="59"/>
      <c r="H95" s="54"/>
      <c r="I95" s="55"/>
      <c r="K95" s="58"/>
      <c r="L95" s="59"/>
      <c r="M95" s="54"/>
      <c r="N95" s="55"/>
      <c r="P95" s="58"/>
      <c r="Q95" s="59"/>
      <c r="R95" s="54"/>
      <c r="S95" s="55"/>
    </row>
    <row r="96" spans="1:19" x14ac:dyDescent="0.25">
      <c r="A96" s="58"/>
      <c r="B96" s="59"/>
      <c r="C96" s="54"/>
      <c r="D96" s="55"/>
      <c r="F96" s="58"/>
      <c r="G96" s="59"/>
      <c r="H96" s="54"/>
      <c r="I96" s="55"/>
      <c r="K96" s="58"/>
      <c r="L96" s="59"/>
      <c r="M96" s="54"/>
      <c r="N96" s="55"/>
      <c r="P96" s="58"/>
      <c r="Q96" s="59"/>
      <c r="R96" s="54"/>
      <c r="S96" s="55"/>
    </row>
    <row r="97" spans="1:19" x14ac:dyDescent="0.25">
      <c r="A97" s="58"/>
      <c r="B97" s="59"/>
      <c r="C97" s="54"/>
      <c r="D97" s="55"/>
      <c r="F97" s="58"/>
      <c r="G97" s="59"/>
      <c r="H97" s="54"/>
      <c r="I97" s="55"/>
      <c r="K97" s="58"/>
      <c r="L97" s="59"/>
      <c r="M97" s="54"/>
      <c r="N97" s="55"/>
      <c r="P97" s="58"/>
      <c r="Q97" s="59"/>
      <c r="R97" s="54"/>
      <c r="S97" s="55"/>
    </row>
    <row r="98" spans="1:19" x14ac:dyDescent="0.25">
      <c r="A98" s="58"/>
      <c r="B98" s="59"/>
      <c r="C98" s="54"/>
      <c r="D98" s="55"/>
      <c r="F98" s="58"/>
      <c r="G98" s="59"/>
      <c r="H98" s="54"/>
      <c r="I98" s="55"/>
      <c r="K98" s="58"/>
      <c r="L98" s="59"/>
      <c r="M98" s="54"/>
      <c r="N98" s="55"/>
      <c r="P98" s="58"/>
      <c r="Q98" s="59"/>
      <c r="R98" s="54"/>
      <c r="S98" s="55"/>
    </row>
    <row r="99" spans="1:19" x14ac:dyDescent="0.25">
      <c r="A99" s="58"/>
      <c r="B99" s="59"/>
      <c r="C99" s="54"/>
      <c r="D99" s="55"/>
      <c r="F99" s="58"/>
      <c r="G99" s="59"/>
      <c r="H99" s="54"/>
      <c r="I99" s="55"/>
      <c r="K99" s="58"/>
      <c r="L99" s="59"/>
      <c r="M99" s="54"/>
      <c r="N99" s="55"/>
      <c r="P99" s="58"/>
      <c r="Q99" s="59"/>
      <c r="R99" s="54"/>
      <c r="S99" s="55"/>
    </row>
    <row r="100" spans="1:19" x14ac:dyDescent="0.25">
      <c r="A100" s="58"/>
      <c r="B100" s="59"/>
      <c r="C100" s="54"/>
      <c r="D100" s="55"/>
      <c r="F100" s="58"/>
      <c r="G100" s="59"/>
      <c r="H100" s="54"/>
      <c r="I100" s="55"/>
      <c r="K100" s="58"/>
      <c r="L100" s="59"/>
      <c r="M100" s="54"/>
      <c r="N100" s="55"/>
      <c r="P100" s="58"/>
      <c r="Q100" s="59"/>
      <c r="R100" s="54"/>
      <c r="S100" s="55"/>
    </row>
    <row r="101" spans="1:19" x14ac:dyDescent="0.25">
      <c r="A101" s="58"/>
      <c r="B101" s="59"/>
      <c r="C101" s="54"/>
      <c r="D101" s="55"/>
      <c r="F101" s="58"/>
      <c r="G101" s="59"/>
      <c r="H101" s="54"/>
      <c r="I101" s="55"/>
      <c r="K101" s="58"/>
      <c r="L101" s="59"/>
      <c r="M101" s="54"/>
      <c r="N101" s="55"/>
      <c r="P101" s="58"/>
      <c r="Q101" s="59"/>
      <c r="R101" s="54"/>
      <c r="S101" s="55"/>
    </row>
    <row r="102" spans="1:19" x14ac:dyDescent="0.25">
      <c r="A102" s="58"/>
      <c r="B102" s="59"/>
      <c r="C102" s="54"/>
      <c r="D102" s="55"/>
      <c r="F102" s="58"/>
      <c r="G102" s="59"/>
      <c r="H102" s="54"/>
      <c r="I102" s="55"/>
      <c r="K102" s="58"/>
      <c r="L102" s="59"/>
      <c r="M102" s="54"/>
      <c r="N102" s="55"/>
      <c r="P102" s="58"/>
      <c r="Q102" s="59"/>
      <c r="R102" s="54"/>
      <c r="S102" s="55"/>
    </row>
    <row r="103" spans="1:19" x14ac:dyDescent="0.25">
      <c r="A103" s="58"/>
      <c r="B103" s="59"/>
      <c r="C103" s="54"/>
      <c r="D103" s="55"/>
      <c r="F103" s="58"/>
      <c r="G103" s="59"/>
      <c r="H103" s="54"/>
      <c r="I103" s="55"/>
      <c r="K103" s="58"/>
      <c r="L103" s="59"/>
      <c r="M103" s="54"/>
      <c r="N103" s="55"/>
      <c r="P103" s="58"/>
      <c r="Q103" s="59"/>
      <c r="R103" s="54"/>
      <c r="S103" s="55"/>
    </row>
    <row r="104" spans="1:19" x14ac:dyDescent="0.25">
      <c r="A104" s="58"/>
      <c r="B104" s="59"/>
      <c r="C104" s="54"/>
      <c r="D104" s="55"/>
      <c r="F104" s="58"/>
      <c r="G104" s="59"/>
      <c r="H104" s="54"/>
      <c r="I104" s="55"/>
      <c r="K104" s="58"/>
      <c r="L104" s="59"/>
      <c r="M104" s="54"/>
      <c r="N104" s="55"/>
      <c r="P104" s="58"/>
      <c r="Q104" s="59"/>
      <c r="R104" s="54"/>
      <c r="S104" s="55"/>
    </row>
    <row r="105" spans="1:19" x14ac:dyDescent="0.25">
      <c r="A105" s="58"/>
      <c r="B105" s="59"/>
      <c r="C105" s="54"/>
      <c r="D105" s="55"/>
      <c r="F105" s="58"/>
      <c r="G105" s="59"/>
      <c r="H105" s="54"/>
      <c r="I105" s="55"/>
      <c r="K105" s="58"/>
      <c r="L105" s="59"/>
      <c r="M105" s="54"/>
      <c r="N105" s="55"/>
      <c r="P105" s="58"/>
      <c r="Q105" s="59"/>
      <c r="R105" s="54"/>
      <c r="S105" s="55"/>
    </row>
    <row r="106" spans="1:19" x14ac:dyDescent="0.25">
      <c r="A106" s="58"/>
      <c r="B106" s="59"/>
      <c r="C106" s="54"/>
      <c r="D106" s="55"/>
      <c r="F106" s="58"/>
      <c r="G106" s="59"/>
      <c r="H106" s="54"/>
      <c r="I106" s="55"/>
      <c r="K106" s="58"/>
      <c r="L106" s="59"/>
      <c r="M106" s="54"/>
      <c r="N106" s="55"/>
      <c r="P106" s="58"/>
      <c r="Q106" s="59"/>
      <c r="R106" s="54"/>
      <c r="S106" s="55"/>
    </row>
    <row r="107" spans="1:19" x14ac:dyDescent="0.25">
      <c r="A107" s="58"/>
      <c r="B107" s="59"/>
      <c r="C107" s="54"/>
      <c r="D107" s="55"/>
      <c r="F107" s="58"/>
      <c r="G107" s="59"/>
      <c r="H107" s="54"/>
      <c r="I107" s="55"/>
      <c r="K107" s="58"/>
      <c r="L107" s="59"/>
      <c r="M107" s="54"/>
      <c r="N107" s="55"/>
      <c r="P107" s="58"/>
      <c r="Q107" s="59"/>
      <c r="R107" s="54"/>
      <c r="S107" s="55"/>
    </row>
    <row r="108" spans="1:19" x14ac:dyDescent="0.25">
      <c r="A108" s="58"/>
      <c r="B108" s="59"/>
      <c r="C108" s="54"/>
      <c r="D108" s="55"/>
      <c r="F108" s="58"/>
      <c r="G108" s="59"/>
      <c r="H108" s="54"/>
      <c r="I108" s="55"/>
      <c r="K108" s="58"/>
      <c r="L108" s="59"/>
      <c r="M108" s="54"/>
      <c r="N108" s="55"/>
      <c r="P108" s="58"/>
      <c r="Q108" s="59"/>
      <c r="R108" s="54"/>
      <c r="S108" s="55"/>
    </row>
    <row r="109" spans="1:19" x14ac:dyDescent="0.25">
      <c r="A109" s="58"/>
      <c r="B109" s="59"/>
      <c r="C109" s="54"/>
      <c r="D109" s="55"/>
      <c r="F109" s="58"/>
      <c r="G109" s="59"/>
      <c r="H109" s="54"/>
      <c r="I109" s="55"/>
      <c r="K109" s="58"/>
      <c r="L109" s="59"/>
      <c r="M109" s="54"/>
      <c r="N109" s="55"/>
      <c r="P109" s="58"/>
      <c r="Q109" s="59"/>
      <c r="R109" s="54"/>
      <c r="S109" s="55"/>
    </row>
    <row r="110" spans="1:19" x14ac:dyDescent="0.25">
      <c r="A110" s="58"/>
      <c r="B110" s="59"/>
      <c r="C110" s="54"/>
      <c r="D110" s="55"/>
      <c r="F110" s="58"/>
      <c r="G110" s="59"/>
      <c r="H110" s="54"/>
      <c r="I110" s="55"/>
      <c r="K110" s="58"/>
      <c r="L110" s="59"/>
      <c r="M110" s="54"/>
      <c r="N110" s="55"/>
      <c r="P110" s="58"/>
      <c r="Q110" s="59"/>
      <c r="R110" s="54"/>
      <c r="S110" s="55"/>
    </row>
    <row r="111" spans="1:19" x14ac:dyDescent="0.25">
      <c r="A111" s="58"/>
      <c r="B111" s="59"/>
      <c r="C111" s="54"/>
      <c r="D111" s="55"/>
      <c r="F111" s="58"/>
      <c r="G111" s="59"/>
      <c r="H111" s="54"/>
      <c r="I111" s="55"/>
      <c r="K111" s="58"/>
      <c r="L111" s="59"/>
      <c r="M111" s="54"/>
      <c r="N111" s="55"/>
      <c r="P111" s="58"/>
      <c r="Q111" s="59"/>
      <c r="R111" s="54"/>
      <c r="S111" s="55"/>
    </row>
    <row r="112" spans="1:19" x14ac:dyDescent="0.25">
      <c r="A112" s="58"/>
      <c r="B112" s="59"/>
      <c r="C112" s="54"/>
      <c r="D112" s="55"/>
      <c r="F112" s="58"/>
      <c r="G112" s="59"/>
      <c r="H112" s="54"/>
      <c r="I112" s="55"/>
      <c r="K112" s="58"/>
      <c r="L112" s="59"/>
      <c r="M112" s="54"/>
      <c r="N112" s="55"/>
      <c r="P112" s="58"/>
      <c r="Q112" s="59"/>
      <c r="R112" s="54"/>
      <c r="S112" s="55"/>
    </row>
    <row r="113" spans="1:19" x14ac:dyDescent="0.25">
      <c r="A113" s="58"/>
      <c r="B113" s="59"/>
      <c r="C113" s="54"/>
      <c r="D113" s="55"/>
      <c r="F113" s="58"/>
      <c r="G113" s="59"/>
      <c r="H113" s="54"/>
      <c r="I113" s="55"/>
      <c r="K113" s="58"/>
      <c r="L113" s="59"/>
      <c r="M113" s="54"/>
      <c r="N113" s="55"/>
      <c r="P113" s="58"/>
      <c r="Q113" s="59"/>
      <c r="R113" s="54"/>
      <c r="S113" s="55"/>
    </row>
    <row r="114" spans="1:19" x14ac:dyDescent="0.25">
      <c r="A114" s="58"/>
      <c r="B114" s="59"/>
      <c r="C114" s="54"/>
      <c r="D114" s="55"/>
      <c r="F114" s="58"/>
      <c r="G114" s="59"/>
      <c r="H114" s="54"/>
      <c r="I114" s="55"/>
      <c r="K114" s="58"/>
      <c r="L114" s="59"/>
      <c r="M114" s="54"/>
      <c r="N114" s="55"/>
      <c r="P114" s="58"/>
      <c r="Q114" s="59"/>
      <c r="R114" s="54"/>
      <c r="S114" s="55"/>
    </row>
    <row r="115" spans="1:19" x14ac:dyDescent="0.25">
      <c r="A115" s="58"/>
      <c r="B115" s="59"/>
      <c r="C115" s="54"/>
      <c r="D115" s="55"/>
      <c r="F115" s="58"/>
      <c r="G115" s="59"/>
      <c r="H115" s="54"/>
      <c r="I115" s="55"/>
      <c r="K115" s="58"/>
      <c r="L115" s="59"/>
      <c r="M115" s="54"/>
      <c r="N115" s="55"/>
      <c r="P115" s="58"/>
      <c r="Q115" s="59"/>
      <c r="R115" s="54"/>
      <c r="S115" s="55"/>
    </row>
    <row r="116" spans="1:19" x14ac:dyDescent="0.25">
      <c r="A116" s="58"/>
      <c r="B116" s="59"/>
      <c r="C116" s="54"/>
      <c r="D116" s="55"/>
      <c r="F116" s="58"/>
      <c r="G116" s="59"/>
      <c r="H116" s="54"/>
      <c r="I116" s="55"/>
      <c r="K116" s="58"/>
      <c r="L116" s="59"/>
      <c r="M116" s="54"/>
      <c r="N116" s="55"/>
      <c r="P116" s="58"/>
      <c r="Q116" s="59"/>
      <c r="R116" s="54"/>
      <c r="S116" s="55"/>
    </row>
    <row r="117" spans="1:19" x14ac:dyDescent="0.25">
      <c r="A117" s="58"/>
      <c r="B117" s="59"/>
      <c r="C117" s="54"/>
      <c r="D117" s="55"/>
      <c r="F117" s="58"/>
      <c r="G117" s="59"/>
      <c r="H117" s="54"/>
      <c r="I117" s="55"/>
      <c r="K117" s="58"/>
      <c r="L117" s="59"/>
      <c r="M117" s="54"/>
      <c r="N117" s="55"/>
      <c r="P117" s="58"/>
      <c r="Q117" s="59"/>
      <c r="R117" s="54"/>
      <c r="S117" s="55"/>
    </row>
    <row r="118" spans="1:19" ht="15.75" thickBot="1" x14ac:dyDescent="0.3">
      <c r="A118" s="60"/>
      <c r="B118" s="61"/>
      <c r="C118" s="56"/>
      <c r="D118" s="57"/>
      <c r="F118" s="60"/>
      <c r="G118" s="61"/>
      <c r="H118" s="56"/>
      <c r="I118" s="57"/>
      <c r="K118" s="58"/>
      <c r="L118" s="59"/>
      <c r="M118" s="54"/>
      <c r="N118" s="55"/>
      <c r="P118" s="58"/>
      <c r="Q118" s="59"/>
      <c r="R118" s="54"/>
      <c r="S118" s="55"/>
    </row>
    <row r="119" spans="1:19" x14ac:dyDescent="0.25">
      <c r="K119" s="58"/>
      <c r="L119" s="59"/>
      <c r="M119" s="54"/>
      <c r="N119" s="55"/>
      <c r="P119" s="58"/>
      <c r="Q119" s="59"/>
      <c r="R119" s="54"/>
      <c r="S119" s="55"/>
    </row>
    <row r="120" spans="1:19" x14ac:dyDescent="0.25">
      <c r="K120" s="58"/>
      <c r="L120" s="59"/>
      <c r="M120" s="54"/>
      <c r="N120" s="55"/>
      <c r="P120" s="58"/>
      <c r="Q120" s="59"/>
      <c r="R120" s="54"/>
      <c r="S120" s="55"/>
    </row>
    <row r="121" spans="1:19" x14ac:dyDescent="0.25">
      <c r="K121" s="58"/>
      <c r="L121" s="59"/>
      <c r="M121" s="54"/>
      <c r="N121" s="55"/>
      <c r="P121" s="58"/>
      <c r="Q121" s="59"/>
      <c r="R121" s="54"/>
      <c r="S121" s="55"/>
    </row>
    <row r="122" spans="1:19" x14ac:dyDescent="0.25">
      <c r="K122" s="58"/>
      <c r="L122" s="59"/>
      <c r="M122" s="54"/>
      <c r="N122" s="55"/>
      <c r="P122" s="58"/>
      <c r="Q122" s="59"/>
      <c r="R122" s="54"/>
      <c r="S122" s="55"/>
    </row>
    <row r="123" spans="1:19" x14ac:dyDescent="0.25">
      <c r="K123" s="58"/>
      <c r="L123" s="59"/>
      <c r="M123" s="54"/>
      <c r="N123" s="55"/>
      <c r="P123" s="58"/>
      <c r="Q123" s="59"/>
      <c r="R123" s="54"/>
      <c r="S123" s="55"/>
    </row>
    <row r="124" spans="1:19" x14ac:dyDescent="0.25">
      <c r="K124" s="58"/>
      <c r="L124" s="59"/>
      <c r="M124" s="54"/>
      <c r="N124" s="55"/>
      <c r="P124" s="58"/>
      <c r="Q124" s="59"/>
      <c r="R124" s="54"/>
      <c r="S124" s="55"/>
    </row>
    <row r="125" spans="1:19" x14ac:dyDescent="0.25">
      <c r="K125" s="58"/>
      <c r="L125" s="59"/>
      <c r="M125" s="54"/>
      <c r="N125" s="55"/>
      <c r="P125" s="58"/>
      <c r="Q125" s="59"/>
      <c r="R125" s="54"/>
      <c r="S125" s="55"/>
    </row>
    <row r="126" spans="1:19" x14ac:dyDescent="0.25">
      <c r="K126" s="58"/>
      <c r="L126" s="59"/>
      <c r="M126" s="54"/>
      <c r="N126" s="55"/>
      <c r="P126" s="58"/>
      <c r="Q126" s="59"/>
      <c r="R126" s="54"/>
      <c r="S126" s="55"/>
    </row>
    <row r="127" spans="1:19" x14ac:dyDescent="0.25">
      <c r="K127" s="58"/>
      <c r="L127" s="59"/>
      <c r="M127" s="54"/>
      <c r="N127" s="55"/>
      <c r="P127" s="58"/>
      <c r="Q127" s="59"/>
      <c r="R127" s="54"/>
      <c r="S127" s="55"/>
    </row>
    <row r="128" spans="1:19" x14ac:dyDescent="0.25">
      <c r="K128" s="58"/>
      <c r="L128" s="59"/>
      <c r="M128" s="54"/>
      <c r="N128" s="55"/>
      <c r="P128" s="58"/>
      <c r="Q128" s="59"/>
      <c r="R128" s="54"/>
      <c r="S128" s="55"/>
    </row>
    <row r="129" spans="11:19" x14ac:dyDescent="0.25">
      <c r="K129" s="58"/>
      <c r="L129" s="59"/>
      <c r="M129" s="54"/>
      <c r="N129" s="55"/>
      <c r="P129" s="58"/>
      <c r="Q129" s="59"/>
      <c r="R129" s="54"/>
      <c r="S129" s="55"/>
    </row>
    <row r="130" spans="11:19" x14ac:dyDescent="0.25">
      <c r="K130" s="58"/>
      <c r="L130" s="59"/>
      <c r="M130" s="54"/>
      <c r="N130" s="55"/>
      <c r="P130" s="58"/>
      <c r="Q130" s="59"/>
      <c r="R130" s="54"/>
      <c r="S130" s="55"/>
    </row>
    <row r="131" spans="11:19" x14ac:dyDescent="0.25">
      <c r="K131" s="58"/>
      <c r="L131" s="59"/>
      <c r="M131" s="54"/>
      <c r="N131" s="55"/>
      <c r="P131" s="58"/>
      <c r="Q131" s="59"/>
      <c r="R131" s="54"/>
      <c r="S131" s="55"/>
    </row>
    <row r="132" spans="11:19" x14ac:dyDescent="0.25">
      <c r="K132" s="58"/>
      <c r="L132" s="59"/>
      <c r="M132" s="54"/>
      <c r="N132" s="55"/>
      <c r="P132" s="58"/>
      <c r="Q132" s="59"/>
      <c r="R132" s="54"/>
      <c r="S132" s="55"/>
    </row>
    <row r="133" spans="11:19" x14ac:dyDescent="0.25">
      <c r="K133" s="58"/>
      <c r="L133" s="59"/>
      <c r="M133" s="54"/>
      <c r="N133" s="55"/>
      <c r="P133" s="58"/>
      <c r="Q133" s="59"/>
      <c r="R133" s="54"/>
      <c r="S133" s="55"/>
    </row>
    <row r="134" spans="11:19" x14ac:dyDescent="0.25">
      <c r="K134" s="58"/>
      <c r="L134" s="59"/>
      <c r="M134" s="54"/>
      <c r="N134" s="55"/>
      <c r="P134" s="58"/>
      <c r="Q134" s="59"/>
      <c r="R134" s="54"/>
      <c r="S134" s="55"/>
    </row>
    <row r="135" spans="11:19" x14ac:dyDescent="0.25">
      <c r="K135" s="58"/>
      <c r="L135" s="59"/>
      <c r="M135" s="54"/>
      <c r="N135" s="55"/>
      <c r="P135" s="58"/>
      <c r="Q135" s="59"/>
      <c r="R135" s="54"/>
      <c r="S135" s="55"/>
    </row>
    <row r="136" spans="11:19" x14ac:dyDescent="0.25">
      <c r="K136" s="58"/>
      <c r="L136" s="59"/>
      <c r="M136" s="54"/>
      <c r="N136" s="55"/>
      <c r="P136" s="58"/>
      <c r="Q136" s="59"/>
      <c r="R136" s="54"/>
      <c r="S136" s="55"/>
    </row>
    <row r="137" spans="11:19" x14ac:dyDescent="0.25">
      <c r="K137" s="58"/>
      <c r="L137" s="59"/>
      <c r="M137" s="54"/>
      <c r="N137" s="55"/>
      <c r="P137" s="58"/>
      <c r="Q137" s="59"/>
      <c r="R137" s="54"/>
      <c r="S137" s="55"/>
    </row>
    <row r="138" spans="11:19" x14ac:dyDescent="0.25">
      <c r="K138" s="58"/>
      <c r="L138" s="59"/>
      <c r="M138" s="54"/>
      <c r="N138" s="55"/>
      <c r="P138" s="58"/>
      <c r="Q138" s="59"/>
      <c r="R138" s="54"/>
      <c r="S138" s="55"/>
    </row>
    <row r="139" spans="11:19" x14ac:dyDescent="0.25">
      <c r="K139" s="58"/>
      <c r="L139" s="59"/>
      <c r="M139" s="54"/>
      <c r="N139" s="55"/>
      <c r="P139" s="58"/>
      <c r="Q139" s="59"/>
      <c r="R139" s="54"/>
      <c r="S139" s="55"/>
    </row>
    <row r="140" spans="11:19" x14ac:dyDescent="0.25">
      <c r="K140" s="58"/>
      <c r="L140" s="59"/>
      <c r="M140" s="54"/>
      <c r="N140" s="55"/>
      <c r="P140" s="58"/>
      <c r="Q140" s="59"/>
      <c r="R140" s="54"/>
      <c r="S140" s="55"/>
    </row>
    <row r="141" spans="11:19" x14ac:dyDescent="0.25">
      <c r="K141" s="58"/>
      <c r="L141" s="59"/>
      <c r="M141" s="54"/>
      <c r="N141" s="55"/>
      <c r="P141" s="58"/>
      <c r="Q141" s="59"/>
      <c r="R141" s="54"/>
      <c r="S141" s="55"/>
    </row>
    <row r="142" spans="11:19" x14ac:dyDescent="0.25">
      <c r="K142" s="58"/>
      <c r="L142" s="59"/>
      <c r="M142" s="54"/>
      <c r="N142" s="55"/>
      <c r="P142" s="58"/>
      <c r="Q142" s="59"/>
      <c r="R142" s="54"/>
      <c r="S142" s="55"/>
    </row>
    <row r="143" spans="11:19" x14ac:dyDescent="0.25">
      <c r="K143" s="58"/>
      <c r="L143" s="59"/>
      <c r="M143" s="54"/>
      <c r="N143" s="55"/>
      <c r="P143" s="58"/>
      <c r="Q143" s="59"/>
      <c r="R143" s="54"/>
      <c r="S143" s="55"/>
    </row>
    <row r="144" spans="11:19" x14ac:dyDescent="0.25">
      <c r="K144" s="58"/>
      <c r="L144" s="59"/>
      <c r="M144" s="54"/>
      <c r="N144" s="55"/>
      <c r="P144" s="58"/>
      <c r="Q144" s="59"/>
      <c r="R144" s="54"/>
      <c r="S144" s="55"/>
    </row>
    <row r="145" spans="11:19" x14ac:dyDescent="0.25">
      <c r="K145" s="58"/>
      <c r="L145" s="59"/>
      <c r="M145" s="54"/>
      <c r="N145" s="55"/>
      <c r="P145" s="58"/>
      <c r="Q145" s="59"/>
      <c r="R145" s="54"/>
      <c r="S145" s="55"/>
    </row>
    <row r="146" spans="11:19" x14ac:dyDescent="0.25">
      <c r="K146" s="58"/>
      <c r="L146" s="59"/>
      <c r="M146" s="54"/>
      <c r="N146" s="55"/>
      <c r="P146" s="58"/>
      <c r="Q146" s="59"/>
      <c r="R146" s="54"/>
      <c r="S146" s="55"/>
    </row>
    <row r="147" spans="11:19" x14ac:dyDescent="0.25">
      <c r="K147" s="58"/>
      <c r="L147" s="59"/>
      <c r="M147" s="54"/>
      <c r="N147" s="55"/>
      <c r="P147" s="58"/>
      <c r="Q147" s="59"/>
      <c r="R147" s="54"/>
      <c r="S147" s="55"/>
    </row>
    <row r="148" spans="11:19" x14ac:dyDescent="0.25">
      <c r="K148" s="58"/>
      <c r="L148" s="59"/>
      <c r="M148" s="54"/>
      <c r="N148" s="55"/>
      <c r="P148" s="58"/>
      <c r="Q148" s="59"/>
      <c r="R148" s="54"/>
      <c r="S148" s="55"/>
    </row>
    <row r="149" spans="11:19" x14ac:dyDescent="0.25">
      <c r="K149" s="58"/>
      <c r="L149" s="59"/>
      <c r="M149" s="54"/>
      <c r="N149" s="55"/>
      <c r="P149" s="58"/>
      <c r="Q149" s="59"/>
      <c r="R149" s="54"/>
      <c r="S149" s="55"/>
    </row>
    <row r="150" spans="11:19" x14ac:dyDescent="0.25">
      <c r="K150" s="58"/>
      <c r="L150" s="59"/>
      <c r="M150" s="54"/>
      <c r="N150" s="55"/>
      <c r="P150" s="58"/>
      <c r="Q150" s="59"/>
      <c r="R150" s="54"/>
      <c r="S150" s="55"/>
    </row>
    <row r="151" spans="11:19" x14ac:dyDescent="0.25">
      <c r="K151" s="58"/>
      <c r="L151" s="59"/>
      <c r="M151" s="54"/>
      <c r="N151" s="55"/>
      <c r="P151" s="58"/>
      <c r="Q151" s="59"/>
      <c r="R151" s="54"/>
      <c r="S151" s="55"/>
    </row>
    <row r="152" spans="11:19" x14ac:dyDescent="0.25">
      <c r="K152" s="58"/>
      <c r="L152" s="59"/>
      <c r="M152" s="54"/>
      <c r="N152" s="55"/>
      <c r="P152" s="58"/>
      <c r="Q152" s="59"/>
      <c r="R152" s="54"/>
      <c r="S152" s="55"/>
    </row>
    <row r="153" spans="11:19" x14ac:dyDescent="0.25">
      <c r="K153" s="58"/>
      <c r="L153" s="59"/>
      <c r="M153" s="54"/>
      <c r="N153" s="55"/>
      <c r="P153" s="58"/>
      <c r="Q153" s="59"/>
      <c r="R153" s="54"/>
      <c r="S153" s="55"/>
    </row>
    <row r="154" spans="11:19" x14ac:dyDescent="0.25">
      <c r="K154" s="58"/>
      <c r="L154" s="59"/>
      <c r="M154" s="54"/>
      <c r="N154" s="55"/>
      <c r="P154" s="58"/>
      <c r="Q154" s="59"/>
      <c r="R154" s="54"/>
      <c r="S154" s="55"/>
    </row>
    <row r="155" spans="11:19" x14ac:dyDescent="0.25">
      <c r="K155" s="58"/>
      <c r="L155" s="59"/>
      <c r="M155" s="54"/>
      <c r="N155" s="55"/>
      <c r="P155" s="58"/>
      <c r="Q155" s="59"/>
      <c r="R155" s="54"/>
      <c r="S155" s="55"/>
    </row>
    <row r="156" spans="11:19" x14ac:dyDescent="0.25">
      <c r="K156" s="58"/>
      <c r="L156" s="59"/>
      <c r="M156" s="54"/>
      <c r="N156" s="55"/>
      <c r="P156" s="58"/>
      <c r="Q156" s="59"/>
      <c r="R156" s="54"/>
      <c r="S156" s="55"/>
    </row>
    <row r="157" spans="11:19" x14ac:dyDescent="0.25">
      <c r="K157" s="58"/>
      <c r="L157" s="59"/>
      <c r="M157" s="54"/>
      <c r="N157" s="55"/>
      <c r="P157" s="58"/>
      <c r="Q157" s="59"/>
      <c r="R157" s="54"/>
      <c r="S157" s="55"/>
    </row>
    <row r="158" spans="11:19" x14ac:dyDescent="0.25">
      <c r="K158" s="58"/>
      <c r="L158" s="59"/>
      <c r="M158" s="54"/>
      <c r="N158" s="55"/>
      <c r="P158" s="58"/>
      <c r="Q158" s="59"/>
      <c r="R158" s="54"/>
      <c r="S158" s="55"/>
    </row>
    <row r="159" spans="11:19" x14ac:dyDescent="0.25">
      <c r="K159" s="58"/>
      <c r="L159" s="59"/>
      <c r="M159" s="54"/>
      <c r="N159" s="55"/>
      <c r="P159" s="58"/>
      <c r="Q159" s="59"/>
      <c r="R159" s="54"/>
      <c r="S159" s="55"/>
    </row>
    <row r="160" spans="11:19" x14ac:dyDescent="0.25">
      <c r="K160" s="58"/>
      <c r="L160" s="59"/>
      <c r="M160" s="54"/>
      <c r="N160" s="55"/>
      <c r="P160" s="58"/>
      <c r="Q160" s="59"/>
      <c r="R160" s="54"/>
      <c r="S160" s="55"/>
    </row>
    <row r="161" spans="11:19" x14ac:dyDescent="0.25">
      <c r="K161" s="58"/>
      <c r="L161" s="59"/>
      <c r="M161" s="54"/>
      <c r="N161" s="55"/>
      <c r="P161" s="58"/>
      <c r="Q161" s="59"/>
      <c r="R161" s="54"/>
      <c r="S161" s="55"/>
    </row>
    <row r="162" spans="11:19" x14ac:dyDescent="0.25">
      <c r="K162" s="58"/>
      <c r="L162" s="59"/>
      <c r="M162" s="54"/>
      <c r="N162" s="55"/>
      <c r="P162" s="58"/>
      <c r="Q162" s="59"/>
      <c r="R162" s="54"/>
      <c r="S162" s="55"/>
    </row>
    <row r="163" spans="11:19" x14ac:dyDescent="0.25">
      <c r="K163" s="58"/>
      <c r="L163" s="59"/>
      <c r="M163" s="54"/>
      <c r="N163" s="55"/>
      <c r="P163" s="58"/>
      <c r="Q163" s="59"/>
      <c r="R163" s="54"/>
      <c r="S163" s="55"/>
    </row>
    <row r="164" spans="11:19" x14ac:dyDescent="0.25">
      <c r="K164" s="58"/>
      <c r="L164" s="59"/>
      <c r="M164" s="54"/>
      <c r="N164" s="55"/>
      <c r="P164" s="58"/>
      <c r="Q164" s="59"/>
      <c r="R164" s="54"/>
      <c r="S164" s="55"/>
    </row>
    <row r="165" spans="11:19" x14ac:dyDescent="0.25">
      <c r="K165" s="58"/>
      <c r="L165" s="59"/>
      <c r="M165" s="54"/>
      <c r="N165" s="55"/>
      <c r="P165" s="58"/>
      <c r="Q165" s="59"/>
      <c r="R165" s="54"/>
      <c r="S165" s="55"/>
    </row>
    <row r="166" spans="11:19" x14ac:dyDescent="0.25">
      <c r="K166" s="58"/>
      <c r="L166" s="59"/>
      <c r="M166" s="54"/>
      <c r="N166" s="55"/>
      <c r="P166" s="58"/>
      <c r="Q166" s="59"/>
      <c r="R166" s="54"/>
      <c r="S166" s="55"/>
    </row>
    <row r="167" spans="11:19" x14ac:dyDescent="0.25">
      <c r="K167" s="58"/>
      <c r="L167" s="59"/>
      <c r="M167" s="54"/>
      <c r="N167" s="55"/>
      <c r="P167" s="58"/>
      <c r="Q167" s="59"/>
      <c r="R167" s="54"/>
      <c r="S167" s="55"/>
    </row>
    <row r="168" spans="11:19" x14ac:dyDescent="0.25">
      <c r="K168" s="58"/>
      <c r="L168" s="59"/>
      <c r="M168" s="54"/>
      <c r="N168" s="55"/>
      <c r="P168" s="58"/>
      <c r="Q168" s="59"/>
      <c r="R168" s="54"/>
      <c r="S168" s="55"/>
    </row>
    <row r="169" spans="11:19" x14ac:dyDescent="0.25">
      <c r="K169" s="58"/>
      <c r="L169" s="59"/>
      <c r="M169" s="54"/>
      <c r="N169" s="55"/>
      <c r="P169" s="58"/>
      <c r="Q169" s="59"/>
      <c r="R169" s="54"/>
      <c r="S169" s="55"/>
    </row>
    <row r="170" spans="11:19" x14ac:dyDescent="0.25">
      <c r="K170" s="58"/>
      <c r="L170" s="59"/>
      <c r="M170" s="54"/>
      <c r="N170" s="55"/>
      <c r="P170" s="58"/>
      <c r="Q170" s="59"/>
      <c r="R170" s="54"/>
      <c r="S170" s="55"/>
    </row>
    <row r="171" spans="11:19" x14ac:dyDescent="0.25">
      <c r="K171" s="58"/>
      <c r="L171" s="59"/>
      <c r="M171" s="54"/>
      <c r="N171" s="55"/>
      <c r="P171" s="58"/>
      <c r="Q171" s="59"/>
      <c r="R171" s="54"/>
      <c r="S171" s="55"/>
    </row>
    <row r="172" spans="11:19" x14ac:dyDescent="0.25">
      <c r="K172" s="58"/>
      <c r="L172" s="59"/>
      <c r="M172" s="54"/>
      <c r="N172" s="55"/>
      <c r="P172" s="58"/>
      <c r="Q172" s="59"/>
      <c r="R172" s="54"/>
      <c r="S172" s="55"/>
    </row>
    <row r="173" spans="11:19" x14ac:dyDescent="0.25">
      <c r="K173" s="58"/>
      <c r="L173" s="59"/>
      <c r="M173" s="54"/>
      <c r="N173" s="55"/>
      <c r="P173" s="58"/>
      <c r="Q173" s="59"/>
      <c r="R173" s="54"/>
      <c r="S173" s="55"/>
    </row>
    <row r="174" spans="11:19" x14ac:dyDescent="0.25">
      <c r="K174" s="58"/>
      <c r="L174" s="59"/>
      <c r="M174" s="54"/>
      <c r="N174" s="55"/>
      <c r="P174" s="58"/>
      <c r="Q174" s="59"/>
      <c r="R174" s="54"/>
      <c r="S174" s="55"/>
    </row>
    <row r="175" spans="11:19" x14ac:dyDescent="0.25">
      <c r="K175" s="58"/>
      <c r="L175" s="59"/>
      <c r="M175" s="54"/>
      <c r="N175" s="55"/>
      <c r="P175" s="58"/>
      <c r="Q175" s="59"/>
      <c r="R175" s="54"/>
      <c r="S175" s="55"/>
    </row>
    <row r="176" spans="11:19" x14ac:dyDescent="0.25">
      <c r="K176" s="58"/>
      <c r="L176" s="59"/>
      <c r="M176" s="54"/>
      <c r="N176" s="55"/>
      <c r="P176" s="58"/>
      <c r="Q176" s="59"/>
      <c r="R176" s="54"/>
      <c r="S176" s="55"/>
    </row>
    <row r="177" spans="11:19" x14ac:dyDescent="0.25">
      <c r="K177" s="58"/>
      <c r="L177" s="59"/>
      <c r="M177" s="54"/>
      <c r="N177" s="55"/>
      <c r="P177" s="58"/>
      <c r="Q177" s="59"/>
      <c r="R177" s="54"/>
      <c r="S177" s="55"/>
    </row>
    <row r="178" spans="11:19" x14ac:dyDescent="0.25">
      <c r="K178" s="58"/>
      <c r="L178" s="59"/>
      <c r="M178" s="54"/>
      <c r="N178" s="55"/>
      <c r="P178" s="58"/>
      <c r="Q178" s="59"/>
      <c r="R178" s="54"/>
      <c r="S178" s="55"/>
    </row>
    <row r="179" spans="11:19" x14ac:dyDescent="0.25">
      <c r="K179" s="58"/>
      <c r="L179" s="59"/>
      <c r="M179" s="54"/>
      <c r="N179" s="55"/>
      <c r="P179" s="58"/>
      <c r="Q179" s="59"/>
      <c r="R179" s="54"/>
      <c r="S179" s="55"/>
    </row>
    <row r="180" spans="11:19" x14ac:dyDescent="0.25">
      <c r="K180" s="58"/>
      <c r="L180" s="59"/>
      <c r="M180" s="54"/>
      <c r="N180" s="55"/>
      <c r="P180" s="58"/>
      <c r="Q180" s="59"/>
      <c r="R180" s="54"/>
      <c r="S180" s="55"/>
    </row>
    <row r="181" spans="11:19" x14ac:dyDescent="0.25">
      <c r="K181" s="58"/>
      <c r="L181" s="59"/>
      <c r="M181" s="54"/>
      <c r="N181" s="55"/>
      <c r="P181" s="58"/>
      <c r="Q181" s="59"/>
      <c r="R181" s="54"/>
      <c r="S181" s="55"/>
    </row>
    <row r="182" spans="11:19" x14ac:dyDescent="0.25">
      <c r="K182" s="58"/>
      <c r="L182" s="59"/>
      <c r="M182" s="54"/>
      <c r="N182" s="55"/>
      <c r="P182" s="58"/>
      <c r="Q182" s="59"/>
      <c r="R182" s="54"/>
      <c r="S182" s="55"/>
    </row>
    <row r="183" spans="11:19" x14ac:dyDescent="0.25">
      <c r="K183" s="58"/>
      <c r="L183" s="59"/>
      <c r="M183" s="54"/>
      <c r="N183" s="55"/>
      <c r="P183" s="58"/>
      <c r="Q183" s="59"/>
      <c r="R183" s="54"/>
      <c r="S183" s="55"/>
    </row>
    <row r="184" spans="11:19" x14ac:dyDescent="0.25">
      <c r="K184" s="58"/>
      <c r="L184" s="59"/>
      <c r="M184" s="54"/>
      <c r="N184" s="55"/>
      <c r="P184" s="58"/>
      <c r="Q184" s="59"/>
      <c r="R184" s="54"/>
      <c r="S184" s="55"/>
    </row>
    <row r="185" spans="11:19" x14ac:dyDescent="0.25">
      <c r="K185" s="58"/>
      <c r="L185" s="59"/>
      <c r="M185" s="54"/>
      <c r="N185" s="55"/>
      <c r="P185" s="58"/>
      <c r="Q185" s="59"/>
      <c r="R185" s="54"/>
      <c r="S185" s="55"/>
    </row>
    <row r="186" spans="11:19" x14ac:dyDescent="0.25">
      <c r="K186" s="58"/>
      <c r="L186" s="59"/>
      <c r="M186" s="54"/>
      <c r="N186" s="55"/>
      <c r="P186" s="58"/>
      <c r="Q186" s="59"/>
      <c r="R186" s="54"/>
      <c r="S186" s="55"/>
    </row>
    <row r="187" spans="11:19" x14ac:dyDescent="0.25">
      <c r="K187" s="58"/>
      <c r="L187" s="59"/>
      <c r="M187" s="54"/>
      <c r="N187" s="55"/>
      <c r="P187" s="58"/>
      <c r="Q187" s="59"/>
      <c r="R187" s="54"/>
      <c r="S187" s="55"/>
    </row>
    <row r="188" spans="11:19" x14ac:dyDescent="0.25">
      <c r="K188" s="58"/>
      <c r="L188" s="59"/>
      <c r="M188" s="54"/>
      <c r="N188" s="55"/>
      <c r="P188" s="58"/>
      <c r="Q188" s="59"/>
      <c r="R188" s="54"/>
      <c r="S188" s="55"/>
    </row>
    <row r="189" spans="11:19" x14ac:dyDescent="0.25">
      <c r="K189" s="58"/>
      <c r="L189" s="59"/>
      <c r="M189" s="54"/>
      <c r="N189" s="55"/>
      <c r="P189" s="58"/>
      <c r="Q189" s="59"/>
      <c r="R189" s="54"/>
      <c r="S189" s="55"/>
    </row>
    <row r="190" spans="11:19" x14ac:dyDescent="0.25">
      <c r="K190" s="58"/>
      <c r="L190" s="59"/>
      <c r="M190" s="54"/>
      <c r="N190" s="55"/>
      <c r="P190" s="58"/>
      <c r="Q190" s="59"/>
      <c r="R190" s="54"/>
      <c r="S190" s="55"/>
    </row>
    <row r="191" spans="11:19" x14ac:dyDescent="0.25">
      <c r="K191" s="58"/>
      <c r="L191" s="59"/>
      <c r="M191" s="54"/>
      <c r="N191" s="55"/>
      <c r="P191" s="58"/>
      <c r="Q191" s="59"/>
      <c r="R191" s="54"/>
      <c r="S191" s="55"/>
    </row>
    <row r="192" spans="11:19" x14ac:dyDescent="0.25">
      <c r="K192" s="58"/>
      <c r="L192" s="59"/>
      <c r="M192" s="54"/>
      <c r="N192" s="55"/>
      <c r="P192" s="58"/>
      <c r="Q192" s="59"/>
      <c r="R192" s="54"/>
      <c r="S192" s="55"/>
    </row>
    <row r="193" spans="11:19" x14ac:dyDescent="0.25">
      <c r="K193" s="58"/>
      <c r="L193" s="59"/>
      <c r="M193" s="54"/>
      <c r="N193" s="55"/>
      <c r="P193" s="58"/>
      <c r="Q193" s="59"/>
      <c r="R193" s="54"/>
      <c r="S193" s="55"/>
    </row>
    <row r="194" spans="11:19" x14ac:dyDescent="0.25">
      <c r="K194" s="58"/>
      <c r="L194" s="59"/>
      <c r="M194" s="54"/>
      <c r="N194" s="55"/>
      <c r="P194" s="58"/>
      <c r="Q194" s="59"/>
      <c r="R194" s="54"/>
      <c r="S194" s="55"/>
    </row>
    <row r="195" spans="11:19" x14ac:dyDescent="0.25">
      <c r="K195" s="58"/>
      <c r="L195" s="59"/>
      <c r="M195" s="54"/>
      <c r="N195" s="55"/>
      <c r="P195" s="58"/>
      <c r="Q195" s="59"/>
      <c r="R195" s="54"/>
      <c r="S195" s="55"/>
    </row>
    <row r="196" spans="11:19" x14ac:dyDescent="0.25">
      <c r="K196" s="58"/>
      <c r="L196" s="59"/>
      <c r="M196" s="54"/>
      <c r="N196" s="55"/>
      <c r="P196" s="58"/>
      <c r="Q196" s="59"/>
      <c r="R196" s="54"/>
      <c r="S196" s="55"/>
    </row>
    <row r="197" spans="11:19" x14ac:dyDescent="0.25">
      <c r="K197" s="58"/>
      <c r="L197" s="59"/>
      <c r="M197" s="54"/>
      <c r="N197" s="55"/>
      <c r="P197" s="58"/>
      <c r="Q197" s="59"/>
      <c r="R197" s="54"/>
      <c r="S197" s="55"/>
    </row>
    <row r="198" spans="11:19" x14ac:dyDescent="0.25">
      <c r="K198" s="58"/>
      <c r="L198" s="59"/>
      <c r="M198" s="54"/>
      <c r="N198" s="55"/>
      <c r="P198" s="58"/>
      <c r="Q198" s="59"/>
      <c r="R198" s="54"/>
      <c r="S198" s="55"/>
    </row>
    <row r="199" spans="11:19" x14ac:dyDescent="0.25">
      <c r="K199" s="58"/>
      <c r="L199" s="59"/>
      <c r="M199" s="54"/>
      <c r="N199" s="55"/>
      <c r="P199" s="58"/>
      <c r="Q199" s="59"/>
      <c r="R199" s="54"/>
      <c r="S199" s="55"/>
    </row>
    <row r="200" spans="11:19" x14ac:dyDescent="0.25">
      <c r="K200" s="58"/>
      <c r="L200" s="59"/>
      <c r="M200" s="54"/>
      <c r="N200" s="55"/>
      <c r="P200" s="58"/>
      <c r="Q200" s="59"/>
      <c r="R200" s="54"/>
      <c r="S200" s="55"/>
    </row>
    <row r="201" spans="11:19" x14ac:dyDescent="0.25">
      <c r="K201" s="58"/>
      <c r="L201" s="59"/>
      <c r="M201" s="54"/>
      <c r="N201" s="55"/>
      <c r="P201" s="58"/>
      <c r="Q201" s="59"/>
      <c r="R201" s="54"/>
      <c r="S201" s="55"/>
    </row>
    <row r="202" spans="11:19" x14ac:dyDescent="0.25">
      <c r="K202" s="58"/>
      <c r="L202" s="59"/>
      <c r="M202" s="54"/>
      <c r="N202" s="55"/>
      <c r="P202" s="58"/>
      <c r="Q202" s="59"/>
      <c r="R202" s="54"/>
      <c r="S202" s="55"/>
    </row>
    <row r="203" spans="11:19" x14ac:dyDescent="0.25">
      <c r="K203" s="58"/>
      <c r="L203" s="59"/>
      <c r="M203" s="54"/>
      <c r="N203" s="55"/>
      <c r="P203" s="58"/>
      <c r="Q203" s="59"/>
      <c r="R203" s="54"/>
      <c r="S203" s="55"/>
    </row>
    <row r="204" spans="11:19" x14ac:dyDescent="0.25">
      <c r="K204" s="58"/>
      <c r="L204" s="59"/>
      <c r="M204" s="54"/>
      <c r="N204" s="55"/>
      <c r="P204" s="58"/>
      <c r="Q204" s="59"/>
      <c r="R204" s="54"/>
      <c r="S204" s="55"/>
    </row>
    <row r="205" spans="11:19" x14ac:dyDescent="0.25">
      <c r="K205" s="58"/>
      <c r="L205" s="59"/>
      <c r="M205" s="54"/>
      <c r="N205" s="55"/>
      <c r="P205" s="58"/>
      <c r="Q205" s="59"/>
      <c r="R205" s="54"/>
      <c r="S205" s="55"/>
    </row>
    <row r="206" spans="11:19" x14ac:dyDescent="0.25">
      <c r="K206" s="58"/>
      <c r="L206" s="59"/>
      <c r="M206" s="54"/>
      <c r="N206" s="55"/>
      <c r="P206" s="58"/>
      <c r="Q206" s="59"/>
      <c r="R206" s="54"/>
      <c r="S206" s="55"/>
    </row>
    <row r="207" spans="11:19" x14ac:dyDescent="0.25">
      <c r="K207" s="58"/>
      <c r="L207" s="59"/>
      <c r="M207" s="54"/>
      <c r="N207" s="55"/>
      <c r="P207" s="58"/>
      <c r="Q207" s="59"/>
      <c r="R207" s="54"/>
      <c r="S207" s="55"/>
    </row>
    <row r="208" spans="11:19" x14ac:dyDescent="0.25">
      <c r="K208" s="58"/>
      <c r="L208" s="59"/>
      <c r="M208" s="54"/>
      <c r="N208" s="55"/>
      <c r="P208" s="58"/>
      <c r="Q208" s="59"/>
      <c r="R208" s="54"/>
      <c r="S208" s="55"/>
    </row>
    <row r="209" spans="11:19" x14ac:dyDescent="0.25">
      <c r="K209" s="58"/>
      <c r="L209" s="59"/>
      <c r="M209" s="54"/>
      <c r="N209" s="55"/>
      <c r="P209" s="58"/>
      <c r="Q209" s="59"/>
      <c r="R209" s="54"/>
      <c r="S209" s="55"/>
    </row>
    <row r="210" spans="11:19" x14ac:dyDescent="0.25">
      <c r="K210" s="58"/>
      <c r="L210" s="59"/>
      <c r="M210" s="54"/>
      <c r="N210" s="55"/>
      <c r="P210" s="58"/>
      <c r="Q210" s="59"/>
      <c r="R210" s="54"/>
      <c r="S210" s="55"/>
    </row>
    <row r="211" spans="11:19" x14ac:dyDescent="0.25">
      <c r="K211" s="58"/>
      <c r="L211" s="59"/>
      <c r="M211" s="54"/>
      <c r="N211" s="55"/>
      <c r="P211" s="58"/>
      <c r="Q211" s="59"/>
      <c r="R211" s="54"/>
      <c r="S211" s="55"/>
    </row>
    <row r="212" spans="11:19" x14ac:dyDescent="0.25">
      <c r="K212" s="58"/>
      <c r="L212" s="59"/>
      <c r="M212" s="54"/>
      <c r="N212" s="55"/>
      <c r="P212" s="58"/>
      <c r="Q212" s="59"/>
      <c r="R212" s="54"/>
      <c r="S212" s="55"/>
    </row>
    <row r="213" spans="11:19" x14ac:dyDescent="0.25">
      <c r="K213" s="58"/>
      <c r="L213" s="59"/>
      <c r="M213" s="54"/>
      <c r="N213" s="55"/>
      <c r="P213" s="58"/>
      <c r="Q213" s="59"/>
      <c r="R213" s="54"/>
      <c r="S213" s="55"/>
    </row>
    <row r="214" spans="11:19" x14ac:dyDescent="0.25">
      <c r="K214" s="58"/>
      <c r="L214" s="59"/>
      <c r="M214" s="54"/>
      <c r="N214" s="55"/>
      <c r="P214" s="58"/>
      <c r="Q214" s="59"/>
      <c r="R214" s="54"/>
      <c r="S214" s="55"/>
    </row>
    <row r="215" spans="11:19" x14ac:dyDescent="0.25">
      <c r="K215" s="58"/>
      <c r="L215" s="59"/>
      <c r="M215" s="54"/>
      <c r="N215" s="55"/>
      <c r="P215" s="58"/>
      <c r="Q215" s="59"/>
      <c r="R215" s="54"/>
      <c r="S215" s="55"/>
    </row>
    <row r="216" spans="11:19" x14ac:dyDescent="0.25">
      <c r="K216" s="58"/>
      <c r="L216" s="59"/>
      <c r="M216" s="54"/>
      <c r="N216" s="55"/>
      <c r="P216" s="58"/>
      <c r="Q216" s="59"/>
      <c r="R216" s="54"/>
      <c r="S216" s="55"/>
    </row>
    <row r="217" spans="11:19" x14ac:dyDescent="0.25">
      <c r="K217" s="58"/>
      <c r="L217" s="59"/>
      <c r="M217" s="54"/>
      <c r="N217" s="55"/>
      <c r="P217" s="58"/>
      <c r="Q217" s="59"/>
      <c r="R217" s="54"/>
      <c r="S217" s="55"/>
    </row>
    <row r="218" spans="11:19" x14ac:dyDescent="0.25">
      <c r="K218" s="58"/>
      <c r="L218" s="59"/>
      <c r="M218" s="54"/>
      <c r="N218" s="55"/>
      <c r="P218" s="58"/>
      <c r="Q218" s="59"/>
      <c r="R218" s="54"/>
      <c r="S218" s="55"/>
    </row>
    <row r="219" spans="11:19" x14ac:dyDescent="0.25">
      <c r="K219" s="58"/>
      <c r="L219" s="59"/>
      <c r="M219" s="54"/>
      <c r="N219" s="55"/>
      <c r="P219" s="58"/>
      <c r="Q219" s="59"/>
      <c r="R219" s="54"/>
      <c r="S219" s="55"/>
    </row>
    <row r="220" spans="11:19" x14ac:dyDescent="0.25">
      <c r="K220" s="58"/>
      <c r="L220" s="59"/>
      <c r="M220" s="54"/>
      <c r="N220" s="55"/>
      <c r="P220" s="58"/>
      <c r="Q220" s="59"/>
      <c r="R220" s="54"/>
      <c r="S220" s="55"/>
    </row>
    <row r="221" spans="11:19" x14ac:dyDescent="0.25">
      <c r="K221" s="58"/>
      <c r="L221" s="59"/>
      <c r="M221" s="54"/>
      <c r="N221" s="55"/>
      <c r="P221" s="58"/>
      <c r="Q221" s="59"/>
      <c r="R221" s="54"/>
      <c r="S221" s="55"/>
    </row>
    <row r="222" spans="11:19" x14ac:dyDescent="0.25">
      <c r="K222" s="58"/>
      <c r="L222" s="59"/>
      <c r="M222" s="54"/>
      <c r="N222" s="55"/>
      <c r="P222" s="58"/>
      <c r="Q222" s="59"/>
      <c r="R222" s="54"/>
      <c r="S222" s="55"/>
    </row>
    <row r="223" spans="11:19" x14ac:dyDescent="0.25">
      <c r="K223" s="58"/>
      <c r="L223" s="59"/>
      <c r="M223" s="54"/>
      <c r="N223" s="55"/>
      <c r="P223" s="58"/>
      <c r="Q223" s="59"/>
      <c r="R223" s="54"/>
      <c r="S223" s="55"/>
    </row>
    <row r="224" spans="11:19" x14ac:dyDescent="0.25">
      <c r="K224" s="58"/>
      <c r="L224" s="59"/>
      <c r="M224" s="54"/>
      <c r="N224" s="55"/>
      <c r="P224" s="58"/>
      <c r="Q224" s="59"/>
      <c r="R224" s="54"/>
      <c r="S224" s="55"/>
    </row>
    <row r="225" spans="11:19" x14ac:dyDescent="0.25">
      <c r="K225" s="58"/>
      <c r="L225" s="59"/>
      <c r="M225" s="54"/>
      <c r="N225" s="55"/>
      <c r="P225" s="58"/>
      <c r="Q225" s="59"/>
      <c r="R225" s="54"/>
      <c r="S225" s="55"/>
    </row>
    <row r="226" spans="11:19" x14ac:dyDescent="0.25">
      <c r="K226" s="58"/>
      <c r="L226" s="59"/>
      <c r="M226" s="54"/>
      <c r="N226" s="55"/>
      <c r="P226" s="58"/>
      <c r="Q226" s="59"/>
      <c r="R226" s="54"/>
      <c r="S226" s="55"/>
    </row>
    <row r="227" spans="11:19" x14ac:dyDescent="0.25">
      <c r="K227" s="58"/>
      <c r="L227" s="59"/>
      <c r="M227" s="54"/>
      <c r="N227" s="55"/>
      <c r="P227" s="58"/>
      <c r="Q227" s="59"/>
      <c r="R227" s="54"/>
      <c r="S227" s="55"/>
    </row>
    <row r="228" spans="11:19" x14ac:dyDescent="0.25">
      <c r="K228" s="58"/>
      <c r="L228" s="59"/>
      <c r="M228" s="54"/>
      <c r="N228" s="55"/>
      <c r="P228" s="58"/>
      <c r="Q228" s="59"/>
      <c r="R228" s="54"/>
      <c r="S228" s="55"/>
    </row>
    <row r="229" spans="11:19" x14ac:dyDescent="0.25">
      <c r="K229" s="58"/>
      <c r="L229" s="59"/>
      <c r="M229" s="54"/>
      <c r="N229" s="55"/>
      <c r="P229" s="58"/>
      <c r="Q229" s="59"/>
      <c r="R229" s="54"/>
      <c r="S229" s="55"/>
    </row>
    <row r="230" spans="11:19" x14ac:dyDescent="0.25">
      <c r="K230" s="58"/>
      <c r="L230" s="59"/>
      <c r="M230" s="54"/>
      <c r="N230" s="55"/>
      <c r="P230" s="58"/>
      <c r="Q230" s="59"/>
      <c r="R230" s="54"/>
      <c r="S230" s="55"/>
    </row>
    <row r="231" spans="11:19" x14ac:dyDescent="0.25">
      <c r="K231" s="58"/>
      <c r="L231" s="59"/>
      <c r="M231" s="54"/>
      <c r="N231" s="55"/>
      <c r="P231" s="58"/>
      <c r="Q231" s="59"/>
      <c r="R231" s="54"/>
      <c r="S231" s="55"/>
    </row>
    <row r="232" spans="11:19" x14ac:dyDescent="0.25">
      <c r="K232" s="58"/>
      <c r="L232" s="59"/>
      <c r="M232" s="54"/>
      <c r="N232" s="55"/>
      <c r="P232" s="58"/>
      <c r="Q232" s="59"/>
      <c r="R232" s="54"/>
      <c r="S232" s="55"/>
    </row>
    <row r="233" spans="11:19" x14ac:dyDescent="0.25">
      <c r="K233" s="58"/>
      <c r="L233" s="59"/>
      <c r="M233" s="54"/>
      <c r="N233" s="55"/>
      <c r="P233" s="58"/>
      <c r="Q233" s="59"/>
      <c r="R233" s="54"/>
      <c r="S233" s="55"/>
    </row>
    <row r="234" spans="11:19" x14ac:dyDescent="0.25">
      <c r="K234" s="58"/>
      <c r="L234" s="59"/>
      <c r="M234" s="54"/>
      <c r="N234" s="55"/>
      <c r="P234" s="58"/>
      <c r="Q234" s="59"/>
      <c r="R234" s="54"/>
      <c r="S234" s="55"/>
    </row>
    <row r="235" spans="11:19" x14ac:dyDescent="0.25">
      <c r="K235" s="58"/>
      <c r="L235" s="59"/>
      <c r="M235" s="54"/>
      <c r="N235" s="55"/>
      <c r="P235" s="58"/>
      <c r="Q235" s="59"/>
      <c r="R235" s="54"/>
      <c r="S235" s="55"/>
    </row>
    <row r="236" spans="11:19" x14ac:dyDescent="0.25">
      <c r="K236" s="58"/>
      <c r="L236" s="59"/>
      <c r="M236" s="54"/>
      <c r="N236" s="55"/>
      <c r="P236" s="58"/>
      <c r="Q236" s="59"/>
      <c r="R236" s="54"/>
      <c r="S236" s="55"/>
    </row>
    <row r="237" spans="11:19" x14ac:dyDescent="0.25">
      <c r="K237" s="58"/>
      <c r="L237" s="59"/>
      <c r="M237" s="54"/>
      <c r="N237" s="55"/>
      <c r="P237" s="58"/>
      <c r="Q237" s="59"/>
      <c r="R237" s="54"/>
      <c r="S237" s="55"/>
    </row>
    <row r="238" spans="11:19" x14ac:dyDescent="0.25">
      <c r="K238" s="58"/>
      <c r="L238" s="59"/>
      <c r="M238" s="54"/>
      <c r="N238" s="55"/>
      <c r="P238" s="58"/>
      <c r="Q238" s="59"/>
      <c r="R238" s="54"/>
      <c r="S238" s="55"/>
    </row>
    <row r="239" spans="11:19" x14ac:dyDescent="0.25">
      <c r="K239" s="58"/>
      <c r="L239" s="59"/>
      <c r="M239" s="54"/>
      <c r="N239" s="55"/>
      <c r="P239" s="58"/>
      <c r="Q239" s="59"/>
      <c r="R239" s="54"/>
      <c r="S239" s="55"/>
    </row>
    <row r="240" spans="11:19" x14ac:dyDescent="0.25">
      <c r="K240" s="58"/>
      <c r="L240" s="59"/>
      <c r="M240" s="54"/>
      <c r="N240" s="55"/>
      <c r="P240" s="58"/>
      <c r="Q240" s="59"/>
      <c r="R240" s="54"/>
      <c r="S240" s="55"/>
    </row>
    <row r="241" spans="11:19" x14ac:dyDescent="0.25">
      <c r="K241" s="58"/>
      <c r="L241" s="59"/>
      <c r="M241" s="54"/>
      <c r="N241" s="55"/>
      <c r="P241" s="58"/>
      <c r="Q241" s="59"/>
      <c r="R241" s="54"/>
      <c r="S241" s="55"/>
    </row>
    <row r="242" spans="11:19" x14ac:dyDescent="0.25">
      <c r="K242" s="58"/>
      <c r="L242" s="59"/>
      <c r="M242" s="54"/>
      <c r="N242" s="55"/>
      <c r="P242" s="58"/>
      <c r="Q242" s="59"/>
      <c r="R242" s="54"/>
      <c r="S242" s="55"/>
    </row>
    <row r="243" spans="11:19" x14ac:dyDescent="0.25">
      <c r="K243" s="58"/>
      <c r="L243" s="59"/>
      <c r="M243" s="54"/>
      <c r="N243" s="55"/>
      <c r="P243" s="58"/>
      <c r="Q243" s="59"/>
      <c r="R243" s="54"/>
      <c r="S243" s="55"/>
    </row>
    <row r="244" spans="11:19" x14ac:dyDescent="0.25">
      <c r="K244" s="58"/>
      <c r="L244" s="59"/>
      <c r="M244" s="54"/>
      <c r="N244" s="55"/>
      <c r="P244" s="58"/>
      <c r="Q244" s="59"/>
      <c r="R244" s="54"/>
      <c r="S244" s="55"/>
    </row>
    <row r="245" spans="11:19" x14ac:dyDescent="0.25">
      <c r="K245" s="58"/>
      <c r="L245" s="59"/>
      <c r="M245" s="54"/>
      <c r="N245" s="55"/>
      <c r="P245" s="58"/>
      <c r="Q245" s="59"/>
      <c r="R245" s="54"/>
      <c r="S245" s="55"/>
    </row>
    <row r="246" spans="11:19" x14ac:dyDescent="0.25">
      <c r="K246" s="58"/>
      <c r="L246" s="59"/>
      <c r="M246" s="54"/>
      <c r="N246" s="55"/>
      <c r="P246" s="58"/>
      <c r="Q246" s="59"/>
      <c r="R246" s="54"/>
      <c r="S246" s="55"/>
    </row>
    <row r="247" spans="11:19" x14ac:dyDescent="0.25">
      <c r="K247" s="58"/>
      <c r="L247" s="59"/>
      <c r="M247" s="54"/>
      <c r="N247" s="55"/>
      <c r="P247" s="58"/>
      <c r="Q247" s="59"/>
      <c r="R247" s="54"/>
      <c r="S247" s="55"/>
    </row>
    <row r="248" spans="11:19" x14ac:dyDescent="0.25">
      <c r="K248" s="58"/>
      <c r="L248" s="59"/>
      <c r="M248" s="54"/>
      <c r="N248" s="55"/>
      <c r="P248" s="58"/>
      <c r="Q248" s="59"/>
      <c r="R248" s="54"/>
      <c r="S248" s="55"/>
    </row>
    <row r="249" spans="11:19" x14ac:dyDescent="0.25">
      <c r="K249" s="58"/>
      <c r="L249" s="59"/>
      <c r="M249" s="54"/>
      <c r="N249" s="55"/>
      <c r="P249" s="58"/>
      <c r="Q249" s="59"/>
      <c r="R249" s="54"/>
      <c r="S249" s="55"/>
    </row>
    <row r="250" spans="11:19" x14ac:dyDescent="0.25">
      <c r="K250" s="58"/>
      <c r="L250" s="59"/>
      <c r="M250" s="54"/>
      <c r="N250" s="55"/>
      <c r="P250" s="58"/>
      <c r="Q250" s="59"/>
      <c r="R250" s="54"/>
      <c r="S250" s="55"/>
    </row>
    <row r="251" spans="11:19" x14ac:dyDescent="0.25">
      <c r="K251" s="58"/>
      <c r="L251" s="59"/>
      <c r="M251" s="54"/>
      <c r="N251" s="55"/>
      <c r="P251" s="58"/>
      <c r="Q251" s="59"/>
      <c r="R251" s="54"/>
      <c r="S251" s="55"/>
    </row>
    <row r="252" spans="11:19" x14ac:dyDescent="0.25">
      <c r="K252" s="58"/>
      <c r="L252" s="59"/>
      <c r="M252" s="54"/>
      <c r="N252" s="55"/>
      <c r="P252" s="58"/>
      <c r="Q252" s="59"/>
      <c r="R252" s="54"/>
      <c r="S252" s="55"/>
    </row>
    <row r="253" spans="11:19" x14ac:dyDescent="0.25">
      <c r="K253" s="58"/>
      <c r="L253" s="59"/>
      <c r="M253" s="54"/>
      <c r="N253" s="55"/>
      <c r="P253" s="58"/>
      <c r="Q253" s="59"/>
      <c r="R253" s="54"/>
      <c r="S253" s="55"/>
    </row>
    <row r="254" spans="11:19" x14ac:dyDescent="0.25">
      <c r="K254" s="58"/>
      <c r="L254" s="59"/>
      <c r="M254" s="54"/>
      <c r="N254" s="55"/>
      <c r="P254" s="58"/>
      <c r="Q254" s="59"/>
      <c r="R254" s="54"/>
      <c r="S254" s="55"/>
    </row>
    <row r="255" spans="11:19" x14ac:dyDescent="0.25">
      <c r="K255" s="58"/>
      <c r="L255" s="59"/>
      <c r="M255" s="54"/>
      <c r="N255" s="55"/>
      <c r="P255" s="58"/>
      <c r="Q255" s="59"/>
      <c r="R255" s="54"/>
      <c r="S255" s="55"/>
    </row>
    <row r="256" spans="11:19" x14ac:dyDescent="0.25">
      <c r="K256" s="58"/>
      <c r="L256" s="59"/>
      <c r="M256" s="54"/>
      <c r="N256" s="55"/>
      <c r="P256" s="58"/>
      <c r="Q256" s="59"/>
      <c r="R256" s="54"/>
      <c r="S256" s="55"/>
    </row>
    <row r="257" spans="11:19" x14ac:dyDescent="0.25">
      <c r="K257" s="58"/>
      <c r="L257" s="59"/>
      <c r="M257" s="54"/>
      <c r="N257" s="55"/>
      <c r="P257" s="58"/>
      <c r="Q257" s="59"/>
      <c r="R257" s="54"/>
      <c r="S257" s="55"/>
    </row>
    <row r="258" spans="11:19" x14ac:dyDescent="0.25">
      <c r="K258" s="58"/>
      <c r="L258" s="59"/>
      <c r="M258" s="54"/>
      <c r="N258" s="55"/>
      <c r="P258" s="58"/>
      <c r="Q258" s="59"/>
      <c r="R258" s="54"/>
      <c r="S258" s="55"/>
    </row>
    <row r="259" spans="11:19" x14ac:dyDescent="0.25">
      <c r="K259" s="58"/>
      <c r="L259" s="59"/>
      <c r="M259" s="54"/>
      <c r="N259" s="55"/>
      <c r="P259" s="58"/>
      <c r="Q259" s="59"/>
      <c r="R259" s="54"/>
      <c r="S259" s="55"/>
    </row>
    <row r="260" spans="11:19" x14ac:dyDescent="0.25">
      <c r="K260" s="58"/>
      <c r="L260" s="59"/>
      <c r="M260" s="54"/>
      <c r="N260" s="55"/>
      <c r="P260" s="58"/>
      <c r="Q260" s="59"/>
      <c r="R260" s="54"/>
      <c r="S260" s="55"/>
    </row>
    <row r="261" spans="11:19" x14ac:dyDescent="0.25">
      <c r="K261" s="58"/>
      <c r="L261" s="59"/>
      <c r="M261" s="54"/>
      <c r="N261" s="55"/>
      <c r="P261" s="58"/>
      <c r="Q261" s="59"/>
      <c r="R261" s="54"/>
      <c r="S261" s="55"/>
    </row>
    <row r="262" spans="11:19" x14ac:dyDescent="0.25">
      <c r="K262" s="58"/>
      <c r="L262" s="59"/>
      <c r="M262" s="54"/>
      <c r="N262" s="55"/>
      <c r="P262" s="58"/>
      <c r="Q262" s="59"/>
      <c r="R262" s="54"/>
      <c r="S262" s="55"/>
    </row>
    <row r="263" spans="11:19" x14ac:dyDescent="0.25">
      <c r="K263" s="58"/>
      <c r="L263" s="59"/>
      <c r="M263" s="54"/>
      <c r="N263" s="55"/>
      <c r="P263" s="58"/>
      <c r="Q263" s="59"/>
      <c r="R263" s="54"/>
      <c r="S263" s="55"/>
    </row>
    <row r="264" spans="11:19" x14ac:dyDescent="0.25">
      <c r="K264" s="58"/>
      <c r="L264" s="59"/>
      <c r="M264" s="54"/>
      <c r="N264" s="55"/>
      <c r="P264" s="58"/>
      <c r="Q264" s="59"/>
      <c r="R264" s="54"/>
      <c r="S264" s="55"/>
    </row>
    <row r="265" spans="11:19" x14ac:dyDescent="0.25">
      <c r="K265" s="58"/>
      <c r="L265" s="59"/>
      <c r="M265" s="54"/>
      <c r="N265" s="55"/>
      <c r="P265" s="58"/>
      <c r="Q265" s="59"/>
      <c r="R265" s="54"/>
      <c r="S265" s="55"/>
    </row>
    <row r="266" spans="11:19" x14ac:dyDescent="0.25">
      <c r="K266" s="58"/>
      <c r="L266" s="59"/>
      <c r="M266" s="54"/>
      <c r="N266" s="55"/>
      <c r="P266" s="58"/>
      <c r="Q266" s="59"/>
      <c r="R266" s="54"/>
      <c r="S266" s="55"/>
    </row>
    <row r="267" spans="11:19" x14ac:dyDescent="0.25">
      <c r="K267" s="58"/>
      <c r="L267" s="59"/>
      <c r="M267" s="54"/>
      <c r="N267" s="55"/>
      <c r="P267" s="58"/>
      <c r="Q267" s="59"/>
      <c r="R267" s="54"/>
      <c r="S267" s="55"/>
    </row>
    <row r="268" spans="11:19" x14ac:dyDescent="0.25">
      <c r="K268" s="58"/>
      <c r="L268" s="59"/>
      <c r="M268" s="54"/>
      <c r="N268" s="55"/>
      <c r="P268" s="58"/>
      <c r="Q268" s="59"/>
      <c r="R268" s="54"/>
      <c r="S268" s="55"/>
    </row>
    <row r="269" spans="11:19" x14ac:dyDescent="0.25">
      <c r="K269" s="58"/>
      <c r="L269" s="59"/>
      <c r="M269" s="54"/>
      <c r="N269" s="55"/>
      <c r="P269" s="58"/>
      <c r="Q269" s="59"/>
      <c r="R269" s="54"/>
      <c r="S269" s="55"/>
    </row>
    <row r="270" spans="11:19" x14ac:dyDescent="0.25">
      <c r="K270" s="58"/>
      <c r="L270" s="59"/>
      <c r="M270" s="54"/>
      <c r="N270" s="55"/>
      <c r="P270" s="58"/>
      <c r="Q270" s="59"/>
      <c r="R270" s="54"/>
      <c r="S270" s="55"/>
    </row>
    <row r="271" spans="11:19" x14ac:dyDescent="0.25">
      <c r="K271" s="58"/>
      <c r="L271" s="59"/>
      <c r="M271" s="54"/>
      <c r="N271" s="55"/>
      <c r="P271" s="58"/>
      <c r="Q271" s="59"/>
      <c r="R271" s="54"/>
      <c r="S271" s="55"/>
    </row>
    <row r="272" spans="11:19" x14ac:dyDescent="0.25">
      <c r="K272" s="58"/>
      <c r="L272" s="59"/>
      <c r="M272" s="54"/>
      <c r="N272" s="55"/>
      <c r="P272" s="58"/>
      <c r="Q272" s="59"/>
      <c r="R272" s="54"/>
      <c r="S272" s="55"/>
    </row>
    <row r="273" spans="11:19" x14ac:dyDescent="0.25">
      <c r="K273" s="58"/>
      <c r="L273" s="59"/>
      <c r="M273" s="54"/>
      <c r="N273" s="55"/>
      <c r="P273" s="58"/>
      <c r="Q273" s="59"/>
      <c r="R273" s="54"/>
      <c r="S273" s="55"/>
    </row>
    <row r="274" spans="11:19" x14ac:dyDescent="0.25">
      <c r="K274" s="58"/>
      <c r="L274" s="59"/>
      <c r="M274" s="54"/>
      <c r="N274" s="55"/>
      <c r="P274" s="58"/>
      <c r="Q274" s="59"/>
      <c r="R274" s="54"/>
      <c r="S274" s="55"/>
    </row>
    <row r="275" spans="11:19" x14ac:dyDescent="0.25">
      <c r="K275" s="58"/>
      <c r="L275" s="59"/>
      <c r="M275" s="54"/>
      <c r="N275" s="55"/>
      <c r="P275" s="58"/>
      <c r="Q275" s="59"/>
      <c r="R275" s="54"/>
      <c r="S275" s="55"/>
    </row>
    <row r="276" spans="11:19" x14ac:dyDescent="0.25">
      <c r="K276" s="58"/>
      <c r="L276" s="59"/>
      <c r="M276" s="54"/>
      <c r="N276" s="55"/>
      <c r="P276" s="58"/>
      <c r="Q276" s="59"/>
      <c r="R276" s="54"/>
      <c r="S276" s="55"/>
    </row>
    <row r="277" spans="11:19" x14ac:dyDescent="0.25">
      <c r="K277" s="58"/>
      <c r="L277" s="59"/>
      <c r="M277" s="54"/>
      <c r="N277" s="55"/>
      <c r="P277" s="58"/>
      <c r="Q277" s="59"/>
      <c r="R277" s="54"/>
      <c r="S277" s="55"/>
    </row>
    <row r="278" spans="11:19" x14ac:dyDescent="0.25">
      <c r="K278" s="58"/>
      <c r="L278" s="59"/>
      <c r="M278" s="54"/>
      <c r="N278" s="55"/>
      <c r="P278" s="58"/>
      <c r="Q278" s="59"/>
      <c r="R278" s="54"/>
      <c r="S278" s="55"/>
    </row>
    <row r="279" spans="11:19" x14ac:dyDescent="0.25">
      <c r="K279" s="58"/>
      <c r="L279" s="59"/>
      <c r="M279" s="54"/>
      <c r="N279" s="55"/>
      <c r="P279" s="58"/>
      <c r="Q279" s="59"/>
      <c r="R279" s="54"/>
      <c r="S279" s="55"/>
    </row>
    <row r="280" spans="11:19" x14ac:dyDescent="0.25">
      <c r="K280" s="58"/>
      <c r="L280" s="59"/>
      <c r="M280" s="54"/>
      <c r="N280" s="55"/>
      <c r="P280" s="58"/>
      <c r="Q280" s="59"/>
      <c r="R280" s="54"/>
      <c r="S280" s="55"/>
    </row>
    <row r="281" spans="11:19" x14ac:dyDescent="0.25">
      <c r="K281" s="58"/>
      <c r="L281" s="59"/>
      <c r="M281" s="54"/>
      <c r="N281" s="55"/>
      <c r="P281" s="58"/>
      <c r="Q281" s="59"/>
      <c r="R281" s="54"/>
      <c r="S281" s="55"/>
    </row>
    <row r="282" spans="11:19" x14ac:dyDescent="0.25">
      <c r="K282" s="58"/>
      <c r="L282" s="59"/>
      <c r="M282" s="54"/>
      <c r="N282" s="55"/>
      <c r="P282" s="58"/>
      <c r="Q282" s="59"/>
      <c r="R282" s="54"/>
      <c r="S282" s="55"/>
    </row>
    <row r="283" spans="11:19" x14ac:dyDescent="0.25">
      <c r="K283" s="58"/>
      <c r="L283" s="59"/>
      <c r="M283" s="54"/>
      <c r="N283" s="55"/>
      <c r="P283" s="58"/>
      <c r="Q283" s="59"/>
      <c r="R283" s="54"/>
      <c r="S283" s="55"/>
    </row>
    <row r="284" spans="11:19" x14ac:dyDescent="0.25">
      <c r="K284" s="58"/>
      <c r="L284" s="59"/>
      <c r="M284" s="54"/>
      <c r="N284" s="55"/>
      <c r="P284" s="58"/>
      <c r="Q284" s="59"/>
      <c r="R284" s="54"/>
      <c r="S284" s="55"/>
    </row>
    <row r="285" spans="11:19" x14ac:dyDescent="0.25">
      <c r="K285" s="58"/>
      <c r="L285" s="59"/>
      <c r="M285" s="54"/>
      <c r="N285" s="55"/>
      <c r="P285" s="58"/>
      <c r="Q285" s="59"/>
      <c r="R285" s="54"/>
      <c r="S285" s="55"/>
    </row>
    <row r="286" spans="11:19" x14ac:dyDescent="0.25">
      <c r="K286" s="58"/>
      <c r="L286" s="59"/>
      <c r="M286" s="54"/>
      <c r="N286" s="55"/>
      <c r="P286" s="58"/>
      <c r="Q286" s="59"/>
      <c r="R286" s="54"/>
      <c r="S286" s="55"/>
    </row>
    <row r="287" spans="11:19" x14ac:dyDescent="0.25">
      <c r="K287" s="58"/>
      <c r="L287" s="59"/>
      <c r="M287" s="54"/>
      <c r="N287" s="55"/>
      <c r="P287" s="58"/>
      <c r="Q287" s="59"/>
      <c r="R287" s="54"/>
      <c r="S287" s="55"/>
    </row>
    <row r="288" spans="11:19" x14ac:dyDescent="0.25">
      <c r="K288" s="58"/>
      <c r="L288" s="59"/>
      <c r="M288" s="54"/>
      <c r="N288" s="55"/>
      <c r="P288" s="58"/>
      <c r="Q288" s="59"/>
      <c r="R288" s="54"/>
      <c r="S288" s="55"/>
    </row>
    <row r="289" spans="11:19" x14ac:dyDescent="0.25">
      <c r="K289" s="58"/>
      <c r="L289" s="59"/>
      <c r="M289" s="54"/>
      <c r="N289" s="55"/>
      <c r="P289" s="58"/>
      <c r="Q289" s="59"/>
      <c r="R289" s="54"/>
      <c r="S289" s="55"/>
    </row>
    <row r="290" spans="11:19" x14ac:dyDescent="0.25">
      <c r="K290" s="58"/>
      <c r="L290" s="59"/>
      <c r="M290" s="54"/>
      <c r="N290" s="55"/>
      <c r="P290" s="58"/>
      <c r="Q290" s="59"/>
      <c r="R290" s="54"/>
      <c r="S290" s="55"/>
    </row>
    <row r="291" spans="11:19" x14ac:dyDescent="0.25">
      <c r="K291" s="58"/>
      <c r="L291" s="59"/>
      <c r="M291" s="54"/>
      <c r="N291" s="55"/>
      <c r="P291" s="58"/>
      <c r="Q291" s="59"/>
      <c r="R291" s="54"/>
      <c r="S291" s="55"/>
    </row>
    <row r="292" spans="11:19" x14ac:dyDescent="0.25">
      <c r="K292" s="58"/>
      <c r="L292" s="59"/>
      <c r="M292" s="54"/>
      <c r="N292" s="55"/>
      <c r="P292" s="58"/>
      <c r="Q292" s="59"/>
      <c r="R292" s="54"/>
      <c r="S292" s="55"/>
    </row>
    <row r="293" spans="11:19" x14ac:dyDescent="0.25">
      <c r="K293" s="58"/>
      <c r="L293" s="59"/>
      <c r="M293" s="54"/>
      <c r="N293" s="55"/>
      <c r="P293" s="58"/>
      <c r="Q293" s="59"/>
      <c r="R293" s="54"/>
      <c r="S293" s="55"/>
    </row>
    <row r="294" spans="11:19" x14ac:dyDescent="0.25">
      <c r="K294" s="58"/>
      <c r="L294" s="59"/>
      <c r="M294" s="54"/>
      <c r="N294" s="55"/>
      <c r="P294" s="58"/>
      <c r="Q294" s="59"/>
      <c r="R294" s="54"/>
      <c r="S294" s="55"/>
    </row>
    <row r="295" spans="11:19" x14ac:dyDescent="0.25">
      <c r="K295" s="58"/>
      <c r="L295" s="59"/>
      <c r="M295" s="54"/>
      <c r="N295" s="55"/>
      <c r="P295" s="58"/>
      <c r="Q295" s="59"/>
      <c r="R295" s="54"/>
      <c r="S295" s="55"/>
    </row>
    <row r="296" spans="11:19" x14ac:dyDescent="0.25">
      <c r="K296" s="58"/>
      <c r="L296" s="59"/>
      <c r="M296" s="54"/>
      <c r="N296" s="55"/>
      <c r="P296" s="58"/>
      <c r="Q296" s="59"/>
      <c r="R296" s="54"/>
      <c r="S296" s="55"/>
    </row>
    <row r="297" spans="11:19" x14ac:dyDescent="0.25">
      <c r="K297" s="58"/>
      <c r="L297" s="59"/>
      <c r="M297" s="54"/>
      <c r="N297" s="55"/>
      <c r="P297" s="58"/>
      <c r="Q297" s="59"/>
      <c r="R297" s="54"/>
      <c r="S297" s="55"/>
    </row>
    <row r="298" spans="11:19" x14ac:dyDescent="0.25">
      <c r="K298" s="58"/>
      <c r="L298" s="59"/>
      <c r="M298" s="54"/>
      <c r="N298" s="55"/>
      <c r="P298" s="58"/>
      <c r="Q298" s="59"/>
      <c r="R298" s="54"/>
      <c r="S298" s="55"/>
    </row>
    <row r="299" spans="11:19" x14ac:dyDescent="0.25">
      <c r="K299" s="58"/>
      <c r="L299" s="59"/>
      <c r="M299" s="54"/>
      <c r="N299" s="55"/>
      <c r="P299" s="58"/>
      <c r="Q299" s="59"/>
      <c r="R299" s="54"/>
      <c r="S299" s="55"/>
    </row>
    <row r="300" spans="11:19" x14ac:dyDescent="0.25">
      <c r="K300" s="58"/>
      <c r="L300" s="59"/>
      <c r="M300" s="54"/>
      <c r="N300" s="55"/>
      <c r="P300" s="58"/>
      <c r="Q300" s="59"/>
      <c r="R300" s="54"/>
      <c r="S300" s="55"/>
    </row>
    <row r="301" spans="11:19" x14ac:dyDescent="0.25">
      <c r="K301" s="58"/>
      <c r="L301" s="59"/>
      <c r="M301" s="54"/>
      <c r="N301" s="55"/>
      <c r="P301" s="58"/>
      <c r="Q301" s="59"/>
      <c r="R301" s="54"/>
      <c r="S301" s="55"/>
    </row>
    <row r="302" spans="11:19" x14ac:dyDescent="0.25">
      <c r="K302" s="58"/>
      <c r="L302" s="59"/>
      <c r="M302" s="54"/>
      <c r="N302" s="55"/>
      <c r="P302" s="58"/>
      <c r="Q302" s="59"/>
      <c r="R302" s="54"/>
      <c r="S302" s="55"/>
    </row>
    <row r="303" spans="11:19" x14ac:dyDescent="0.25">
      <c r="K303" s="58"/>
      <c r="L303" s="59"/>
      <c r="M303" s="54"/>
      <c r="N303" s="55"/>
      <c r="P303" s="58"/>
      <c r="Q303" s="59"/>
      <c r="R303" s="54"/>
      <c r="S303" s="55"/>
    </row>
    <row r="304" spans="11:19" x14ac:dyDescent="0.25">
      <c r="K304" s="58"/>
      <c r="L304" s="59"/>
      <c r="M304" s="54"/>
      <c r="N304" s="55"/>
      <c r="P304" s="58"/>
      <c r="Q304" s="59"/>
      <c r="R304" s="54"/>
      <c r="S304" s="55"/>
    </row>
    <row r="305" spans="11:19" x14ac:dyDescent="0.25">
      <c r="K305" s="58"/>
      <c r="L305" s="59"/>
      <c r="M305" s="54"/>
      <c r="N305" s="55"/>
      <c r="P305" s="58"/>
      <c r="Q305" s="59"/>
      <c r="R305" s="54"/>
      <c r="S305" s="55"/>
    </row>
    <row r="306" spans="11:19" x14ac:dyDescent="0.25">
      <c r="K306" s="58"/>
      <c r="L306" s="59"/>
      <c r="M306" s="54"/>
      <c r="N306" s="55"/>
      <c r="P306" s="58"/>
      <c r="Q306" s="59"/>
      <c r="R306" s="54"/>
      <c r="S306" s="55"/>
    </row>
    <row r="307" spans="11:19" x14ac:dyDescent="0.25">
      <c r="K307" s="58"/>
      <c r="L307" s="59"/>
      <c r="M307" s="54"/>
      <c r="N307" s="55"/>
      <c r="P307" s="58"/>
      <c r="Q307" s="59"/>
      <c r="R307" s="54"/>
      <c r="S307" s="55"/>
    </row>
    <row r="308" spans="11:19" x14ac:dyDescent="0.25">
      <c r="K308" s="58"/>
      <c r="L308" s="59"/>
      <c r="M308" s="54"/>
      <c r="N308" s="55"/>
      <c r="P308" s="58"/>
      <c r="Q308" s="59"/>
      <c r="R308" s="54"/>
      <c r="S308" s="55"/>
    </row>
    <row r="309" spans="11:19" x14ac:dyDescent="0.25">
      <c r="K309" s="58"/>
      <c r="L309" s="59"/>
      <c r="M309" s="54"/>
      <c r="N309" s="55"/>
      <c r="P309" s="58"/>
      <c r="Q309" s="59"/>
      <c r="R309" s="54"/>
      <c r="S309" s="55"/>
    </row>
    <row r="310" spans="11:19" x14ac:dyDescent="0.25">
      <c r="K310" s="58"/>
      <c r="L310" s="59"/>
      <c r="M310" s="54"/>
      <c r="N310" s="55"/>
      <c r="P310" s="58"/>
      <c r="Q310" s="59"/>
      <c r="R310" s="54"/>
      <c r="S310" s="55"/>
    </row>
    <row r="311" spans="11:19" x14ac:dyDescent="0.25">
      <c r="K311" s="58"/>
      <c r="L311" s="59"/>
      <c r="M311" s="54"/>
      <c r="N311" s="55"/>
      <c r="P311" s="58"/>
      <c r="Q311" s="59"/>
      <c r="R311" s="54"/>
      <c r="S311" s="55"/>
    </row>
    <row r="312" spans="11:19" x14ac:dyDescent="0.25">
      <c r="K312" s="58"/>
      <c r="L312" s="59"/>
      <c r="M312" s="54"/>
      <c r="N312" s="55"/>
      <c r="P312" s="58"/>
      <c r="Q312" s="59"/>
      <c r="R312" s="54"/>
      <c r="S312" s="55"/>
    </row>
    <row r="313" spans="11:19" x14ac:dyDescent="0.25">
      <c r="K313" s="58"/>
      <c r="L313" s="59"/>
      <c r="M313" s="54"/>
      <c r="N313" s="55"/>
      <c r="P313" s="58"/>
      <c r="Q313" s="59"/>
      <c r="R313" s="54"/>
      <c r="S313" s="55"/>
    </row>
    <row r="314" spans="11:19" x14ac:dyDescent="0.25">
      <c r="K314" s="58"/>
      <c r="L314" s="59"/>
      <c r="M314" s="54"/>
      <c r="N314" s="55"/>
      <c r="P314" s="58"/>
      <c r="Q314" s="59"/>
      <c r="R314" s="54"/>
      <c r="S314" s="55"/>
    </row>
    <row r="315" spans="11:19" x14ac:dyDescent="0.25">
      <c r="K315" s="58"/>
      <c r="L315" s="59"/>
      <c r="M315" s="54"/>
      <c r="N315" s="55"/>
      <c r="P315" s="58"/>
      <c r="Q315" s="59"/>
      <c r="R315" s="54"/>
      <c r="S315" s="55"/>
    </row>
    <row r="316" spans="11:19" x14ac:dyDescent="0.25">
      <c r="K316" s="58"/>
      <c r="L316" s="59"/>
      <c r="M316" s="54"/>
      <c r="N316" s="55"/>
      <c r="P316" s="58"/>
      <c r="Q316" s="59"/>
      <c r="R316" s="54"/>
      <c r="S316" s="55"/>
    </row>
    <row r="317" spans="11:19" x14ac:dyDescent="0.25">
      <c r="K317" s="58"/>
      <c r="L317" s="59"/>
      <c r="M317" s="54"/>
      <c r="N317" s="55"/>
      <c r="P317" s="58"/>
      <c r="Q317" s="59"/>
      <c r="R317" s="54"/>
      <c r="S317" s="55"/>
    </row>
    <row r="318" spans="11:19" x14ac:dyDescent="0.25">
      <c r="K318" s="58"/>
      <c r="L318" s="59"/>
      <c r="M318" s="54"/>
      <c r="N318" s="55"/>
      <c r="P318" s="58"/>
      <c r="Q318" s="59"/>
      <c r="R318" s="54"/>
      <c r="S318" s="55"/>
    </row>
    <row r="319" spans="11:19" x14ac:dyDescent="0.25">
      <c r="K319" s="58"/>
      <c r="L319" s="59"/>
      <c r="M319" s="54"/>
      <c r="N319" s="55"/>
      <c r="P319" s="58"/>
      <c r="Q319" s="59"/>
      <c r="R319" s="54"/>
      <c r="S319" s="55"/>
    </row>
    <row r="320" spans="11:19" x14ac:dyDescent="0.25">
      <c r="K320" s="58"/>
      <c r="L320" s="59"/>
      <c r="M320" s="54"/>
      <c r="N320" s="55"/>
      <c r="P320" s="58"/>
      <c r="Q320" s="59"/>
      <c r="R320" s="54"/>
      <c r="S320" s="55"/>
    </row>
    <row r="321" spans="11:19" x14ac:dyDescent="0.25">
      <c r="K321" s="58"/>
      <c r="L321" s="59"/>
      <c r="M321" s="54"/>
      <c r="N321" s="55"/>
      <c r="P321" s="58"/>
      <c r="Q321" s="59"/>
      <c r="R321" s="54"/>
      <c r="S321" s="55"/>
    </row>
    <row r="322" spans="11:19" x14ac:dyDescent="0.25">
      <c r="K322" s="58"/>
      <c r="L322" s="59"/>
      <c r="M322" s="54"/>
      <c r="N322" s="55"/>
      <c r="P322" s="58"/>
      <c r="Q322" s="59"/>
      <c r="R322" s="54"/>
      <c r="S322" s="55"/>
    </row>
    <row r="323" spans="11:19" x14ac:dyDescent="0.25">
      <c r="K323" s="58"/>
      <c r="L323" s="59"/>
      <c r="M323" s="54"/>
      <c r="N323" s="55"/>
      <c r="P323" s="58"/>
      <c r="Q323" s="59"/>
      <c r="R323" s="54"/>
      <c r="S323" s="55"/>
    </row>
    <row r="324" spans="11:19" x14ac:dyDescent="0.25">
      <c r="K324" s="58"/>
      <c r="L324" s="59"/>
      <c r="M324" s="54"/>
      <c r="N324" s="55"/>
      <c r="P324" s="58"/>
      <c r="Q324" s="59"/>
      <c r="R324" s="54"/>
      <c r="S324" s="55"/>
    </row>
    <row r="325" spans="11:19" x14ac:dyDescent="0.25">
      <c r="K325" s="58"/>
      <c r="L325" s="59"/>
      <c r="M325" s="54"/>
      <c r="N325" s="55"/>
      <c r="P325" s="58"/>
      <c r="Q325" s="59"/>
      <c r="R325" s="54"/>
      <c r="S325" s="55"/>
    </row>
    <row r="326" spans="11:19" x14ac:dyDescent="0.25">
      <c r="K326" s="58"/>
      <c r="L326" s="59"/>
      <c r="M326" s="54"/>
      <c r="N326" s="55"/>
      <c r="P326" s="58"/>
      <c r="Q326" s="59"/>
      <c r="R326" s="54"/>
      <c r="S326" s="55"/>
    </row>
    <row r="327" spans="11:19" x14ac:dyDescent="0.25">
      <c r="K327" s="58"/>
      <c r="L327" s="59"/>
      <c r="M327" s="54"/>
      <c r="N327" s="55"/>
      <c r="P327" s="58"/>
      <c r="Q327" s="59"/>
      <c r="R327" s="54"/>
      <c r="S327" s="55"/>
    </row>
    <row r="328" spans="11:19" x14ac:dyDescent="0.25">
      <c r="K328" s="58"/>
      <c r="L328" s="59"/>
      <c r="M328" s="54"/>
      <c r="N328" s="55"/>
      <c r="P328" s="58"/>
      <c r="Q328" s="59"/>
      <c r="R328" s="54"/>
      <c r="S328" s="55"/>
    </row>
    <row r="329" spans="11:19" x14ac:dyDescent="0.25">
      <c r="K329" s="58"/>
      <c r="L329" s="59"/>
      <c r="M329" s="54"/>
      <c r="N329" s="55"/>
      <c r="P329" s="58"/>
      <c r="Q329" s="59"/>
      <c r="R329" s="54"/>
      <c r="S329" s="55"/>
    </row>
    <row r="330" spans="11:19" x14ac:dyDescent="0.25">
      <c r="K330" s="58"/>
      <c r="L330" s="59"/>
      <c r="M330" s="54"/>
      <c r="N330" s="55"/>
      <c r="P330" s="58"/>
      <c r="Q330" s="59"/>
      <c r="R330" s="54"/>
      <c r="S330" s="55"/>
    </row>
    <row r="331" spans="11:19" x14ac:dyDescent="0.25">
      <c r="K331" s="58"/>
      <c r="L331" s="59"/>
      <c r="M331" s="54"/>
      <c r="N331" s="55"/>
      <c r="P331" s="58"/>
      <c r="Q331" s="59"/>
      <c r="R331" s="54"/>
      <c r="S331" s="55"/>
    </row>
    <row r="332" spans="11:19" x14ac:dyDescent="0.25">
      <c r="K332" s="58"/>
      <c r="L332" s="59"/>
      <c r="M332" s="54"/>
      <c r="N332" s="55"/>
      <c r="P332" s="58"/>
      <c r="Q332" s="59"/>
      <c r="R332" s="54"/>
      <c r="S332" s="55"/>
    </row>
    <row r="333" spans="11:19" x14ac:dyDescent="0.25">
      <c r="K333" s="58"/>
      <c r="L333" s="59"/>
      <c r="M333" s="54"/>
      <c r="N333" s="55"/>
      <c r="P333" s="58"/>
      <c r="Q333" s="59"/>
      <c r="R333" s="54"/>
      <c r="S333" s="55"/>
    </row>
    <row r="334" spans="11:19" x14ac:dyDescent="0.25">
      <c r="K334" s="58"/>
      <c r="L334" s="59"/>
      <c r="M334" s="54"/>
      <c r="N334" s="55"/>
      <c r="P334" s="58"/>
      <c r="Q334" s="59"/>
      <c r="R334" s="54"/>
      <c r="S334" s="55"/>
    </row>
    <row r="335" spans="11:19" x14ac:dyDescent="0.25">
      <c r="K335" s="58"/>
      <c r="L335" s="59"/>
      <c r="M335" s="54"/>
      <c r="N335" s="55"/>
      <c r="P335" s="58"/>
      <c r="Q335" s="59"/>
      <c r="R335" s="54"/>
      <c r="S335" s="55"/>
    </row>
    <row r="336" spans="11:19" x14ac:dyDescent="0.25">
      <c r="K336" s="58"/>
      <c r="L336" s="59"/>
      <c r="M336" s="54"/>
      <c r="N336" s="55"/>
      <c r="P336" s="58"/>
      <c r="Q336" s="59"/>
      <c r="R336" s="54"/>
      <c r="S336" s="55"/>
    </row>
    <row r="337" spans="11:19" x14ac:dyDescent="0.25">
      <c r="K337" s="58"/>
      <c r="L337" s="59"/>
      <c r="M337" s="54"/>
      <c r="N337" s="55"/>
      <c r="P337" s="58"/>
      <c r="Q337" s="59"/>
      <c r="R337" s="54"/>
      <c r="S337" s="55"/>
    </row>
    <row r="338" spans="11:19" x14ac:dyDescent="0.25">
      <c r="K338" s="58"/>
      <c r="L338" s="59"/>
      <c r="M338" s="54"/>
      <c r="N338" s="55"/>
      <c r="P338" s="58"/>
      <c r="Q338" s="59"/>
      <c r="R338" s="54"/>
      <c r="S338" s="55"/>
    </row>
    <row r="339" spans="11:19" x14ac:dyDescent="0.25">
      <c r="K339" s="58"/>
      <c r="L339" s="59"/>
      <c r="M339" s="54"/>
      <c r="N339" s="55"/>
      <c r="P339" s="58"/>
      <c r="Q339" s="59"/>
      <c r="R339" s="54"/>
      <c r="S339" s="55"/>
    </row>
    <row r="340" spans="11:19" x14ac:dyDescent="0.25">
      <c r="K340" s="58"/>
      <c r="L340" s="59"/>
      <c r="M340" s="54"/>
      <c r="N340" s="55"/>
      <c r="P340" s="58"/>
      <c r="Q340" s="59"/>
      <c r="R340" s="54"/>
      <c r="S340" s="55"/>
    </row>
    <row r="341" spans="11:19" x14ac:dyDescent="0.25">
      <c r="K341" s="58"/>
      <c r="L341" s="59"/>
      <c r="M341" s="54"/>
      <c r="N341" s="55"/>
      <c r="P341" s="58"/>
      <c r="Q341" s="59"/>
      <c r="R341" s="54"/>
      <c r="S341" s="55"/>
    </row>
    <row r="342" spans="11:19" x14ac:dyDescent="0.25">
      <c r="K342" s="58"/>
      <c r="L342" s="59"/>
      <c r="M342" s="54"/>
      <c r="N342" s="55"/>
      <c r="P342" s="58"/>
      <c r="Q342" s="59"/>
      <c r="R342" s="54"/>
      <c r="S342" s="55"/>
    </row>
    <row r="343" spans="11:19" x14ac:dyDescent="0.25">
      <c r="K343" s="58"/>
      <c r="L343" s="59"/>
      <c r="M343" s="54"/>
      <c r="N343" s="55"/>
      <c r="P343" s="58"/>
      <c r="Q343" s="59"/>
      <c r="R343" s="54"/>
      <c r="S343" s="55"/>
    </row>
    <row r="344" spans="11:19" x14ac:dyDescent="0.25">
      <c r="K344" s="58"/>
      <c r="L344" s="59"/>
      <c r="M344" s="54"/>
      <c r="N344" s="55"/>
      <c r="P344" s="58"/>
      <c r="Q344" s="59"/>
      <c r="R344" s="54"/>
      <c r="S344" s="55"/>
    </row>
    <row r="345" spans="11:19" x14ac:dyDescent="0.25">
      <c r="K345" s="58"/>
      <c r="L345" s="59"/>
      <c r="M345" s="54"/>
      <c r="N345" s="55"/>
      <c r="P345" s="58"/>
      <c r="Q345" s="59"/>
      <c r="R345" s="54"/>
      <c r="S345" s="55"/>
    </row>
    <row r="346" spans="11:19" x14ac:dyDescent="0.25">
      <c r="K346" s="58"/>
      <c r="L346" s="59"/>
      <c r="M346" s="54"/>
      <c r="N346" s="55"/>
      <c r="P346" s="58"/>
      <c r="Q346" s="59"/>
      <c r="R346" s="54"/>
      <c r="S346" s="55"/>
    </row>
    <row r="347" spans="11:19" x14ac:dyDescent="0.25">
      <c r="K347" s="58"/>
      <c r="L347" s="59"/>
      <c r="M347" s="54"/>
      <c r="N347" s="55"/>
      <c r="P347" s="58"/>
      <c r="Q347" s="59"/>
      <c r="R347" s="54"/>
      <c r="S347" s="55"/>
    </row>
    <row r="348" spans="11:19" ht="15.75" thickBot="1" x14ac:dyDescent="0.3">
      <c r="K348" s="60"/>
      <c r="L348" s="61"/>
      <c r="M348" s="56"/>
      <c r="N348" s="57"/>
      <c r="P348" s="60"/>
      <c r="Q348" s="61"/>
      <c r="R348" s="56"/>
      <c r="S348" s="57"/>
    </row>
  </sheetData>
  <mergeCells count="4">
    <mergeCell ref="A8:D8"/>
    <mergeCell ref="F8:I8"/>
    <mergeCell ref="K8:N8"/>
    <mergeCell ref="P8:S8"/>
  </mergeCells>
  <conditionalFormatting sqref="G3">
    <cfRule type="cellIs" dxfId="49" priority="5" operator="greaterThan">
      <formula>$J$4</formula>
    </cfRule>
  </conditionalFormatting>
  <conditionalFormatting sqref="T5">
    <cfRule type="cellIs" dxfId="48" priority="1" operator="greaterThan">
      <formula>$T$6</formula>
    </cfRule>
    <cfRule type="cellIs" dxfId="47" priority="4" operator="lessThan">
      <formula>$T$6</formula>
    </cfRule>
  </conditionalFormatting>
  <conditionalFormatting sqref="T6">
    <cfRule type="cellIs" dxfId="46" priority="2" operator="greaterThan">
      <formula>$T$5</formula>
    </cfRule>
    <cfRule type="cellIs" dxfId="45" priority="3" operator="lessThan">
      <formula>$T$5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BEB9CD-48B3-49DE-8679-1A5348FB6B9F}">
  <sheetPr codeName="Sheet7"/>
  <dimension ref="A1:K57"/>
  <sheetViews>
    <sheetView workbookViewId="0">
      <selection activeCell="K17" sqref="K17"/>
    </sheetView>
  </sheetViews>
  <sheetFormatPr baseColWidth="10" defaultColWidth="9.140625" defaultRowHeight="15" x14ac:dyDescent="0.25"/>
  <cols>
    <col min="3" max="3" width="13.5703125" bestFit="1" customWidth="1"/>
    <col min="4" max="4" width="11.140625" bestFit="1" customWidth="1"/>
    <col min="8" max="8" width="13.5703125" bestFit="1" customWidth="1"/>
    <col min="9" max="9" width="11.140625" bestFit="1" customWidth="1"/>
    <col min="11" max="11" width="11.140625" bestFit="1" customWidth="1"/>
  </cols>
  <sheetData>
    <row r="1" spans="1:11" ht="15.75" thickBot="1" x14ac:dyDescent="0.3">
      <c r="A1" s="113" t="s">
        <v>20</v>
      </c>
      <c r="B1" s="114"/>
      <c r="C1" s="114"/>
      <c r="D1" s="115"/>
      <c r="F1" s="113" t="s">
        <v>21</v>
      </c>
      <c r="G1" s="114"/>
      <c r="H1" s="114"/>
      <c r="I1" s="115"/>
    </row>
    <row r="2" spans="1:11" ht="15.75" thickBot="1" x14ac:dyDescent="0.3">
      <c r="A2" s="32" t="s">
        <v>22</v>
      </c>
      <c r="B2" s="33" t="s">
        <v>9</v>
      </c>
      <c r="C2" s="33" t="s">
        <v>7</v>
      </c>
      <c r="D2" s="34" t="s">
        <v>23</v>
      </c>
      <c r="E2" s="31"/>
      <c r="F2" s="35" t="s">
        <v>22</v>
      </c>
      <c r="G2" s="36" t="s">
        <v>9</v>
      </c>
      <c r="H2" s="36" t="s">
        <v>7</v>
      </c>
      <c r="I2" s="37" t="s">
        <v>23</v>
      </c>
    </row>
    <row r="3" spans="1:11" x14ac:dyDescent="0.25">
      <c r="A3" s="38">
        <v>99</v>
      </c>
      <c r="B3" s="39">
        <v>30.326086956521738</v>
      </c>
      <c r="C3" s="40">
        <v>891762</v>
      </c>
      <c r="D3" s="41">
        <v>29405.772043010755</v>
      </c>
      <c r="E3">
        <v>1</v>
      </c>
      <c r="F3" s="42">
        <v>31</v>
      </c>
      <c r="G3" s="43">
        <v>33.41317365269461</v>
      </c>
      <c r="H3" s="44">
        <v>828146</v>
      </c>
      <c r="I3" s="45">
        <v>24785.014695340502</v>
      </c>
      <c r="J3">
        <v>1</v>
      </c>
    </row>
    <row r="4" spans="1:11" x14ac:dyDescent="0.25">
      <c r="A4" s="46">
        <v>22</v>
      </c>
      <c r="B4" s="39">
        <v>30.326086956521738</v>
      </c>
      <c r="C4" s="47">
        <v>787867</v>
      </c>
      <c r="D4" s="41">
        <v>25979.843727598567</v>
      </c>
      <c r="E4">
        <v>1</v>
      </c>
      <c r="F4" s="48">
        <v>95</v>
      </c>
      <c r="G4" s="43">
        <v>33.41317365269461</v>
      </c>
      <c r="H4" s="49">
        <v>778683</v>
      </c>
      <c r="I4" s="45">
        <v>23304.670430107526</v>
      </c>
      <c r="J4">
        <v>1</v>
      </c>
    </row>
    <row r="5" spans="1:11" x14ac:dyDescent="0.25">
      <c r="A5" s="46">
        <v>83</v>
      </c>
      <c r="B5" s="39">
        <v>30.326086956521738</v>
      </c>
      <c r="C5" s="47">
        <v>776669</v>
      </c>
      <c r="D5" s="41">
        <v>25610.590681003585</v>
      </c>
      <c r="E5">
        <v>1</v>
      </c>
      <c r="F5" s="48">
        <v>32</v>
      </c>
      <c r="G5" s="43">
        <v>33.41317365269461</v>
      </c>
      <c r="H5" s="49">
        <v>742165</v>
      </c>
      <c r="I5" s="45">
        <v>22211.748207885306</v>
      </c>
      <c r="J5">
        <v>1</v>
      </c>
    </row>
    <row r="6" spans="1:11" x14ac:dyDescent="0.25">
      <c r="A6" s="46">
        <v>57</v>
      </c>
      <c r="B6" s="39">
        <v>30.326086956521738</v>
      </c>
      <c r="C6" s="47">
        <v>764937</v>
      </c>
      <c r="D6" s="41">
        <v>25223.729032258067</v>
      </c>
      <c r="E6">
        <v>1</v>
      </c>
      <c r="F6" s="48">
        <v>86</v>
      </c>
      <c r="G6" s="43">
        <v>33.41317365269461</v>
      </c>
      <c r="H6" s="49">
        <v>708838</v>
      </c>
      <c r="I6" s="45">
        <v>21214.327240143371</v>
      </c>
      <c r="J6">
        <v>1</v>
      </c>
    </row>
    <row r="7" spans="1:11" x14ac:dyDescent="0.25">
      <c r="A7" s="46">
        <v>33</v>
      </c>
      <c r="B7" s="39">
        <v>30.326086956521738</v>
      </c>
      <c r="C7" s="47">
        <v>739492</v>
      </c>
      <c r="D7" s="41">
        <v>24384.682437275987</v>
      </c>
      <c r="E7">
        <v>1</v>
      </c>
      <c r="F7" s="48">
        <v>44</v>
      </c>
      <c r="G7" s="43">
        <v>33.41317365269461</v>
      </c>
      <c r="H7" s="49">
        <v>644475</v>
      </c>
      <c r="I7" s="45">
        <v>19288.051075268817</v>
      </c>
      <c r="J7">
        <v>1</v>
      </c>
    </row>
    <row r="8" spans="1:11" x14ac:dyDescent="0.25">
      <c r="A8" s="46">
        <v>34</v>
      </c>
      <c r="B8" s="39">
        <v>30.326086956521738</v>
      </c>
      <c r="C8" s="47">
        <v>706466</v>
      </c>
      <c r="D8" s="41">
        <v>23295.653046594984</v>
      </c>
      <c r="E8">
        <v>1</v>
      </c>
      <c r="F8" s="48">
        <v>43</v>
      </c>
      <c r="G8" s="43">
        <v>33.41317365269461</v>
      </c>
      <c r="H8" s="49">
        <v>600711</v>
      </c>
      <c r="I8" s="45">
        <v>17978.268279569893</v>
      </c>
      <c r="J8">
        <v>1.0000000000000007</v>
      </c>
    </row>
    <row r="9" spans="1:11" x14ac:dyDescent="0.25">
      <c r="A9" s="46">
        <v>54</v>
      </c>
      <c r="B9" s="39">
        <v>30.326086956521738</v>
      </c>
      <c r="C9" s="47">
        <v>704680</v>
      </c>
      <c r="D9" s="41">
        <v>23236.759856630826</v>
      </c>
      <c r="E9">
        <v>1</v>
      </c>
      <c r="F9" s="50">
        <v>54</v>
      </c>
      <c r="G9" s="70">
        <v>33.41317365269461</v>
      </c>
      <c r="H9" s="51">
        <v>600526</v>
      </c>
      <c r="I9" s="71">
        <v>17972.73154121864</v>
      </c>
      <c r="J9">
        <v>0</v>
      </c>
      <c r="K9" s="85">
        <f>H9-H11+C10*(1-E10)+C11*E10-C9</f>
        <v>34471.666666666511</v>
      </c>
    </row>
    <row r="10" spans="1:11" x14ac:dyDescent="0.25">
      <c r="A10" s="52">
        <v>46</v>
      </c>
      <c r="B10" s="72">
        <v>30.326086956521738</v>
      </c>
      <c r="C10" s="53">
        <v>647685</v>
      </c>
      <c r="D10" s="73">
        <v>21357.354838709678</v>
      </c>
      <c r="E10">
        <v>0.33333333333333393</v>
      </c>
      <c r="F10" s="50">
        <v>33</v>
      </c>
      <c r="G10" s="70">
        <v>33.41317365269461</v>
      </c>
      <c r="H10" s="51">
        <v>533105</v>
      </c>
      <c r="I10" s="71">
        <v>15954.934587813621</v>
      </c>
      <c r="J10">
        <v>0</v>
      </c>
      <c r="K10" s="23">
        <f>H10-H11+C10*(1-E10)+C11*E10-C7</f>
        <v>-67761.333333333489</v>
      </c>
    </row>
    <row r="11" spans="1:11" x14ac:dyDescent="0.25">
      <c r="A11" s="58">
        <v>35</v>
      </c>
      <c r="B11" s="68">
        <v>30.326086956521738</v>
      </c>
      <c r="C11" s="54">
        <v>520964</v>
      </c>
      <c r="D11" s="69">
        <v>17178.741218637992</v>
      </c>
      <c r="F11" s="48">
        <v>29</v>
      </c>
      <c r="G11" s="43">
        <v>33.41317365269461</v>
      </c>
      <c r="H11" s="49">
        <v>466819</v>
      </c>
      <c r="I11" s="45">
        <v>13971.106272401434</v>
      </c>
      <c r="J11">
        <v>1</v>
      </c>
    </row>
    <row r="12" spans="1:11" x14ac:dyDescent="0.25">
      <c r="A12" s="58">
        <v>28</v>
      </c>
      <c r="B12" s="68">
        <v>30.326086956521738</v>
      </c>
      <c r="C12" s="54">
        <v>485282</v>
      </c>
      <c r="D12" s="69">
        <v>16002.130465949822</v>
      </c>
      <c r="F12" s="58">
        <v>39</v>
      </c>
      <c r="G12" s="68">
        <v>33.41317365269461</v>
      </c>
      <c r="H12" s="54">
        <v>443533</v>
      </c>
      <c r="I12" s="69">
        <v>13274.195519713261</v>
      </c>
    </row>
    <row r="13" spans="1:11" x14ac:dyDescent="0.25">
      <c r="A13" s="58">
        <v>25</v>
      </c>
      <c r="B13" s="68">
        <v>30.326086956521738</v>
      </c>
      <c r="C13" s="54">
        <v>428682</v>
      </c>
      <c r="D13" s="69">
        <v>14135.750537634409</v>
      </c>
      <c r="F13" s="58">
        <v>85</v>
      </c>
      <c r="G13" s="68">
        <v>33.41317365269461</v>
      </c>
      <c r="H13" s="54">
        <v>400656</v>
      </c>
      <c r="I13" s="69">
        <v>11990.959139784947</v>
      </c>
    </row>
    <row r="14" spans="1:11" x14ac:dyDescent="0.25">
      <c r="A14" s="58">
        <v>53</v>
      </c>
      <c r="B14" s="68">
        <v>30.326086956521738</v>
      </c>
      <c r="C14" s="54">
        <v>427876</v>
      </c>
      <c r="D14" s="69">
        <v>14109.17275985663</v>
      </c>
      <c r="F14" s="58">
        <v>51</v>
      </c>
      <c r="G14" s="68">
        <v>33.41317365269461</v>
      </c>
      <c r="H14" s="54">
        <v>295735</v>
      </c>
      <c r="I14" s="69">
        <v>8850.8503584229402</v>
      </c>
    </row>
    <row r="15" spans="1:11" x14ac:dyDescent="0.25">
      <c r="A15" s="58">
        <v>30</v>
      </c>
      <c r="B15" s="68">
        <v>30.326086956521738</v>
      </c>
      <c r="C15" s="54">
        <v>412457</v>
      </c>
      <c r="D15" s="69">
        <v>13600.732616487456</v>
      </c>
      <c r="F15" s="58">
        <v>84</v>
      </c>
      <c r="G15" s="68">
        <v>33.41317365269461</v>
      </c>
      <c r="H15" s="54">
        <v>277116</v>
      </c>
      <c r="I15" s="69">
        <v>8293.6150537634403</v>
      </c>
    </row>
    <row r="16" spans="1:11" x14ac:dyDescent="0.25">
      <c r="A16" s="58">
        <v>45</v>
      </c>
      <c r="B16" s="68">
        <v>30.326086956521738</v>
      </c>
      <c r="C16" s="54">
        <v>411553</v>
      </c>
      <c r="D16" s="69">
        <v>13570.923297491039</v>
      </c>
      <c r="F16" s="58">
        <v>100</v>
      </c>
      <c r="G16" s="68">
        <v>33.41317365269461</v>
      </c>
      <c r="H16" s="54">
        <v>196154</v>
      </c>
      <c r="I16" s="69">
        <v>5870.5587813620077</v>
      </c>
    </row>
    <row r="17" spans="1:9" x14ac:dyDescent="0.25">
      <c r="A17" s="50">
        <v>43</v>
      </c>
      <c r="B17" s="70">
        <v>30.326086956521738</v>
      </c>
      <c r="C17" s="51">
        <v>287718</v>
      </c>
      <c r="D17" s="71">
        <v>9487.4752688172048</v>
      </c>
      <c r="E17">
        <v>0</v>
      </c>
      <c r="F17" s="58">
        <v>56</v>
      </c>
      <c r="G17" s="68">
        <v>33.41317365269461</v>
      </c>
      <c r="H17" s="54">
        <v>175558</v>
      </c>
      <c r="I17" s="69">
        <v>5254.1551971326162</v>
      </c>
    </row>
    <row r="18" spans="1:9" x14ac:dyDescent="0.25">
      <c r="A18" s="58">
        <v>47</v>
      </c>
      <c r="B18" s="68">
        <v>30.326086956521738</v>
      </c>
      <c r="C18" s="54">
        <v>244892</v>
      </c>
      <c r="D18" s="69">
        <v>8075.2917562724015</v>
      </c>
      <c r="F18" s="58">
        <v>24</v>
      </c>
      <c r="G18" s="68">
        <v>33.41317365269461</v>
      </c>
      <c r="H18" s="54">
        <v>71007</v>
      </c>
      <c r="I18" s="69">
        <v>2125.1198924731184</v>
      </c>
    </row>
    <row r="19" spans="1:9" x14ac:dyDescent="0.25">
      <c r="A19" s="58">
        <v>27</v>
      </c>
      <c r="B19" s="68">
        <v>30.326086956521738</v>
      </c>
      <c r="C19" s="54">
        <v>217246</v>
      </c>
      <c r="D19" s="69">
        <v>7163.6673835125448</v>
      </c>
      <c r="F19" s="58">
        <v>94</v>
      </c>
      <c r="G19" s="68">
        <v>33.41317365269461</v>
      </c>
      <c r="H19" s="54">
        <v>48569</v>
      </c>
      <c r="I19" s="69">
        <v>1453.5883512544804</v>
      </c>
    </row>
    <row r="20" spans="1:9" x14ac:dyDescent="0.25">
      <c r="A20" s="58">
        <v>98</v>
      </c>
      <c r="B20" s="68">
        <v>30.326086956521738</v>
      </c>
      <c r="C20" s="54">
        <v>186371</v>
      </c>
      <c r="D20" s="69">
        <v>6145.5670250896055</v>
      </c>
      <c r="F20" s="58">
        <v>98</v>
      </c>
      <c r="G20" s="68">
        <v>33.41317365269461</v>
      </c>
      <c r="H20" s="54">
        <v>42432</v>
      </c>
      <c r="I20" s="69">
        <v>1269.9182795698925</v>
      </c>
    </row>
    <row r="21" spans="1:9" x14ac:dyDescent="0.25">
      <c r="A21" s="58">
        <v>82</v>
      </c>
      <c r="B21" s="68">
        <v>30.326086956521738</v>
      </c>
      <c r="C21" s="54">
        <v>157735</v>
      </c>
      <c r="D21" s="69">
        <v>5201.2974910394269</v>
      </c>
      <c r="F21" s="58">
        <v>79</v>
      </c>
      <c r="G21" s="68">
        <v>33.41317365269461</v>
      </c>
      <c r="H21" s="54">
        <v>-17472</v>
      </c>
      <c r="I21" s="69">
        <v>-522.9075268817204</v>
      </c>
    </row>
    <row r="22" spans="1:9" x14ac:dyDescent="0.25">
      <c r="A22" s="58">
        <v>39</v>
      </c>
      <c r="B22" s="68">
        <v>30.326086956521738</v>
      </c>
      <c r="C22" s="54">
        <v>75371</v>
      </c>
      <c r="D22" s="69">
        <v>2485.3519713261649</v>
      </c>
      <c r="F22" s="58">
        <v>30</v>
      </c>
      <c r="G22" s="68">
        <v>33.41317365269461</v>
      </c>
      <c r="H22" s="54">
        <v>-18899</v>
      </c>
      <c r="I22" s="69">
        <v>-565.61523297491044</v>
      </c>
    </row>
    <row r="23" spans="1:9" x14ac:dyDescent="0.25">
      <c r="A23" s="58">
        <v>79</v>
      </c>
      <c r="B23" s="68">
        <v>30.326086956521738</v>
      </c>
      <c r="C23" s="54">
        <v>42924</v>
      </c>
      <c r="D23" s="69">
        <v>1415.4150537634409</v>
      </c>
      <c r="F23" s="50">
        <v>99</v>
      </c>
      <c r="G23" s="70">
        <v>33.41317365269461</v>
      </c>
      <c r="H23" s="51">
        <v>-53380</v>
      </c>
      <c r="I23" s="71">
        <v>-1597.573476702509</v>
      </c>
    </row>
    <row r="24" spans="1:9" x14ac:dyDescent="0.25">
      <c r="A24" s="58">
        <v>49</v>
      </c>
      <c r="B24" s="68">
        <v>30.326086956521738</v>
      </c>
      <c r="C24" s="54">
        <v>-35135</v>
      </c>
      <c r="D24" s="69">
        <v>-1158.573476702509</v>
      </c>
      <c r="F24" s="58">
        <v>76</v>
      </c>
      <c r="G24" s="68">
        <v>33.41317365269461</v>
      </c>
      <c r="H24" s="54">
        <v>-134133</v>
      </c>
      <c r="I24" s="69">
        <v>-4014.3747311827956</v>
      </c>
    </row>
    <row r="25" spans="1:9" x14ac:dyDescent="0.25">
      <c r="A25" s="50">
        <v>86</v>
      </c>
      <c r="B25" s="70">
        <v>30.326086956521738</v>
      </c>
      <c r="C25" s="51">
        <v>-36114</v>
      </c>
      <c r="D25" s="71">
        <v>-1190.8559139784948</v>
      </c>
      <c r="E25">
        <v>0</v>
      </c>
      <c r="F25" s="58">
        <v>27</v>
      </c>
      <c r="G25" s="68">
        <v>33.41317365269461</v>
      </c>
      <c r="H25" s="54">
        <v>-237585</v>
      </c>
      <c r="I25" s="69">
        <v>-7110.5188172043008</v>
      </c>
    </row>
    <row r="26" spans="1:9" x14ac:dyDescent="0.25">
      <c r="A26" s="50">
        <v>95</v>
      </c>
      <c r="B26" s="70">
        <v>30.326086956521738</v>
      </c>
      <c r="C26" s="51">
        <v>-117870</v>
      </c>
      <c r="D26" s="71">
        <v>-3886.7526881720432</v>
      </c>
      <c r="E26">
        <v>0</v>
      </c>
      <c r="F26" s="58">
        <v>49</v>
      </c>
      <c r="G26" s="68">
        <v>33.41317365269461</v>
      </c>
      <c r="H26" s="54">
        <v>-320509</v>
      </c>
      <c r="I26" s="69">
        <v>-9592.2944444444438</v>
      </c>
    </row>
    <row r="27" spans="1:9" x14ac:dyDescent="0.25">
      <c r="A27" s="58">
        <v>42</v>
      </c>
      <c r="B27" s="68">
        <v>30.326086956521738</v>
      </c>
      <c r="C27" s="54">
        <v>-137859</v>
      </c>
      <c r="D27" s="69">
        <v>-4545.8881720430109</v>
      </c>
      <c r="F27" s="58">
        <v>47</v>
      </c>
      <c r="G27" s="68">
        <v>33.41317365269461</v>
      </c>
      <c r="H27" s="54">
        <v>-338573</v>
      </c>
      <c r="I27" s="69">
        <v>-10132.919534050179</v>
      </c>
    </row>
    <row r="28" spans="1:9" x14ac:dyDescent="0.25">
      <c r="A28" s="58">
        <v>50</v>
      </c>
      <c r="B28" s="68">
        <v>30.326086956521738</v>
      </c>
      <c r="C28" s="54">
        <v>-141217</v>
      </c>
      <c r="D28" s="69">
        <v>-4656.6179211469534</v>
      </c>
      <c r="F28" s="50">
        <v>34</v>
      </c>
      <c r="G28" s="70">
        <v>33.41317365269461</v>
      </c>
      <c r="H28" s="51">
        <v>-343537</v>
      </c>
      <c r="I28" s="71">
        <v>-10281.483691756273</v>
      </c>
    </row>
    <row r="29" spans="1:9" x14ac:dyDescent="0.25">
      <c r="A29" s="58">
        <v>24</v>
      </c>
      <c r="B29" s="68">
        <v>30.326086956521738</v>
      </c>
      <c r="C29" s="54">
        <v>-265494</v>
      </c>
      <c r="D29" s="69">
        <v>-8754.6408602150532</v>
      </c>
      <c r="F29" s="58">
        <v>26</v>
      </c>
      <c r="G29" s="68">
        <v>33.41317365269461</v>
      </c>
      <c r="H29" s="54">
        <v>-410208</v>
      </c>
      <c r="I29" s="69">
        <v>-12276.834408602152</v>
      </c>
    </row>
    <row r="30" spans="1:9" x14ac:dyDescent="0.25">
      <c r="A30" s="50">
        <v>44</v>
      </c>
      <c r="B30" s="70">
        <v>30.326086956521738</v>
      </c>
      <c r="C30" s="51">
        <v>-279807</v>
      </c>
      <c r="D30" s="71">
        <v>-9226.6107526881715</v>
      </c>
      <c r="E30">
        <v>0</v>
      </c>
      <c r="F30" s="58">
        <v>55</v>
      </c>
      <c r="G30" s="68">
        <v>33.41317365269461</v>
      </c>
      <c r="H30" s="54">
        <v>-412943</v>
      </c>
      <c r="I30" s="69">
        <v>-12358.688351254481</v>
      </c>
    </row>
    <row r="31" spans="1:9" x14ac:dyDescent="0.25">
      <c r="A31" s="58">
        <v>78</v>
      </c>
      <c r="B31" s="68">
        <v>30.326086956521738</v>
      </c>
      <c r="C31" s="54">
        <v>-450754</v>
      </c>
      <c r="D31" s="69">
        <v>-14863.572759856632</v>
      </c>
      <c r="F31" s="50">
        <v>22</v>
      </c>
      <c r="G31" s="70">
        <v>33.41317365269461</v>
      </c>
      <c r="H31" s="51">
        <v>-443480</v>
      </c>
      <c r="I31" s="71">
        <v>-13272.609318996416</v>
      </c>
    </row>
    <row r="32" spans="1:9" x14ac:dyDescent="0.25">
      <c r="A32" s="58">
        <v>81</v>
      </c>
      <c r="B32" s="68">
        <v>30.326086956521738</v>
      </c>
      <c r="C32" s="54">
        <v>-460974</v>
      </c>
      <c r="D32" s="69">
        <v>-15200.576344086023</v>
      </c>
      <c r="F32" s="58">
        <v>97</v>
      </c>
      <c r="G32" s="68">
        <v>33.41317365269461</v>
      </c>
      <c r="H32" s="54">
        <v>-474669</v>
      </c>
      <c r="I32" s="69">
        <v>-14206.043548387097</v>
      </c>
    </row>
    <row r="33" spans="1:9" x14ac:dyDescent="0.25">
      <c r="A33" s="58">
        <v>48</v>
      </c>
      <c r="B33" s="68">
        <v>30.326086956521738</v>
      </c>
      <c r="C33" s="54">
        <v>-522318</v>
      </c>
      <c r="D33" s="69">
        <v>-17223.389247311829</v>
      </c>
      <c r="F33" s="50">
        <v>57</v>
      </c>
      <c r="G33" s="70">
        <v>33.41317365269461</v>
      </c>
      <c r="H33" s="51">
        <v>-519769</v>
      </c>
      <c r="I33" s="71">
        <v>-15555.810573476703</v>
      </c>
    </row>
    <row r="34" spans="1:9" x14ac:dyDescent="0.25">
      <c r="A34" s="58">
        <v>87</v>
      </c>
      <c r="B34" s="68">
        <v>30.326086956521738</v>
      </c>
      <c r="C34" s="54">
        <v>-542332</v>
      </c>
      <c r="D34" s="69">
        <v>-17883.349103942652</v>
      </c>
      <c r="F34" s="58">
        <v>35</v>
      </c>
      <c r="G34" s="68">
        <v>33.41317365269461</v>
      </c>
      <c r="H34" s="54">
        <v>-552149</v>
      </c>
      <c r="I34" s="69">
        <v>-16524.889426523299</v>
      </c>
    </row>
    <row r="35" spans="1:9" x14ac:dyDescent="0.25">
      <c r="A35" s="58">
        <v>41</v>
      </c>
      <c r="B35" s="68">
        <v>30.326086956521738</v>
      </c>
      <c r="C35" s="54">
        <v>-545075</v>
      </c>
      <c r="D35" s="69">
        <v>-17973.799283154123</v>
      </c>
      <c r="F35" s="58">
        <v>81</v>
      </c>
      <c r="G35" s="68">
        <v>33.41317365269461</v>
      </c>
      <c r="H35" s="54">
        <v>-553719</v>
      </c>
      <c r="I35" s="69">
        <v>-16571.876881720429</v>
      </c>
    </row>
    <row r="36" spans="1:9" x14ac:dyDescent="0.25">
      <c r="A36" s="58">
        <v>23</v>
      </c>
      <c r="B36" s="68">
        <v>30.326086956521738</v>
      </c>
      <c r="C36" s="54">
        <v>-550483</v>
      </c>
      <c r="D36" s="69">
        <v>-18152.127598566309</v>
      </c>
      <c r="F36" s="58">
        <v>25</v>
      </c>
      <c r="G36" s="68">
        <v>33.41317365269461</v>
      </c>
      <c r="H36" s="54">
        <v>-602771</v>
      </c>
      <c r="I36" s="69">
        <v>-18039.920609318997</v>
      </c>
    </row>
    <row r="37" spans="1:9" x14ac:dyDescent="0.25">
      <c r="A37" s="58">
        <v>55</v>
      </c>
      <c r="B37" s="68">
        <v>30.326086956521738</v>
      </c>
      <c r="C37" s="54">
        <v>-592287</v>
      </c>
      <c r="D37" s="69">
        <v>-19530.610752688171</v>
      </c>
      <c r="F37" s="58">
        <v>23</v>
      </c>
      <c r="G37" s="68">
        <v>33.41317365269461</v>
      </c>
      <c r="H37" s="54">
        <v>-625997</v>
      </c>
      <c r="I37" s="69">
        <v>-18735.035663082439</v>
      </c>
    </row>
    <row r="38" spans="1:9" x14ac:dyDescent="0.25">
      <c r="A38" s="50">
        <v>31</v>
      </c>
      <c r="B38" s="70">
        <v>30.326086956521738</v>
      </c>
      <c r="C38" s="51">
        <v>-620072</v>
      </c>
      <c r="D38" s="71">
        <v>-20446.818637992834</v>
      </c>
      <c r="E38">
        <v>0</v>
      </c>
      <c r="F38" s="58">
        <v>78</v>
      </c>
      <c r="G38" s="68">
        <v>33.41317365269461</v>
      </c>
      <c r="H38" s="54">
        <v>-732192</v>
      </c>
      <c r="I38" s="69">
        <v>-21913.273118279569</v>
      </c>
    </row>
    <row r="39" spans="1:9" x14ac:dyDescent="0.25">
      <c r="A39" s="58">
        <v>40</v>
      </c>
      <c r="B39" s="68">
        <v>30.326086956521738</v>
      </c>
      <c r="C39" s="54">
        <v>-658386</v>
      </c>
      <c r="D39" s="69">
        <v>-21710.219354838711</v>
      </c>
      <c r="F39" s="58">
        <v>41</v>
      </c>
      <c r="G39" s="68">
        <v>33.41317365269461</v>
      </c>
      <c r="H39" s="54">
        <v>-890843</v>
      </c>
      <c r="I39" s="69">
        <v>-26661.430286738352</v>
      </c>
    </row>
    <row r="40" spans="1:9" x14ac:dyDescent="0.25">
      <c r="A40" s="58">
        <v>97</v>
      </c>
      <c r="B40" s="68">
        <v>30.326086956521738</v>
      </c>
      <c r="C40" s="54">
        <v>-661431</v>
      </c>
      <c r="D40" s="69">
        <v>-21810.627956989247</v>
      </c>
      <c r="F40" s="58">
        <v>48</v>
      </c>
      <c r="G40" s="68">
        <v>33.41317365269461</v>
      </c>
      <c r="H40" s="54">
        <v>-914243</v>
      </c>
      <c r="I40" s="69">
        <v>-27361.752867383515</v>
      </c>
    </row>
    <row r="41" spans="1:9" x14ac:dyDescent="0.25">
      <c r="A41" s="58">
        <v>56</v>
      </c>
      <c r="B41" s="68">
        <v>30.326086956521738</v>
      </c>
      <c r="C41" s="54">
        <v>-736742</v>
      </c>
      <c r="D41" s="69">
        <v>-24294.001433691756</v>
      </c>
      <c r="F41" s="58">
        <v>96</v>
      </c>
      <c r="G41" s="68">
        <v>33.41317365269461</v>
      </c>
      <c r="H41" s="54">
        <v>-944950</v>
      </c>
      <c r="I41" s="69">
        <v>-28280.76164874552</v>
      </c>
    </row>
    <row r="42" spans="1:9" x14ac:dyDescent="0.25">
      <c r="A42" s="58">
        <v>85</v>
      </c>
      <c r="B42" s="68">
        <v>30.326086956521738</v>
      </c>
      <c r="C42" s="54">
        <v>-789944</v>
      </c>
      <c r="D42" s="69">
        <v>-26048.332616487456</v>
      </c>
      <c r="F42" s="58">
        <v>82</v>
      </c>
      <c r="G42" s="68">
        <v>33.41317365269461</v>
      </c>
      <c r="H42" s="54">
        <v>-954865</v>
      </c>
      <c r="I42" s="69">
        <v>-28577.500896057347</v>
      </c>
    </row>
    <row r="43" spans="1:9" x14ac:dyDescent="0.25">
      <c r="A43" s="58">
        <v>26</v>
      </c>
      <c r="B43" s="68">
        <v>30.326086956521738</v>
      </c>
      <c r="C43" s="54">
        <v>-946136</v>
      </c>
      <c r="D43" s="69">
        <v>-31198.749820788533</v>
      </c>
      <c r="F43" s="58">
        <v>50</v>
      </c>
      <c r="G43" s="68">
        <v>33.41317365269461</v>
      </c>
      <c r="H43" s="54">
        <v>-1011749</v>
      </c>
      <c r="I43" s="69">
        <v>-30279.943189964157</v>
      </c>
    </row>
    <row r="44" spans="1:9" x14ac:dyDescent="0.25">
      <c r="A44" s="58">
        <v>84</v>
      </c>
      <c r="B44" s="68">
        <v>30.326086956521738</v>
      </c>
      <c r="C44" s="54">
        <v>-948146</v>
      </c>
      <c r="D44" s="69">
        <v>-31265.029390681004</v>
      </c>
      <c r="F44" s="58">
        <v>40</v>
      </c>
      <c r="G44" s="68">
        <v>33.41317365269461</v>
      </c>
      <c r="H44" s="54">
        <v>-1028317</v>
      </c>
      <c r="I44" s="69">
        <v>-30775.795519713261</v>
      </c>
    </row>
    <row r="45" spans="1:9" x14ac:dyDescent="0.25">
      <c r="A45" s="58">
        <v>37</v>
      </c>
      <c r="B45" s="68">
        <v>30.326086956521738</v>
      </c>
      <c r="C45" s="54">
        <v>-1123636</v>
      </c>
      <c r="D45" s="69">
        <v>-37051.796415770608</v>
      </c>
      <c r="F45" s="58">
        <v>45</v>
      </c>
      <c r="G45" s="68">
        <v>33.41317365269461</v>
      </c>
      <c r="H45" s="54">
        <v>-1108132</v>
      </c>
      <c r="I45" s="69">
        <v>-33164.524014336916</v>
      </c>
    </row>
    <row r="46" spans="1:9" x14ac:dyDescent="0.25">
      <c r="A46" s="58">
        <v>77</v>
      </c>
      <c r="B46" s="68">
        <v>30.326086956521738</v>
      </c>
      <c r="C46" s="54">
        <v>-1136517</v>
      </c>
      <c r="D46" s="69">
        <v>-37476.546236559137</v>
      </c>
      <c r="F46" s="58">
        <v>37</v>
      </c>
      <c r="G46" s="68">
        <v>33.41317365269461</v>
      </c>
      <c r="H46" s="54">
        <v>-1231599</v>
      </c>
      <c r="I46" s="69">
        <v>-36859.683333333334</v>
      </c>
    </row>
    <row r="47" spans="1:9" x14ac:dyDescent="0.25">
      <c r="A47" s="58">
        <v>94</v>
      </c>
      <c r="B47" s="68">
        <v>30.326086956521738</v>
      </c>
      <c r="C47" s="54">
        <v>-1189690</v>
      </c>
      <c r="D47" s="69">
        <v>-39229.921146953406</v>
      </c>
      <c r="F47" s="58">
        <v>80</v>
      </c>
      <c r="G47" s="68">
        <v>33.41317365269461</v>
      </c>
      <c r="H47" s="54">
        <v>-1261366</v>
      </c>
      <c r="I47" s="69">
        <v>-37750.559498207884</v>
      </c>
    </row>
    <row r="48" spans="1:9" x14ac:dyDescent="0.25">
      <c r="A48" s="50">
        <v>32</v>
      </c>
      <c r="B48" s="70">
        <v>30.326086956521738</v>
      </c>
      <c r="C48" s="51">
        <v>-1238968</v>
      </c>
      <c r="D48" s="71">
        <v>-40854.858781362011</v>
      </c>
      <c r="E48">
        <v>0</v>
      </c>
      <c r="F48" s="58">
        <v>52</v>
      </c>
      <c r="G48" s="68">
        <v>33.41317365269461</v>
      </c>
      <c r="H48" s="54">
        <v>-1306284</v>
      </c>
      <c r="I48" s="69">
        <v>-39094.879569892473</v>
      </c>
    </row>
    <row r="49" spans="1:10" x14ac:dyDescent="0.25">
      <c r="A49" s="58">
        <v>36</v>
      </c>
      <c r="B49" s="68">
        <v>30.326086956521738</v>
      </c>
      <c r="C49" s="54">
        <v>-1281241</v>
      </c>
      <c r="D49" s="69">
        <v>-42248.807168458785</v>
      </c>
      <c r="F49" s="58">
        <v>38</v>
      </c>
      <c r="G49" s="68">
        <v>33.41317365269461</v>
      </c>
      <c r="H49" s="54">
        <v>-1308829</v>
      </c>
      <c r="I49" s="69">
        <v>-39171.047132616492</v>
      </c>
    </row>
    <row r="50" spans="1:10" x14ac:dyDescent="0.25">
      <c r="A50" s="50">
        <v>29</v>
      </c>
      <c r="B50" s="70">
        <v>30.326086956521738</v>
      </c>
      <c r="C50" s="51">
        <v>-1329121</v>
      </c>
      <c r="D50" s="71">
        <v>-43827.645878136202</v>
      </c>
      <c r="E50">
        <v>0</v>
      </c>
      <c r="F50" s="52">
        <v>46</v>
      </c>
      <c r="G50" s="72">
        <v>33.41317365269461</v>
      </c>
      <c r="H50" s="53">
        <v>-1311822</v>
      </c>
      <c r="I50" s="73">
        <v>-39260.622580645162</v>
      </c>
      <c r="J50">
        <v>0</v>
      </c>
    </row>
    <row r="51" spans="1:10" x14ac:dyDescent="0.25">
      <c r="A51" s="58">
        <v>80</v>
      </c>
      <c r="B51" s="68">
        <v>30.326086956521738</v>
      </c>
      <c r="C51" s="54">
        <v>-1382584</v>
      </c>
      <c r="D51" s="69">
        <v>-45590.583512544807</v>
      </c>
      <c r="F51" s="58">
        <v>53</v>
      </c>
      <c r="G51" s="68">
        <v>33.41317365269461</v>
      </c>
      <c r="H51" s="54">
        <v>-1316172</v>
      </c>
      <c r="I51" s="69">
        <v>-39390.810752688172</v>
      </c>
    </row>
    <row r="52" spans="1:10" x14ac:dyDescent="0.25">
      <c r="A52" s="58">
        <v>38</v>
      </c>
      <c r="B52" s="68">
        <v>30.326086956521738</v>
      </c>
      <c r="C52" s="54">
        <v>-1454904</v>
      </c>
      <c r="D52" s="69">
        <v>-47975.329032258065</v>
      </c>
      <c r="F52" s="58">
        <v>87</v>
      </c>
      <c r="G52" s="68">
        <v>33.41317365269461</v>
      </c>
      <c r="H52" s="54">
        <v>-1394051</v>
      </c>
      <c r="I52" s="69">
        <v>-41721.598028673834</v>
      </c>
    </row>
    <row r="53" spans="1:10" x14ac:dyDescent="0.25">
      <c r="A53" s="58">
        <v>96</v>
      </c>
      <c r="B53" s="68">
        <v>30.326086956521738</v>
      </c>
      <c r="C53" s="54">
        <v>-1495940</v>
      </c>
      <c r="D53" s="69">
        <v>-49328.487455197137</v>
      </c>
      <c r="F53" s="58">
        <v>36</v>
      </c>
      <c r="G53" s="68">
        <v>33.41317365269461</v>
      </c>
      <c r="H53" s="54">
        <v>-1395762</v>
      </c>
      <c r="I53" s="69">
        <v>-41772.805376344084</v>
      </c>
    </row>
    <row r="54" spans="1:10" x14ac:dyDescent="0.25">
      <c r="A54" s="58">
        <v>76</v>
      </c>
      <c r="B54" s="68">
        <v>30.326086956521738</v>
      </c>
      <c r="C54" s="54">
        <v>-1505954</v>
      </c>
      <c r="D54" s="69">
        <v>-49658.698207885303</v>
      </c>
      <c r="F54" s="58">
        <v>42</v>
      </c>
      <c r="G54" s="68">
        <v>33.41317365269461</v>
      </c>
      <c r="H54" s="54">
        <v>-1449513</v>
      </c>
      <c r="I54" s="69">
        <v>-43381.48225806452</v>
      </c>
    </row>
    <row r="55" spans="1:10" x14ac:dyDescent="0.25">
      <c r="A55" s="58">
        <v>52</v>
      </c>
      <c r="B55" s="68">
        <v>30.326086956521738</v>
      </c>
      <c r="C55" s="54">
        <v>-1572435</v>
      </c>
      <c r="D55" s="69">
        <v>-51850.903225806454</v>
      </c>
      <c r="F55" s="58">
        <v>28</v>
      </c>
      <c r="G55" s="68">
        <v>33.41317365269461</v>
      </c>
      <c r="H55" s="54">
        <v>-1475625</v>
      </c>
      <c r="I55" s="69">
        <v>-44162.970430107525</v>
      </c>
    </row>
    <row r="56" spans="1:10" x14ac:dyDescent="0.25">
      <c r="A56" s="58">
        <v>100</v>
      </c>
      <c r="B56" s="68">
        <v>30.326086956521738</v>
      </c>
      <c r="C56" s="54">
        <v>-1597710</v>
      </c>
      <c r="D56" s="69">
        <v>-52684.344086021505</v>
      </c>
      <c r="F56" s="50">
        <v>83</v>
      </c>
      <c r="G56" s="70">
        <v>33.41317365269461</v>
      </c>
      <c r="H56" s="51">
        <v>-1533913</v>
      </c>
      <c r="I56" s="71">
        <v>-45907.432078853046</v>
      </c>
    </row>
    <row r="57" spans="1:10" x14ac:dyDescent="0.25">
      <c r="A57" s="58">
        <v>51</v>
      </c>
      <c r="B57" s="68">
        <v>30.326086956521738</v>
      </c>
      <c r="C57" s="54">
        <v>-1602000</v>
      </c>
      <c r="D57" s="69">
        <v>-52825.806451612902</v>
      </c>
      <c r="F57" s="58">
        <v>77</v>
      </c>
      <c r="G57" s="68">
        <v>33.41317365269461</v>
      </c>
      <c r="H57" s="54">
        <v>-1545855</v>
      </c>
      <c r="I57" s="69">
        <v>-46264.836021505376</v>
      </c>
    </row>
  </sheetData>
  <mergeCells count="2">
    <mergeCell ref="A1:D1"/>
    <mergeCell ref="F1:I1"/>
  </mergeCell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F77E58-F438-4273-85B0-32A5585287A4}">
  <sheetPr codeName="Sheet22"/>
  <dimension ref="A1:T348"/>
  <sheetViews>
    <sheetView zoomScale="70" zoomScaleNormal="70" workbookViewId="0">
      <pane ySplit="9" topLeftCell="A10" activePane="bottomLeft" state="frozen"/>
      <selection pane="bottomLeft" activeCell="S18" sqref="S18"/>
    </sheetView>
  </sheetViews>
  <sheetFormatPr baseColWidth="10" defaultColWidth="9.140625" defaultRowHeight="15" x14ac:dyDescent="0.25"/>
  <cols>
    <col min="2" max="2" width="11.85546875" bestFit="1" customWidth="1"/>
    <col min="3" max="3" width="13.85546875" customWidth="1"/>
    <col min="4" max="4" width="14.5703125" customWidth="1"/>
    <col min="5" max="8" width="14.5703125" bestFit="1" customWidth="1"/>
    <col min="9" max="9" width="11.42578125" bestFit="1" customWidth="1"/>
    <col min="10" max="10" width="12.140625" bestFit="1" customWidth="1"/>
    <col min="12" max="12" width="11.85546875" bestFit="1" customWidth="1"/>
    <col min="13" max="13" width="13.85546875" bestFit="1" customWidth="1"/>
    <col min="14" max="14" width="12.7109375" bestFit="1" customWidth="1"/>
    <col min="15" max="15" width="8.7109375" customWidth="1"/>
    <col min="18" max="18" width="13.85546875" bestFit="1" customWidth="1"/>
    <col min="19" max="19" width="11.5703125" bestFit="1" customWidth="1"/>
    <col min="20" max="20" width="12.42578125" bestFit="1" customWidth="1"/>
    <col min="22" max="23" width="14.5703125" bestFit="1" customWidth="1"/>
    <col min="24" max="24" width="15.85546875" bestFit="1" customWidth="1"/>
    <col min="26" max="26" width="15.85546875" bestFit="1" customWidth="1"/>
  </cols>
  <sheetData>
    <row r="1" spans="1:20" ht="15.75" thickBot="1" x14ac:dyDescent="0.3">
      <c r="C1" s="1" t="s">
        <v>0</v>
      </c>
      <c r="D1" s="2" t="s">
        <v>1</v>
      </c>
      <c r="E1" s="1" t="s">
        <v>2</v>
      </c>
      <c r="F1" s="2" t="s">
        <v>3</v>
      </c>
      <c r="G1" s="63" t="s">
        <v>4</v>
      </c>
      <c r="H1" s="81" t="s">
        <v>24</v>
      </c>
      <c r="I1" s="66" t="s">
        <v>5</v>
      </c>
      <c r="J1" s="3">
        <v>368</v>
      </c>
      <c r="M1" s="1" t="s">
        <v>5</v>
      </c>
      <c r="N1" s="4" t="s">
        <v>6</v>
      </c>
      <c r="P1" t="s">
        <v>0</v>
      </c>
      <c r="Q1">
        <f>SUM(E10:E54)</f>
        <v>11</v>
      </c>
      <c r="R1" t="s">
        <v>2</v>
      </c>
      <c r="S1">
        <f>(M3/M2)*Q1</f>
        <v>7.3333333333333339</v>
      </c>
      <c r="T1">
        <f>S1-7</f>
        <v>0.33333333333333393</v>
      </c>
    </row>
    <row r="2" spans="1:20" ht="15.75" thickBot="1" x14ac:dyDescent="0.3">
      <c r="B2" s="5" t="s">
        <v>7</v>
      </c>
      <c r="C2" s="6">
        <f>SUMPRODUCT(C10:C118,E10:E118)</f>
        <v>5960701</v>
      </c>
      <c r="D2" s="7">
        <f>SUMPRODUCT(H10:H118,J10:J118)</f>
        <v>1663062</v>
      </c>
      <c r="E2" s="6">
        <f>SUMPRODUCT(M10:M348,O10:O348)</f>
        <v>5488532.666666667</v>
      </c>
      <c r="F2" s="7">
        <f>SUMPRODUCT(R10:R348,T10:T348)</f>
        <v>4903544</v>
      </c>
      <c r="G2" s="64">
        <f>C2+D2+E2+F2</f>
        <v>18015839.666666668</v>
      </c>
      <c r="H2" s="82">
        <v>24786935</v>
      </c>
      <c r="I2" s="67" t="s">
        <v>6</v>
      </c>
      <c r="J2" s="8">
        <v>334</v>
      </c>
      <c r="L2" s="5" t="s">
        <v>8</v>
      </c>
      <c r="M2" s="9">
        <v>0.6</v>
      </c>
      <c r="N2" s="10">
        <v>0.25</v>
      </c>
      <c r="P2" t="s">
        <v>3</v>
      </c>
      <c r="Q2">
        <f>SUM(T10:T64)</f>
        <v>7.0000000000000009</v>
      </c>
      <c r="R2" t="s">
        <v>1</v>
      </c>
      <c r="S2">
        <f>(N2/N3)*Q2</f>
        <v>2.3333333333333335</v>
      </c>
      <c r="T2">
        <f>S2-2</f>
        <v>0.33333333333333348</v>
      </c>
    </row>
    <row r="3" spans="1:20" ht="15.75" thickBot="1" x14ac:dyDescent="0.3">
      <c r="B3" s="11" t="s">
        <v>9</v>
      </c>
      <c r="C3" s="12">
        <f>SUMPRODUCT(B10:B118,E10:E118)</f>
        <v>333.58695652173918</v>
      </c>
      <c r="D3" s="13">
        <f>SUMPRODUCT(G10:G118,J10:J118)</f>
        <v>77.964071856287433</v>
      </c>
      <c r="E3" s="12">
        <f>SUMPRODUCT(L10:L348,O10:O348)</f>
        <v>222.39130434782612</v>
      </c>
      <c r="F3" s="13">
        <f>SUMPRODUCT(Q10:Q348,T10:T348)</f>
        <v>233.8922155688623</v>
      </c>
      <c r="G3" s="65">
        <f>SUM(C3:F3)</f>
        <v>867.83454829471509</v>
      </c>
      <c r="H3" s="80">
        <f>(H2-G2)/G2</f>
        <v>0.37584122964090166</v>
      </c>
      <c r="I3" s="67" t="s">
        <v>10</v>
      </c>
      <c r="J3" s="8">
        <f>11160</f>
        <v>11160</v>
      </c>
      <c r="L3" s="14" t="s">
        <v>11</v>
      </c>
      <c r="M3" s="15">
        <v>0.4</v>
      </c>
      <c r="N3" s="16">
        <v>0.75</v>
      </c>
      <c r="P3" t="s">
        <v>0</v>
      </c>
      <c r="Q3">
        <v>1</v>
      </c>
      <c r="R3" t="s">
        <v>2</v>
      </c>
      <c r="S3">
        <f>(M3/M2)*Q3</f>
        <v>0.66666666666666674</v>
      </c>
    </row>
    <row r="4" spans="1:20" ht="15.75" thickBot="1" x14ac:dyDescent="0.3">
      <c r="B4" s="14" t="s">
        <v>12</v>
      </c>
      <c r="C4" s="17">
        <f>SUM(E10:E118)*J3</f>
        <v>122760</v>
      </c>
      <c r="D4" s="18">
        <f>SUM(J10:J118)*J3</f>
        <v>26040</v>
      </c>
      <c r="E4" s="17">
        <f>SUM(O10:O348)*J3</f>
        <v>81840</v>
      </c>
      <c r="F4" s="18">
        <f>SUM(T10:T348)*J3</f>
        <v>78120.000000000015</v>
      </c>
      <c r="G4" s="19">
        <f>SUM(C4:F4)</f>
        <v>308760</v>
      </c>
      <c r="H4" s="20"/>
      <c r="I4" s="21" t="s">
        <v>13</v>
      </c>
      <c r="J4" s="22">
        <v>100000</v>
      </c>
      <c r="L4" s="5" t="s">
        <v>14</v>
      </c>
      <c r="M4" s="76">
        <f>C4/(C4+E4)</f>
        <v>0.6</v>
      </c>
      <c r="N4" s="77">
        <f>D4/(D4+F4)</f>
        <v>0.24999999999999997</v>
      </c>
      <c r="O4" s="23"/>
      <c r="P4" t="s">
        <v>3</v>
      </c>
      <c r="Q4">
        <v>1</v>
      </c>
      <c r="R4" t="s">
        <v>1</v>
      </c>
      <c r="S4">
        <f>(N2/N3)*Q4</f>
        <v>0.33333333333333331</v>
      </c>
    </row>
    <row r="5" spans="1:20" ht="15.75" thickBot="1" x14ac:dyDescent="0.3">
      <c r="B5" s="24" t="s">
        <v>15</v>
      </c>
      <c r="C5" s="25">
        <v>217620</v>
      </c>
      <c r="D5" s="26">
        <v>74400</v>
      </c>
      <c r="E5" s="27">
        <v>145080</v>
      </c>
      <c r="F5" s="26">
        <v>223200</v>
      </c>
      <c r="G5" s="28">
        <f>SUM(C5:F5)</f>
        <v>660300</v>
      </c>
      <c r="H5" s="20"/>
      <c r="I5" s="20"/>
      <c r="L5" s="29" t="s">
        <v>16</v>
      </c>
      <c r="M5" s="78">
        <f>E4/(C4+E4)</f>
        <v>0.4</v>
      </c>
      <c r="N5" s="79">
        <f>F4/(D4+F4)</f>
        <v>0.75</v>
      </c>
      <c r="O5" s="23"/>
      <c r="P5" t="s">
        <v>0</v>
      </c>
      <c r="Q5">
        <v>4892.7842293906815</v>
      </c>
      <c r="R5" t="s">
        <v>2</v>
      </c>
      <c r="S5">
        <v>17178.741218637992</v>
      </c>
      <c r="T5">
        <f>Q5*Q3+S5*S3</f>
        <v>16345.278375149344</v>
      </c>
    </row>
    <row r="6" spans="1:20" ht="15.75" thickBot="1" x14ac:dyDescent="0.3">
      <c r="B6" s="24" t="s">
        <v>17</v>
      </c>
      <c r="C6" s="27">
        <f>C5-C4</f>
        <v>94860</v>
      </c>
      <c r="D6" s="30">
        <f>D5-D4</f>
        <v>48360</v>
      </c>
      <c r="E6" s="27">
        <f>E5-E4</f>
        <v>63240</v>
      </c>
      <c r="F6" s="30">
        <f>F5-F4</f>
        <v>145080</v>
      </c>
      <c r="H6" s="20">
        <v>17981368</v>
      </c>
      <c r="I6" s="20"/>
      <c r="J6" s="62"/>
      <c r="N6" s="23"/>
      <c r="O6" s="23"/>
      <c r="P6" t="s">
        <v>3</v>
      </c>
      <c r="Q6">
        <v>13971.106272401434</v>
      </c>
      <c r="R6" t="s">
        <v>1</v>
      </c>
      <c r="S6">
        <v>18763.617204301077</v>
      </c>
      <c r="T6">
        <f>Q6*Q4+S6*S4</f>
        <v>20225.645340501793</v>
      </c>
    </row>
    <row r="7" spans="1:20" ht="15.75" thickBot="1" x14ac:dyDescent="0.3"/>
    <row r="8" spans="1:20" ht="15.75" thickBot="1" x14ac:dyDescent="0.3">
      <c r="A8" s="113" t="s">
        <v>18</v>
      </c>
      <c r="B8" s="114"/>
      <c r="C8" s="114"/>
      <c r="D8" s="115"/>
      <c r="E8" s="31"/>
      <c r="F8" s="113" t="s">
        <v>19</v>
      </c>
      <c r="G8" s="114"/>
      <c r="H8" s="114"/>
      <c r="I8" s="115"/>
      <c r="J8" s="31"/>
      <c r="K8" s="113" t="s">
        <v>20</v>
      </c>
      <c r="L8" s="114"/>
      <c r="M8" s="114"/>
      <c r="N8" s="115"/>
      <c r="O8" s="31"/>
      <c r="P8" s="113" t="s">
        <v>21</v>
      </c>
      <c r="Q8" s="114"/>
      <c r="R8" s="114"/>
      <c r="S8" s="115"/>
    </row>
    <row r="9" spans="1:20" ht="15.75" thickBot="1" x14ac:dyDescent="0.3">
      <c r="A9" s="32" t="s">
        <v>22</v>
      </c>
      <c r="B9" s="33" t="s">
        <v>9</v>
      </c>
      <c r="C9" s="33" t="s">
        <v>7</v>
      </c>
      <c r="D9" s="34" t="s">
        <v>23</v>
      </c>
      <c r="E9" s="31"/>
      <c r="F9" s="32" t="s">
        <v>22</v>
      </c>
      <c r="G9" s="33" t="s">
        <v>9</v>
      </c>
      <c r="H9" s="33" t="s">
        <v>7</v>
      </c>
      <c r="I9" s="34" t="s">
        <v>23</v>
      </c>
      <c r="J9" s="31"/>
      <c r="K9" s="32" t="s">
        <v>22</v>
      </c>
      <c r="L9" s="33" t="s">
        <v>9</v>
      </c>
      <c r="M9" s="33" t="s">
        <v>7</v>
      </c>
      <c r="N9" s="34" t="s">
        <v>23</v>
      </c>
      <c r="O9" s="31"/>
      <c r="P9" s="35" t="s">
        <v>22</v>
      </c>
      <c r="Q9" s="36" t="s">
        <v>9</v>
      </c>
      <c r="R9" s="36" t="s">
        <v>7</v>
      </c>
      <c r="S9" s="37" t="s">
        <v>23</v>
      </c>
    </row>
    <row r="10" spans="1:20" x14ac:dyDescent="0.25">
      <c r="A10" s="38">
        <v>15</v>
      </c>
      <c r="B10" s="39">
        <f>$J$3/$J$1</f>
        <v>30.326086956521738</v>
      </c>
      <c r="C10" s="40">
        <v>823261</v>
      </c>
      <c r="D10" s="41">
        <f>C10/B10</f>
        <v>27146.957706093192</v>
      </c>
      <c r="E10">
        <v>1</v>
      </c>
      <c r="F10" s="74">
        <v>9</v>
      </c>
      <c r="G10" s="70">
        <f>$J$3/$J$2</f>
        <v>33.41317365269461</v>
      </c>
      <c r="H10" s="75">
        <v>839159</v>
      </c>
      <c r="I10" s="71">
        <f>H10/G10</f>
        <v>25114.615232974909</v>
      </c>
      <c r="J10">
        <v>0</v>
      </c>
      <c r="K10" s="38">
        <v>99</v>
      </c>
      <c r="L10" s="39">
        <f>$J$3/$J$1</f>
        <v>30.326086956521738</v>
      </c>
      <c r="M10" s="40">
        <v>891762</v>
      </c>
      <c r="N10" s="41">
        <f>M10/L10</f>
        <v>29405.772043010755</v>
      </c>
      <c r="O10">
        <v>1</v>
      </c>
      <c r="P10" s="42">
        <v>31</v>
      </c>
      <c r="Q10" s="43">
        <f>$J$3/$J$2</f>
        <v>33.41317365269461</v>
      </c>
      <c r="R10" s="44">
        <v>828146</v>
      </c>
      <c r="S10" s="45">
        <f>R10/Q10</f>
        <v>24785.014695340502</v>
      </c>
      <c r="T10">
        <v>1</v>
      </c>
    </row>
    <row r="11" spans="1:20" x14ac:dyDescent="0.25">
      <c r="A11" s="46">
        <v>4</v>
      </c>
      <c r="B11" s="39">
        <f t="shared" ref="B11:B54" si="0">$J$3/$J$1</f>
        <v>30.326086956521738</v>
      </c>
      <c r="C11" s="47">
        <v>748702</v>
      </c>
      <c r="D11" s="41">
        <f t="shared" ref="D11:D54" si="1">C11/B11</f>
        <v>24688.381362007171</v>
      </c>
      <c r="E11">
        <v>1</v>
      </c>
      <c r="F11" s="48">
        <v>1</v>
      </c>
      <c r="G11" s="43">
        <f t="shared" ref="G11:G54" si="2">$J$3/$J$2</f>
        <v>33.41317365269461</v>
      </c>
      <c r="H11" s="49">
        <v>816679</v>
      </c>
      <c r="I11" s="45">
        <f t="shared" ref="I11:I54" si="3">H11/G11</f>
        <v>24441.826702508963</v>
      </c>
      <c r="J11">
        <v>1</v>
      </c>
      <c r="K11" s="46">
        <v>22</v>
      </c>
      <c r="L11" s="39">
        <f t="shared" ref="L11:L64" si="4">$J$3/$J$1</f>
        <v>30.326086956521738</v>
      </c>
      <c r="M11" s="47">
        <v>787867</v>
      </c>
      <c r="N11" s="41">
        <f t="shared" ref="N11:N64" si="5">M11/L11</f>
        <v>25979.843727598567</v>
      </c>
      <c r="O11">
        <v>1</v>
      </c>
      <c r="P11" s="48">
        <v>95</v>
      </c>
      <c r="Q11" s="43">
        <f t="shared" ref="Q11:Q64" si="6">$J$3/$J$2</f>
        <v>33.41317365269461</v>
      </c>
      <c r="R11" s="49">
        <v>778683</v>
      </c>
      <c r="S11" s="45">
        <f t="shared" ref="S11:S64" si="7">R11/Q11</f>
        <v>23304.670430107526</v>
      </c>
      <c r="T11">
        <v>1</v>
      </c>
    </row>
    <row r="12" spans="1:20" x14ac:dyDescent="0.25">
      <c r="A12" s="46">
        <v>75</v>
      </c>
      <c r="B12" s="39">
        <f t="shared" si="0"/>
        <v>30.326086956521738</v>
      </c>
      <c r="C12" s="47">
        <v>700923</v>
      </c>
      <c r="D12" s="41">
        <f t="shared" si="1"/>
        <v>23112.873118279571</v>
      </c>
      <c r="E12">
        <v>1</v>
      </c>
      <c r="F12" s="48">
        <v>3</v>
      </c>
      <c r="G12" s="43">
        <f t="shared" si="2"/>
        <v>33.41317365269461</v>
      </c>
      <c r="H12" s="49">
        <v>637399</v>
      </c>
      <c r="I12" s="45">
        <f t="shared" si="3"/>
        <v>19076.278315412186</v>
      </c>
      <c r="J12">
        <v>1</v>
      </c>
      <c r="K12" s="46">
        <v>83</v>
      </c>
      <c r="L12" s="39">
        <f t="shared" si="4"/>
        <v>30.326086956521738</v>
      </c>
      <c r="M12" s="47">
        <v>776669</v>
      </c>
      <c r="N12" s="41">
        <f t="shared" si="5"/>
        <v>25610.590681003585</v>
      </c>
      <c r="O12">
        <v>1</v>
      </c>
      <c r="P12" s="48">
        <v>32</v>
      </c>
      <c r="Q12" s="43">
        <f t="shared" si="6"/>
        <v>33.41317365269461</v>
      </c>
      <c r="R12" s="49">
        <v>742165</v>
      </c>
      <c r="S12" s="45">
        <f t="shared" si="7"/>
        <v>22211.748207885306</v>
      </c>
      <c r="T12">
        <v>1</v>
      </c>
    </row>
    <row r="13" spans="1:20" x14ac:dyDescent="0.25">
      <c r="A13" s="46">
        <v>61</v>
      </c>
      <c r="B13" s="39">
        <f t="shared" si="0"/>
        <v>30.326086956521738</v>
      </c>
      <c r="C13" s="47">
        <v>594344</v>
      </c>
      <c r="D13" s="41">
        <f t="shared" si="1"/>
        <v>19598.440143369175</v>
      </c>
      <c r="E13">
        <v>1</v>
      </c>
      <c r="F13" s="52">
        <v>89</v>
      </c>
      <c r="G13" s="72">
        <f t="shared" si="2"/>
        <v>33.41317365269461</v>
      </c>
      <c r="H13" s="53">
        <v>626952</v>
      </c>
      <c r="I13" s="73">
        <f t="shared" si="3"/>
        <v>18763.617204301077</v>
      </c>
      <c r="J13">
        <v>0.33333333333333348</v>
      </c>
      <c r="K13" s="46">
        <v>57</v>
      </c>
      <c r="L13" s="39">
        <f t="shared" si="4"/>
        <v>30.326086956521738</v>
      </c>
      <c r="M13" s="47">
        <v>764937</v>
      </c>
      <c r="N13" s="41">
        <f t="shared" si="5"/>
        <v>25223.729032258067</v>
      </c>
      <c r="O13">
        <v>1</v>
      </c>
      <c r="P13" s="48">
        <v>86</v>
      </c>
      <c r="Q13" s="43">
        <f t="shared" si="6"/>
        <v>33.41317365269461</v>
      </c>
      <c r="R13" s="49">
        <v>708838</v>
      </c>
      <c r="S13" s="45">
        <f t="shared" si="7"/>
        <v>21214.327240143371</v>
      </c>
      <c r="T13">
        <v>1</v>
      </c>
    </row>
    <row r="14" spans="1:20" x14ac:dyDescent="0.25">
      <c r="A14" s="46">
        <v>2</v>
      </c>
      <c r="B14" s="39">
        <f t="shared" si="0"/>
        <v>30.326086956521738</v>
      </c>
      <c r="C14" s="47">
        <v>573963</v>
      </c>
      <c r="D14" s="41">
        <f t="shared" si="1"/>
        <v>18926.378494623656</v>
      </c>
      <c r="E14">
        <v>1</v>
      </c>
      <c r="F14" s="58">
        <v>74</v>
      </c>
      <c r="G14" s="68">
        <f t="shared" si="2"/>
        <v>33.41317365269461</v>
      </c>
      <c r="H14" s="54">
        <v>528188</v>
      </c>
      <c r="I14" s="69">
        <f t="shared" si="3"/>
        <v>15807.7770609319</v>
      </c>
      <c r="K14" s="46">
        <v>33</v>
      </c>
      <c r="L14" s="39">
        <f t="shared" si="4"/>
        <v>30.326086956521738</v>
      </c>
      <c r="M14" s="47">
        <v>739492</v>
      </c>
      <c r="N14" s="41">
        <f t="shared" si="5"/>
        <v>24384.682437275987</v>
      </c>
      <c r="O14">
        <v>1</v>
      </c>
      <c r="P14" s="48">
        <v>44</v>
      </c>
      <c r="Q14" s="43">
        <f t="shared" si="6"/>
        <v>33.41317365269461</v>
      </c>
      <c r="R14" s="49">
        <v>644475</v>
      </c>
      <c r="S14" s="45">
        <f t="shared" si="7"/>
        <v>19288.051075268817</v>
      </c>
      <c r="T14">
        <v>1</v>
      </c>
    </row>
    <row r="15" spans="1:20" x14ac:dyDescent="0.25">
      <c r="A15" s="46">
        <v>66</v>
      </c>
      <c r="B15" s="39">
        <f t="shared" si="0"/>
        <v>30.326086956521738</v>
      </c>
      <c r="C15" s="47">
        <v>543888</v>
      </c>
      <c r="D15" s="41">
        <f t="shared" si="1"/>
        <v>17934.65806451613</v>
      </c>
      <c r="E15">
        <v>1</v>
      </c>
      <c r="F15" s="58">
        <v>7</v>
      </c>
      <c r="G15" s="68">
        <f t="shared" si="2"/>
        <v>33.41317365269461</v>
      </c>
      <c r="H15" s="54">
        <v>517706</v>
      </c>
      <c r="I15" s="69">
        <f t="shared" si="3"/>
        <v>15494.068458781363</v>
      </c>
      <c r="K15" s="46">
        <v>34</v>
      </c>
      <c r="L15" s="39">
        <f t="shared" si="4"/>
        <v>30.326086956521738</v>
      </c>
      <c r="M15" s="47">
        <v>706466</v>
      </c>
      <c r="N15" s="41">
        <f t="shared" si="5"/>
        <v>23295.653046594984</v>
      </c>
      <c r="O15">
        <v>1</v>
      </c>
      <c r="P15" s="48">
        <v>43</v>
      </c>
      <c r="Q15" s="43">
        <f t="shared" si="6"/>
        <v>33.41317365269461</v>
      </c>
      <c r="R15" s="49">
        <v>600711</v>
      </c>
      <c r="S15" s="45">
        <f t="shared" si="7"/>
        <v>17978.268279569893</v>
      </c>
      <c r="T15">
        <v>1.0000000000000007</v>
      </c>
    </row>
    <row r="16" spans="1:20" x14ac:dyDescent="0.25">
      <c r="A16" s="46">
        <v>9</v>
      </c>
      <c r="B16" s="39">
        <f t="shared" si="0"/>
        <v>30.326086956521738</v>
      </c>
      <c r="C16" s="47">
        <v>458407</v>
      </c>
      <c r="D16" s="41">
        <f t="shared" si="1"/>
        <v>15115.929749103943</v>
      </c>
      <c r="E16">
        <v>1</v>
      </c>
      <c r="F16" s="58">
        <v>16</v>
      </c>
      <c r="G16" s="68">
        <f t="shared" si="2"/>
        <v>33.41317365269461</v>
      </c>
      <c r="H16" s="54">
        <v>471825</v>
      </c>
      <c r="I16" s="69">
        <f t="shared" si="3"/>
        <v>14120.927419354839</v>
      </c>
      <c r="K16" s="50">
        <v>54</v>
      </c>
      <c r="L16" s="70">
        <f t="shared" si="4"/>
        <v>30.326086956521738</v>
      </c>
      <c r="M16" s="51">
        <v>704680</v>
      </c>
      <c r="N16" s="71">
        <f t="shared" si="5"/>
        <v>23236.759856630826</v>
      </c>
      <c r="O16">
        <v>0</v>
      </c>
      <c r="P16" s="48">
        <v>54</v>
      </c>
      <c r="Q16" s="43">
        <f t="shared" si="6"/>
        <v>33.41317365269461</v>
      </c>
      <c r="R16" s="49">
        <v>600526</v>
      </c>
      <c r="S16" s="45">
        <f t="shared" si="7"/>
        <v>17972.73154121864</v>
      </c>
      <c r="T16">
        <v>1</v>
      </c>
    </row>
    <row r="17" spans="1:20" x14ac:dyDescent="0.25">
      <c r="A17" s="46">
        <v>6</v>
      </c>
      <c r="B17" s="39">
        <f t="shared" si="0"/>
        <v>30.326086956521738</v>
      </c>
      <c r="C17" s="47">
        <v>413342</v>
      </c>
      <c r="D17" s="41">
        <f t="shared" si="1"/>
        <v>13629.915412186379</v>
      </c>
      <c r="E17">
        <v>1</v>
      </c>
      <c r="F17" s="58">
        <v>20</v>
      </c>
      <c r="G17" s="68">
        <f t="shared" si="2"/>
        <v>33.41317365269461</v>
      </c>
      <c r="H17" s="54">
        <v>465526</v>
      </c>
      <c r="I17" s="69">
        <f t="shared" si="3"/>
        <v>13932.408960573477</v>
      </c>
      <c r="K17" s="46">
        <v>46</v>
      </c>
      <c r="L17" s="39">
        <f t="shared" si="4"/>
        <v>30.326086956521738</v>
      </c>
      <c r="M17" s="47">
        <v>647685</v>
      </c>
      <c r="N17" s="41">
        <f t="shared" si="5"/>
        <v>21357.354838709678</v>
      </c>
      <c r="O17">
        <v>1</v>
      </c>
      <c r="P17" s="50">
        <v>33</v>
      </c>
      <c r="Q17" s="70">
        <f t="shared" si="6"/>
        <v>33.41317365269461</v>
      </c>
      <c r="R17" s="51">
        <v>533105</v>
      </c>
      <c r="S17" s="71">
        <f t="shared" si="7"/>
        <v>15954.934587813621</v>
      </c>
      <c r="T17">
        <v>0</v>
      </c>
    </row>
    <row r="18" spans="1:20" x14ac:dyDescent="0.25">
      <c r="A18" s="46">
        <v>90</v>
      </c>
      <c r="B18" s="39">
        <f t="shared" si="0"/>
        <v>30.326086956521738</v>
      </c>
      <c r="C18" s="47">
        <v>390167</v>
      </c>
      <c r="D18" s="41">
        <f t="shared" si="1"/>
        <v>12865.721863799283</v>
      </c>
      <c r="E18">
        <v>1</v>
      </c>
      <c r="F18" s="58">
        <v>71</v>
      </c>
      <c r="G18" s="68">
        <f t="shared" si="2"/>
        <v>33.41317365269461</v>
      </c>
      <c r="H18" s="54">
        <v>459240</v>
      </c>
      <c r="I18" s="69">
        <f t="shared" si="3"/>
        <v>13744.279569892473</v>
      </c>
      <c r="K18" s="52">
        <v>35</v>
      </c>
      <c r="L18" s="72">
        <f t="shared" si="4"/>
        <v>30.326086956521738</v>
      </c>
      <c r="M18" s="53">
        <v>520964</v>
      </c>
      <c r="N18" s="73">
        <f t="shared" si="5"/>
        <v>17178.741218637992</v>
      </c>
      <c r="O18">
        <v>0.33333333333333393</v>
      </c>
      <c r="P18" s="58">
        <v>29</v>
      </c>
      <c r="Q18" s="68">
        <f t="shared" si="6"/>
        <v>33.41317365269461</v>
      </c>
      <c r="R18" s="54">
        <v>466819</v>
      </c>
      <c r="S18" s="69">
        <f t="shared" si="7"/>
        <v>13971.106272401434</v>
      </c>
    </row>
    <row r="19" spans="1:20" x14ac:dyDescent="0.25">
      <c r="A19" s="46">
        <v>10</v>
      </c>
      <c r="B19" s="39">
        <f t="shared" si="0"/>
        <v>30.326086956521738</v>
      </c>
      <c r="C19" s="47">
        <v>374487</v>
      </c>
      <c r="D19" s="41">
        <f t="shared" si="1"/>
        <v>12348.675268817206</v>
      </c>
      <c r="E19">
        <v>1</v>
      </c>
      <c r="F19" s="58">
        <v>73</v>
      </c>
      <c r="G19" s="68">
        <f t="shared" si="2"/>
        <v>33.41317365269461</v>
      </c>
      <c r="H19" s="54">
        <v>435675</v>
      </c>
      <c r="I19" s="69">
        <f t="shared" si="3"/>
        <v>13039.018817204302</v>
      </c>
      <c r="K19" s="58">
        <v>28</v>
      </c>
      <c r="L19" s="68">
        <f t="shared" si="4"/>
        <v>30.326086956521738</v>
      </c>
      <c r="M19" s="54">
        <v>485282</v>
      </c>
      <c r="N19" s="69">
        <f t="shared" si="5"/>
        <v>16002.130465949822</v>
      </c>
      <c r="P19" s="58">
        <v>39</v>
      </c>
      <c r="Q19" s="68">
        <f t="shared" si="6"/>
        <v>33.41317365269461</v>
      </c>
      <c r="R19" s="54">
        <v>443533</v>
      </c>
      <c r="S19" s="69">
        <f t="shared" si="7"/>
        <v>13274.195519713261</v>
      </c>
    </row>
    <row r="20" spans="1:20" x14ac:dyDescent="0.25">
      <c r="A20" s="46">
        <v>72</v>
      </c>
      <c r="B20" s="39">
        <f t="shared" si="0"/>
        <v>30.326086956521738</v>
      </c>
      <c r="C20" s="47">
        <v>339217</v>
      </c>
      <c r="D20" s="41">
        <f t="shared" si="1"/>
        <v>11185.65017921147</v>
      </c>
      <c r="E20">
        <v>1</v>
      </c>
      <c r="F20" s="50">
        <v>4</v>
      </c>
      <c r="G20" s="70">
        <f t="shared" si="2"/>
        <v>33.41317365269461</v>
      </c>
      <c r="H20" s="51">
        <v>435251</v>
      </c>
      <c r="I20" s="71">
        <f t="shared" si="3"/>
        <v>13026.329211469534</v>
      </c>
      <c r="J20">
        <v>0</v>
      </c>
      <c r="K20" s="58">
        <v>25</v>
      </c>
      <c r="L20" s="68">
        <f t="shared" si="4"/>
        <v>30.326086956521738</v>
      </c>
      <c r="M20" s="54">
        <v>428682</v>
      </c>
      <c r="N20" s="69">
        <f t="shared" si="5"/>
        <v>14135.750537634409</v>
      </c>
      <c r="P20" s="58">
        <v>85</v>
      </c>
      <c r="Q20" s="68">
        <f t="shared" si="6"/>
        <v>33.41317365269461</v>
      </c>
      <c r="R20" s="54">
        <v>400656</v>
      </c>
      <c r="S20" s="69">
        <f t="shared" si="7"/>
        <v>11990.959139784947</v>
      </c>
    </row>
    <row r="21" spans="1:20" x14ac:dyDescent="0.25">
      <c r="A21" s="58">
        <v>63</v>
      </c>
      <c r="B21" s="68">
        <f t="shared" si="0"/>
        <v>30.326086956521738</v>
      </c>
      <c r="C21" s="54">
        <v>148379</v>
      </c>
      <c r="D21" s="69">
        <f t="shared" si="1"/>
        <v>4892.7842293906815</v>
      </c>
      <c r="F21" s="58">
        <v>58</v>
      </c>
      <c r="G21" s="68">
        <f t="shared" si="2"/>
        <v>33.41317365269461</v>
      </c>
      <c r="H21" s="54">
        <v>425212</v>
      </c>
      <c r="I21" s="69">
        <f t="shared" si="3"/>
        <v>12725.878853046595</v>
      </c>
      <c r="K21" s="58">
        <v>53</v>
      </c>
      <c r="L21" s="68">
        <f t="shared" si="4"/>
        <v>30.326086956521738</v>
      </c>
      <c r="M21" s="54">
        <v>427876</v>
      </c>
      <c r="N21" s="69">
        <f t="shared" si="5"/>
        <v>14109.17275985663</v>
      </c>
      <c r="P21" s="58">
        <v>51</v>
      </c>
      <c r="Q21" s="68">
        <f t="shared" si="6"/>
        <v>33.41317365269461</v>
      </c>
      <c r="R21" s="54">
        <v>295735</v>
      </c>
      <c r="S21" s="69">
        <f t="shared" si="7"/>
        <v>8850.8503584229402</v>
      </c>
    </row>
    <row r="22" spans="1:20" x14ac:dyDescent="0.25">
      <c r="A22" s="58">
        <v>5</v>
      </c>
      <c r="B22" s="68">
        <f t="shared" si="0"/>
        <v>30.326086956521738</v>
      </c>
      <c r="C22" s="54">
        <v>135603</v>
      </c>
      <c r="D22" s="69">
        <f t="shared" si="1"/>
        <v>4471.4967741935488</v>
      </c>
      <c r="F22" s="58">
        <v>69</v>
      </c>
      <c r="G22" s="68">
        <f t="shared" si="2"/>
        <v>33.41317365269461</v>
      </c>
      <c r="H22" s="54">
        <v>301059</v>
      </c>
      <c r="I22" s="69">
        <f t="shared" si="3"/>
        <v>9010.188709677419</v>
      </c>
      <c r="K22" s="58">
        <v>30</v>
      </c>
      <c r="L22" s="68">
        <f t="shared" si="4"/>
        <v>30.326086956521738</v>
      </c>
      <c r="M22" s="54">
        <v>412457</v>
      </c>
      <c r="N22" s="69">
        <f t="shared" si="5"/>
        <v>13600.732616487456</v>
      </c>
      <c r="P22" s="58">
        <v>84</v>
      </c>
      <c r="Q22" s="68">
        <f t="shared" si="6"/>
        <v>33.41317365269461</v>
      </c>
      <c r="R22" s="54">
        <v>277116</v>
      </c>
      <c r="S22" s="69">
        <f t="shared" si="7"/>
        <v>8293.6150537634403</v>
      </c>
    </row>
    <row r="23" spans="1:20" x14ac:dyDescent="0.25">
      <c r="A23" s="52">
        <v>89</v>
      </c>
      <c r="B23" s="72">
        <f t="shared" si="0"/>
        <v>30.326086956521738</v>
      </c>
      <c r="C23" s="53">
        <v>43767</v>
      </c>
      <c r="D23" s="73">
        <f t="shared" si="1"/>
        <v>1443.2129032258065</v>
      </c>
      <c r="F23" s="58">
        <v>91</v>
      </c>
      <c r="G23" s="68">
        <f t="shared" si="2"/>
        <v>33.41317365269461</v>
      </c>
      <c r="H23" s="54">
        <v>248437</v>
      </c>
      <c r="I23" s="69">
        <f t="shared" si="3"/>
        <v>7435.3008960573479</v>
      </c>
      <c r="K23" s="58">
        <v>45</v>
      </c>
      <c r="L23" s="68">
        <f t="shared" si="4"/>
        <v>30.326086956521738</v>
      </c>
      <c r="M23" s="54">
        <v>411553</v>
      </c>
      <c r="N23" s="69">
        <f t="shared" si="5"/>
        <v>13570.923297491039</v>
      </c>
      <c r="P23" s="58">
        <v>100</v>
      </c>
      <c r="Q23" s="68">
        <f t="shared" si="6"/>
        <v>33.41317365269461</v>
      </c>
      <c r="R23" s="54">
        <v>196154</v>
      </c>
      <c r="S23" s="69">
        <f t="shared" si="7"/>
        <v>5870.5587813620077</v>
      </c>
    </row>
    <row r="24" spans="1:20" x14ac:dyDescent="0.25">
      <c r="A24" s="58">
        <v>8</v>
      </c>
      <c r="B24" s="68">
        <f t="shared" si="0"/>
        <v>30.326086956521738</v>
      </c>
      <c r="C24" s="54">
        <v>-31569</v>
      </c>
      <c r="D24" s="69">
        <f t="shared" si="1"/>
        <v>-1040.9849462365592</v>
      </c>
      <c r="F24" s="50">
        <v>75</v>
      </c>
      <c r="G24" s="70">
        <f t="shared" si="2"/>
        <v>33.41317365269461</v>
      </c>
      <c r="H24" s="51">
        <v>241104</v>
      </c>
      <c r="I24" s="71">
        <f t="shared" si="3"/>
        <v>7215.8365591397851</v>
      </c>
      <c r="J24">
        <v>0</v>
      </c>
      <c r="K24" s="50">
        <v>43</v>
      </c>
      <c r="L24" s="70">
        <f t="shared" si="4"/>
        <v>30.326086956521738</v>
      </c>
      <c r="M24" s="51">
        <v>287718</v>
      </c>
      <c r="N24" s="71">
        <f t="shared" si="5"/>
        <v>9487.4752688172048</v>
      </c>
      <c r="O24">
        <v>0</v>
      </c>
      <c r="P24" s="58">
        <v>56</v>
      </c>
      <c r="Q24" s="68">
        <f t="shared" si="6"/>
        <v>33.41317365269461</v>
      </c>
      <c r="R24" s="54">
        <v>175558</v>
      </c>
      <c r="S24" s="69">
        <f t="shared" si="7"/>
        <v>5254.1551971326162</v>
      </c>
    </row>
    <row r="25" spans="1:20" x14ac:dyDescent="0.25">
      <c r="A25" s="58">
        <v>62</v>
      </c>
      <c r="B25" s="68">
        <f t="shared" si="0"/>
        <v>30.326086956521738</v>
      </c>
      <c r="C25" s="54">
        <v>-50310</v>
      </c>
      <c r="D25" s="69">
        <f t="shared" si="1"/>
        <v>-1658.9677419354839</v>
      </c>
      <c r="F25" s="58">
        <v>21</v>
      </c>
      <c r="G25" s="68">
        <f t="shared" si="2"/>
        <v>33.41317365269461</v>
      </c>
      <c r="H25" s="54">
        <v>182068</v>
      </c>
      <c r="I25" s="69">
        <f t="shared" si="3"/>
        <v>5448.9885304659501</v>
      </c>
      <c r="K25" s="58">
        <v>47</v>
      </c>
      <c r="L25" s="68">
        <f t="shared" si="4"/>
        <v>30.326086956521738</v>
      </c>
      <c r="M25" s="54">
        <v>244892</v>
      </c>
      <c r="N25" s="69">
        <f t="shared" si="5"/>
        <v>8075.2917562724015</v>
      </c>
      <c r="P25" s="58">
        <v>24</v>
      </c>
      <c r="Q25" s="68">
        <f t="shared" si="6"/>
        <v>33.41317365269461</v>
      </c>
      <c r="R25" s="54">
        <v>71007</v>
      </c>
      <c r="S25" s="69">
        <f t="shared" si="7"/>
        <v>2125.1198924731184</v>
      </c>
    </row>
    <row r="26" spans="1:20" x14ac:dyDescent="0.25">
      <c r="A26" s="58">
        <v>20</v>
      </c>
      <c r="B26" s="68">
        <f t="shared" si="0"/>
        <v>30.326086956521738</v>
      </c>
      <c r="C26" s="54">
        <v>-55320</v>
      </c>
      <c r="D26" s="69">
        <f t="shared" si="1"/>
        <v>-1824.1720430107528</v>
      </c>
      <c r="F26" s="58">
        <v>59</v>
      </c>
      <c r="G26" s="68">
        <f t="shared" si="2"/>
        <v>33.41317365269461</v>
      </c>
      <c r="H26" s="54">
        <v>167225</v>
      </c>
      <c r="I26" s="69">
        <f t="shared" si="3"/>
        <v>5004.7625448028675</v>
      </c>
      <c r="K26" s="58">
        <v>27</v>
      </c>
      <c r="L26" s="68">
        <f t="shared" si="4"/>
        <v>30.326086956521738</v>
      </c>
      <c r="M26" s="54">
        <v>217246</v>
      </c>
      <c r="N26" s="69">
        <f t="shared" si="5"/>
        <v>7163.6673835125448</v>
      </c>
      <c r="P26" s="58">
        <v>94</v>
      </c>
      <c r="Q26" s="68">
        <f t="shared" si="6"/>
        <v>33.41317365269461</v>
      </c>
      <c r="R26" s="54">
        <v>48569</v>
      </c>
      <c r="S26" s="69">
        <f t="shared" si="7"/>
        <v>1453.5883512544804</v>
      </c>
    </row>
    <row r="27" spans="1:20" x14ac:dyDescent="0.25">
      <c r="A27" s="58">
        <v>14</v>
      </c>
      <c r="B27" s="68">
        <f t="shared" si="0"/>
        <v>30.326086956521738</v>
      </c>
      <c r="C27" s="54">
        <v>-99929</v>
      </c>
      <c r="D27" s="69">
        <f t="shared" si="1"/>
        <v>-3295.1498207885306</v>
      </c>
      <c r="F27" s="58">
        <v>63</v>
      </c>
      <c r="G27" s="68">
        <f t="shared" si="2"/>
        <v>33.41317365269461</v>
      </c>
      <c r="H27" s="54">
        <v>-59023</v>
      </c>
      <c r="I27" s="69">
        <f t="shared" si="3"/>
        <v>-1766.4589605734768</v>
      </c>
      <c r="K27" s="58">
        <v>98</v>
      </c>
      <c r="L27" s="68">
        <f t="shared" si="4"/>
        <v>30.326086956521738</v>
      </c>
      <c r="M27" s="54">
        <v>186371</v>
      </c>
      <c r="N27" s="69">
        <f t="shared" si="5"/>
        <v>6145.5670250896055</v>
      </c>
      <c r="P27" s="58">
        <v>98</v>
      </c>
      <c r="Q27" s="68">
        <f t="shared" si="6"/>
        <v>33.41317365269461</v>
      </c>
      <c r="R27" s="54">
        <v>42432</v>
      </c>
      <c r="S27" s="69">
        <f t="shared" si="7"/>
        <v>1269.9182795698925</v>
      </c>
    </row>
    <row r="28" spans="1:20" x14ac:dyDescent="0.25">
      <c r="A28" s="58">
        <v>59</v>
      </c>
      <c r="B28" s="68">
        <f t="shared" si="0"/>
        <v>30.326086956521738</v>
      </c>
      <c r="C28" s="54">
        <v>-120499</v>
      </c>
      <c r="D28" s="69">
        <f t="shared" si="1"/>
        <v>-3973.4437275985665</v>
      </c>
      <c r="F28" s="58">
        <v>70</v>
      </c>
      <c r="G28" s="68">
        <f t="shared" si="2"/>
        <v>33.41317365269461</v>
      </c>
      <c r="H28" s="54">
        <v>-82956</v>
      </c>
      <c r="I28" s="69">
        <f t="shared" si="3"/>
        <v>-2482.7333333333336</v>
      </c>
      <c r="K28" s="58">
        <v>82</v>
      </c>
      <c r="L28" s="68">
        <f t="shared" si="4"/>
        <v>30.326086956521738</v>
      </c>
      <c r="M28" s="54">
        <v>157735</v>
      </c>
      <c r="N28" s="69">
        <f t="shared" si="5"/>
        <v>5201.2974910394269</v>
      </c>
      <c r="P28" s="58">
        <v>79</v>
      </c>
      <c r="Q28" s="68">
        <f t="shared" si="6"/>
        <v>33.41317365269461</v>
      </c>
      <c r="R28" s="54">
        <v>-17472</v>
      </c>
      <c r="S28" s="69">
        <f t="shared" si="7"/>
        <v>-522.9075268817204</v>
      </c>
    </row>
    <row r="29" spans="1:20" x14ac:dyDescent="0.25">
      <c r="A29" s="58">
        <v>11</v>
      </c>
      <c r="B29" s="68">
        <f t="shared" si="0"/>
        <v>30.326086956521738</v>
      </c>
      <c r="C29" s="54">
        <v>-150180</v>
      </c>
      <c r="D29" s="69">
        <f t="shared" si="1"/>
        <v>-4952.1720430107525</v>
      </c>
      <c r="F29" s="58">
        <v>64</v>
      </c>
      <c r="G29" s="68">
        <f t="shared" si="2"/>
        <v>33.41317365269461</v>
      </c>
      <c r="H29" s="54">
        <v>-163863</v>
      </c>
      <c r="I29" s="69">
        <f t="shared" si="3"/>
        <v>-4904.1435483870973</v>
      </c>
      <c r="K29" s="58">
        <v>39</v>
      </c>
      <c r="L29" s="68">
        <f t="shared" si="4"/>
        <v>30.326086956521738</v>
      </c>
      <c r="M29" s="54">
        <v>75371</v>
      </c>
      <c r="N29" s="69">
        <f t="shared" si="5"/>
        <v>2485.3519713261649</v>
      </c>
      <c r="P29" s="58">
        <v>30</v>
      </c>
      <c r="Q29" s="68">
        <f t="shared" si="6"/>
        <v>33.41317365269461</v>
      </c>
      <c r="R29" s="54">
        <v>-18899</v>
      </c>
      <c r="S29" s="69">
        <f t="shared" si="7"/>
        <v>-565.61523297491044</v>
      </c>
    </row>
    <row r="30" spans="1:20" x14ac:dyDescent="0.25">
      <c r="A30" s="58">
        <v>19</v>
      </c>
      <c r="B30" s="68">
        <f t="shared" si="0"/>
        <v>30.326086956521738</v>
      </c>
      <c r="C30" s="54">
        <v>-212225</v>
      </c>
      <c r="D30" s="69">
        <f t="shared" si="1"/>
        <v>-6998.1003584229393</v>
      </c>
      <c r="F30" s="58">
        <v>8</v>
      </c>
      <c r="G30" s="68">
        <f t="shared" si="2"/>
        <v>33.41317365269461</v>
      </c>
      <c r="H30" s="54">
        <v>-187009</v>
      </c>
      <c r="I30" s="69">
        <f t="shared" si="3"/>
        <v>-5596.8643369175625</v>
      </c>
      <c r="K30" s="58">
        <v>79</v>
      </c>
      <c r="L30" s="68">
        <f t="shared" si="4"/>
        <v>30.326086956521738</v>
      </c>
      <c r="M30" s="54">
        <v>42924</v>
      </c>
      <c r="N30" s="69">
        <f t="shared" si="5"/>
        <v>1415.4150537634409</v>
      </c>
      <c r="P30" s="50">
        <v>99</v>
      </c>
      <c r="Q30" s="70">
        <f t="shared" si="6"/>
        <v>33.41317365269461</v>
      </c>
      <c r="R30" s="51">
        <v>-53380</v>
      </c>
      <c r="S30" s="71">
        <f t="shared" si="7"/>
        <v>-1597.573476702509</v>
      </c>
    </row>
    <row r="31" spans="1:20" x14ac:dyDescent="0.25">
      <c r="A31" s="58">
        <v>7</v>
      </c>
      <c r="B31" s="68">
        <f t="shared" si="0"/>
        <v>30.326086956521738</v>
      </c>
      <c r="C31" s="54">
        <v>-425925</v>
      </c>
      <c r="D31" s="69">
        <f t="shared" si="1"/>
        <v>-14044.83870967742</v>
      </c>
      <c r="F31" s="50">
        <v>61</v>
      </c>
      <c r="G31" s="70">
        <f t="shared" si="2"/>
        <v>33.41317365269461</v>
      </c>
      <c r="H31" s="51">
        <v>-223907</v>
      </c>
      <c r="I31" s="71">
        <f t="shared" si="3"/>
        <v>-6701.159318996416</v>
      </c>
      <c r="J31">
        <v>0</v>
      </c>
      <c r="K31" s="58">
        <v>49</v>
      </c>
      <c r="L31" s="68">
        <f t="shared" si="4"/>
        <v>30.326086956521738</v>
      </c>
      <c r="M31" s="54">
        <v>-35135</v>
      </c>
      <c r="N31" s="69">
        <f t="shared" si="5"/>
        <v>-1158.573476702509</v>
      </c>
      <c r="P31" s="58">
        <v>76</v>
      </c>
      <c r="Q31" s="68">
        <f t="shared" si="6"/>
        <v>33.41317365269461</v>
      </c>
      <c r="R31" s="54">
        <v>-134133</v>
      </c>
      <c r="S31" s="69">
        <f t="shared" si="7"/>
        <v>-4014.3747311827956</v>
      </c>
    </row>
    <row r="32" spans="1:20" x14ac:dyDescent="0.25">
      <c r="A32" s="58">
        <v>88</v>
      </c>
      <c r="B32" s="68">
        <f t="shared" si="0"/>
        <v>30.326086956521738</v>
      </c>
      <c r="C32" s="54">
        <v>-426293</v>
      </c>
      <c r="D32" s="69">
        <f t="shared" si="1"/>
        <v>-14056.973476702509</v>
      </c>
      <c r="F32" s="58">
        <v>92</v>
      </c>
      <c r="G32" s="68">
        <f t="shared" si="2"/>
        <v>33.41317365269461</v>
      </c>
      <c r="H32" s="54">
        <v>-299484</v>
      </c>
      <c r="I32" s="69">
        <f t="shared" si="3"/>
        <v>-8963.0516129032258</v>
      </c>
      <c r="K32" s="50">
        <v>86</v>
      </c>
      <c r="L32" s="70">
        <f t="shared" si="4"/>
        <v>30.326086956521738</v>
      </c>
      <c r="M32" s="51">
        <v>-36114</v>
      </c>
      <c r="N32" s="71">
        <f t="shared" si="5"/>
        <v>-1190.8559139784948</v>
      </c>
      <c r="O32">
        <v>0</v>
      </c>
      <c r="P32" s="58">
        <v>27</v>
      </c>
      <c r="Q32" s="68">
        <f t="shared" si="6"/>
        <v>33.41317365269461</v>
      </c>
      <c r="R32" s="54">
        <v>-237585</v>
      </c>
      <c r="S32" s="69">
        <f t="shared" si="7"/>
        <v>-7110.5188172043008</v>
      </c>
    </row>
    <row r="33" spans="1:20" x14ac:dyDescent="0.25">
      <c r="A33" s="50">
        <v>1</v>
      </c>
      <c r="B33" s="70">
        <f t="shared" si="0"/>
        <v>30.326086956521738</v>
      </c>
      <c r="C33" s="51">
        <v>-436549</v>
      </c>
      <c r="D33" s="71">
        <f t="shared" si="1"/>
        <v>-14395.164157706093</v>
      </c>
      <c r="E33">
        <v>0</v>
      </c>
      <c r="F33" s="58">
        <v>93</v>
      </c>
      <c r="G33" s="68">
        <f t="shared" si="2"/>
        <v>33.41317365269461</v>
      </c>
      <c r="H33" s="54">
        <v>-392062</v>
      </c>
      <c r="I33" s="69">
        <f t="shared" si="3"/>
        <v>-11733.755197132617</v>
      </c>
      <c r="K33" s="50">
        <v>95</v>
      </c>
      <c r="L33" s="70">
        <f t="shared" si="4"/>
        <v>30.326086956521738</v>
      </c>
      <c r="M33" s="51">
        <v>-117870</v>
      </c>
      <c r="N33" s="71">
        <f t="shared" si="5"/>
        <v>-3886.7526881720432</v>
      </c>
      <c r="O33">
        <v>0</v>
      </c>
      <c r="P33" s="58">
        <v>49</v>
      </c>
      <c r="Q33" s="68">
        <f t="shared" si="6"/>
        <v>33.41317365269461</v>
      </c>
      <c r="R33" s="54">
        <v>-320509</v>
      </c>
      <c r="S33" s="69">
        <f t="shared" si="7"/>
        <v>-9592.2944444444438</v>
      </c>
    </row>
    <row r="34" spans="1:20" x14ac:dyDescent="0.25">
      <c r="A34" s="58">
        <v>16</v>
      </c>
      <c r="B34" s="68">
        <f t="shared" si="0"/>
        <v>30.326086956521738</v>
      </c>
      <c r="C34" s="54">
        <v>-516654</v>
      </c>
      <c r="D34" s="69">
        <f t="shared" si="1"/>
        <v>-17036.619354838709</v>
      </c>
      <c r="F34" s="58">
        <v>17</v>
      </c>
      <c r="G34" s="68">
        <f t="shared" si="2"/>
        <v>33.41317365269461</v>
      </c>
      <c r="H34" s="54">
        <v>-421127</v>
      </c>
      <c r="I34" s="69">
        <f t="shared" si="3"/>
        <v>-12603.621684587813</v>
      </c>
      <c r="K34" s="58">
        <v>42</v>
      </c>
      <c r="L34" s="68">
        <f t="shared" si="4"/>
        <v>30.326086956521738</v>
      </c>
      <c r="M34" s="54">
        <v>-137859</v>
      </c>
      <c r="N34" s="69">
        <f t="shared" si="5"/>
        <v>-4545.8881720430109</v>
      </c>
      <c r="P34" s="58">
        <v>47</v>
      </c>
      <c r="Q34" s="68">
        <f t="shared" si="6"/>
        <v>33.41317365269461</v>
      </c>
      <c r="R34" s="54">
        <v>-338573</v>
      </c>
      <c r="S34" s="69">
        <f t="shared" si="7"/>
        <v>-10132.919534050179</v>
      </c>
    </row>
    <row r="35" spans="1:20" x14ac:dyDescent="0.25">
      <c r="A35" s="58">
        <v>73</v>
      </c>
      <c r="B35" s="68">
        <f t="shared" si="0"/>
        <v>30.326086956521738</v>
      </c>
      <c r="C35" s="54">
        <v>-526062</v>
      </c>
      <c r="D35" s="69">
        <f t="shared" si="1"/>
        <v>-17346.847311827958</v>
      </c>
      <c r="F35" s="58">
        <v>5</v>
      </c>
      <c r="G35" s="68">
        <f t="shared" si="2"/>
        <v>33.41317365269461</v>
      </c>
      <c r="H35" s="54">
        <v>-473972</v>
      </c>
      <c r="I35" s="69">
        <f t="shared" si="3"/>
        <v>-14185.183512544803</v>
      </c>
      <c r="K35" s="58">
        <v>50</v>
      </c>
      <c r="L35" s="68">
        <f t="shared" si="4"/>
        <v>30.326086956521738</v>
      </c>
      <c r="M35" s="54">
        <v>-141217</v>
      </c>
      <c r="N35" s="69">
        <f t="shared" si="5"/>
        <v>-4656.6179211469534</v>
      </c>
      <c r="P35" s="50">
        <v>34</v>
      </c>
      <c r="Q35" s="70">
        <f t="shared" si="6"/>
        <v>33.41317365269461</v>
      </c>
      <c r="R35" s="51">
        <v>-343537</v>
      </c>
      <c r="S35" s="71">
        <f t="shared" si="7"/>
        <v>-10281.483691756273</v>
      </c>
    </row>
    <row r="36" spans="1:20" x14ac:dyDescent="0.25">
      <c r="A36" s="58">
        <v>69</v>
      </c>
      <c r="B36" s="68">
        <f t="shared" si="0"/>
        <v>30.326086956521738</v>
      </c>
      <c r="C36" s="54">
        <v>-582190</v>
      </c>
      <c r="D36" s="69">
        <f t="shared" si="1"/>
        <v>-19197.663082437277</v>
      </c>
      <c r="F36" s="58">
        <v>67</v>
      </c>
      <c r="G36" s="68">
        <f t="shared" si="2"/>
        <v>33.41317365269461</v>
      </c>
      <c r="H36" s="54">
        <v>-479440</v>
      </c>
      <c r="I36" s="69">
        <f t="shared" si="3"/>
        <v>-14348.831541218638</v>
      </c>
      <c r="K36" s="58">
        <v>24</v>
      </c>
      <c r="L36" s="68">
        <f t="shared" si="4"/>
        <v>30.326086956521738</v>
      </c>
      <c r="M36" s="54">
        <v>-265494</v>
      </c>
      <c r="N36" s="69">
        <f t="shared" si="5"/>
        <v>-8754.6408602150532</v>
      </c>
      <c r="P36" s="58">
        <v>26</v>
      </c>
      <c r="Q36" s="68">
        <f t="shared" si="6"/>
        <v>33.41317365269461</v>
      </c>
      <c r="R36" s="54">
        <v>-410208</v>
      </c>
      <c r="S36" s="69">
        <f t="shared" si="7"/>
        <v>-12276.834408602152</v>
      </c>
    </row>
    <row r="37" spans="1:20" x14ac:dyDescent="0.25">
      <c r="A37" s="58">
        <v>17</v>
      </c>
      <c r="B37" s="68">
        <f t="shared" si="0"/>
        <v>30.326086956521738</v>
      </c>
      <c r="C37" s="54">
        <v>-710390</v>
      </c>
      <c r="D37" s="69">
        <f t="shared" si="1"/>
        <v>-23425.046594982079</v>
      </c>
      <c r="F37" s="58">
        <v>65</v>
      </c>
      <c r="G37" s="68">
        <f t="shared" si="2"/>
        <v>33.41317365269461</v>
      </c>
      <c r="H37" s="54">
        <v>-681880</v>
      </c>
      <c r="I37" s="69">
        <f t="shared" si="3"/>
        <v>-20407.519713261649</v>
      </c>
      <c r="K37" s="50">
        <v>44</v>
      </c>
      <c r="L37" s="70">
        <f t="shared" si="4"/>
        <v>30.326086956521738</v>
      </c>
      <c r="M37" s="51">
        <v>-279807</v>
      </c>
      <c r="N37" s="71">
        <f t="shared" si="5"/>
        <v>-9226.6107526881715</v>
      </c>
      <c r="O37">
        <v>0</v>
      </c>
      <c r="P37" s="58">
        <v>55</v>
      </c>
      <c r="Q37" s="68">
        <f t="shared" si="6"/>
        <v>33.41317365269461</v>
      </c>
      <c r="R37" s="54">
        <v>-412943</v>
      </c>
      <c r="S37" s="69">
        <f t="shared" si="7"/>
        <v>-12358.688351254481</v>
      </c>
    </row>
    <row r="38" spans="1:20" x14ac:dyDescent="0.25">
      <c r="A38" s="58">
        <v>12</v>
      </c>
      <c r="B38" s="68">
        <f t="shared" si="0"/>
        <v>30.326086956521738</v>
      </c>
      <c r="C38" s="54">
        <v>-753136</v>
      </c>
      <c r="D38" s="69">
        <f t="shared" si="1"/>
        <v>-24834.592114695341</v>
      </c>
      <c r="F38" s="50">
        <v>15</v>
      </c>
      <c r="G38" s="70">
        <f t="shared" si="2"/>
        <v>33.41317365269461</v>
      </c>
      <c r="H38" s="51">
        <v>-737370</v>
      </c>
      <c r="I38" s="71">
        <f t="shared" si="3"/>
        <v>-22068.241935483871</v>
      </c>
      <c r="J38">
        <v>0</v>
      </c>
      <c r="K38" s="58">
        <v>78</v>
      </c>
      <c r="L38" s="68">
        <f t="shared" si="4"/>
        <v>30.326086956521738</v>
      </c>
      <c r="M38" s="54">
        <v>-450754</v>
      </c>
      <c r="N38" s="69">
        <f t="shared" si="5"/>
        <v>-14863.572759856632</v>
      </c>
      <c r="P38" s="50">
        <v>22</v>
      </c>
      <c r="Q38" s="70">
        <f t="shared" si="6"/>
        <v>33.41317365269461</v>
      </c>
      <c r="R38" s="51">
        <v>-443480</v>
      </c>
      <c r="S38" s="71">
        <f t="shared" si="7"/>
        <v>-13272.609318996416</v>
      </c>
    </row>
    <row r="39" spans="1:20" x14ac:dyDescent="0.25">
      <c r="A39" s="58">
        <v>58</v>
      </c>
      <c r="B39" s="68">
        <f t="shared" si="0"/>
        <v>30.326086956521738</v>
      </c>
      <c r="C39" s="54">
        <v>-793953</v>
      </c>
      <c r="D39" s="69">
        <f t="shared" si="1"/>
        <v>-26180.529032258066</v>
      </c>
      <c r="F39" s="50">
        <v>6</v>
      </c>
      <c r="G39" s="70">
        <f t="shared" si="2"/>
        <v>33.41317365269461</v>
      </c>
      <c r="H39" s="51">
        <v>-760719</v>
      </c>
      <c r="I39" s="71">
        <f t="shared" si="3"/>
        <v>-22767.038172043012</v>
      </c>
      <c r="J39">
        <v>0</v>
      </c>
      <c r="K39" s="58">
        <v>81</v>
      </c>
      <c r="L39" s="68">
        <f t="shared" si="4"/>
        <v>30.326086956521738</v>
      </c>
      <c r="M39" s="54">
        <v>-460974</v>
      </c>
      <c r="N39" s="69">
        <f t="shared" si="5"/>
        <v>-15200.576344086023</v>
      </c>
      <c r="P39" s="58">
        <v>97</v>
      </c>
      <c r="Q39" s="68">
        <f t="shared" si="6"/>
        <v>33.41317365269461</v>
      </c>
      <c r="R39" s="54">
        <v>-474669</v>
      </c>
      <c r="S39" s="69">
        <f t="shared" si="7"/>
        <v>-14206.043548387097</v>
      </c>
    </row>
    <row r="40" spans="1:20" x14ac:dyDescent="0.25">
      <c r="A40" s="58">
        <v>68</v>
      </c>
      <c r="B40" s="68">
        <f t="shared" si="0"/>
        <v>30.326086956521738</v>
      </c>
      <c r="C40" s="54">
        <v>-803861</v>
      </c>
      <c r="D40" s="69">
        <f t="shared" si="1"/>
        <v>-26507.244444444445</v>
      </c>
      <c r="F40" s="58">
        <v>18</v>
      </c>
      <c r="G40" s="68">
        <f t="shared" si="2"/>
        <v>33.41317365269461</v>
      </c>
      <c r="H40" s="54">
        <v>-824942</v>
      </c>
      <c r="I40" s="69">
        <f t="shared" si="3"/>
        <v>-24689.124372759856</v>
      </c>
      <c r="K40" s="58">
        <v>48</v>
      </c>
      <c r="L40" s="68">
        <f t="shared" si="4"/>
        <v>30.326086956521738</v>
      </c>
      <c r="M40" s="54">
        <v>-522318</v>
      </c>
      <c r="N40" s="69">
        <f t="shared" si="5"/>
        <v>-17223.389247311829</v>
      </c>
      <c r="P40" s="50">
        <v>57</v>
      </c>
      <c r="Q40" s="70">
        <f t="shared" si="6"/>
        <v>33.41317365269461</v>
      </c>
      <c r="R40" s="51">
        <v>-519769</v>
      </c>
      <c r="S40" s="71">
        <f t="shared" si="7"/>
        <v>-15555.810573476703</v>
      </c>
    </row>
    <row r="41" spans="1:20" x14ac:dyDescent="0.25">
      <c r="A41" s="58">
        <v>60</v>
      </c>
      <c r="B41" s="68">
        <f t="shared" si="0"/>
        <v>30.326086956521738</v>
      </c>
      <c r="C41" s="54">
        <v>-850901</v>
      </c>
      <c r="D41" s="69">
        <f t="shared" si="1"/>
        <v>-28058.384229390682</v>
      </c>
      <c r="F41" s="58">
        <v>11</v>
      </c>
      <c r="G41" s="68">
        <f t="shared" si="2"/>
        <v>33.41317365269461</v>
      </c>
      <c r="H41" s="54">
        <v>-906527</v>
      </c>
      <c r="I41" s="69">
        <f t="shared" si="3"/>
        <v>-27130.825985663083</v>
      </c>
      <c r="K41" s="58">
        <v>87</v>
      </c>
      <c r="L41" s="68">
        <f t="shared" si="4"/>
        <v>30.326086956521738</v>
      </c>
      <c r="M41" s="54">
        <v>-542332</v>
      </c>
      <c r="N41" s="69">
        <f t="shared" si="5"/>
        <v>-17883.349103942652</v>
      </c>
      <c r="P41" s="52">
        <v>35</v>
      </c>
      <c r="Q41" s="72">
        <f t="shared" si="6"/>
        <v>33.41317365269461</v>
      </c>
      <c r="R41" s="53">
        <v>-552149</v>
      </c>
      <c r="S41" s="73">
        <f t="shared" si="7"/>
        <v>-16524.889426523299</v>
      </c>
      <c r="T41">
        <v>0</v>
      </c>
    </row>
    <row r="42" spans="1:20" x14ac:dyDescent="0.25">
      <c r="A42" s="58">
        <v>74</v>
      </c>
      <c r="B42" s="68">
        <f t="shared" si="0"/>
        <v>30.326086956521738</v>
      </c>
      <c r="C42" s="54">
        <v>-871942</v>
      </c>
      <c r="D42" s="69">
        <f t="shared" si="1"/>
        <v>-28752.209318996418</v>
      </c>
      <c r="F42" s="58">
        <v>14</v>
      </c>
      <c r="G42" s="68">
        <f t="shared" si="2"/>
        <v>33.41317365269461</v>
      </c>
      <c r="H42" s="54">
        <v>-923878</v>
      </c>
      <c r="I42" s="69">
        <f t="shared" si="3"/>
        <v>-27650.112186379931</v>
      </c>
      <c r="K42" s="58">
        <v>41</v>
      </c>
      <c r="L42" s="68">
        <f t="shared" si="4"/>
        <v>30.326086956521738</v>
      </c>
      <c r="M42" s="54">
        <v>-545075</v>
      </c>
      <c r="N42" s="69">
        <f t="shared" si="5"/>
        <v>-17973.799283154123</v>
      </c>
      <c r="P42" s="58">
        <v>81</v>
      </c>
      <c r="Q42" s="68">
        <f t="shared" si="6"/>
        <v>33.41317365269461</v>
      </c>
      <c r="R42" s="54">
        <v>-553719</v>
      </c>
      <c r="S42" s="69">
        <f t="shared" si="7"/>
        <v>-16571.876881720429</v>
      </c>
    </row>
    <row r="43" spans="1:20" x14ac:dyDescent="0.25">
      <c r="A43" s="58">
        <v>71</v>
      </c>
      <c r="B43" s="68">
        <f t="shared" si="0"/>
        <v>30.326086956521738</v>
      </c>
      <c r="C43" s="54">
        <v>-879757</v>
      </c>
      <c r="D43" s="69">
        <f t="shared" si="1"/>
        <v>-29009.908243727601</v>
      </c>
      <c r="F43" s="50">
        <v>90</v>
      </c>
      <c r="G43" s="70">
        <f t="shared" si="2"/>
        <v>33.41317365269461</v>
      </c>
      <c r="H43" s="51">
        <v>-944796</v>
      </c>
      <c r="I43" s="71">
        <f t="shared" si="3"/>
        <v>-28276.152688172042</v>
      </c>
      <c r="J43">
        <v>0</v>
      </c>
      <c r="K43" s="58">
        <v>23</v>
      </c>
      <c r="L43" s="68">
        <f t="shared" si="4"/>
        <v>30.326086956521738</v>
      </c>
      <c r="M43" s="54">
        <v>-550483</v>
      </c>
      <c r="N43" s="69">
        <f t="shared" si="5"/>
        <v>-18152.127598566309</v>
      </c>
      <c r="P43" s="58">
        <v>25</v>
      </c>
      <c r="Q43" s="68">
        <f t="shared" si="6"/>
        <v>33.41317365269461</v>
      </c>
      <c r="R43" s="54">
        <v>-602771</v>
      </c>
      <c r="S43" s="69">
        <f t="shared" si="7"/>
        <v>-18039.920609318997</v>
      </c>
    </row>
    <row r="44" spans="1:20" x14ac:dyDescent="0.25">
      <c r="A44" s="58">
        <v>13</v>
      </c>
      <c r="B44" s="68">
        <f t="shared" si="0"/>
        <v>30.326086956521738</v>
      </c>
      <c r="C44" s="54">
        <v>-1072053</v>
      </c>
      <c r="D44" s="69">
        <f t="shared" si="1"/>
        <v>-35350.851612903229</v>
      </c>
      <c r="F44" s="58">
        <v>88</v>
      </c>
      <c r="G44" s="68">
        <f t="shared" si="2"/>
        <v>33.41317365269461</v>
      </c>
      <c r="H44" s="54">
        <v>-964689</v>
      </c>
      <c r="I44" s="69">
        <f t="shared" si="3"/>
        <v>-28871.516666666666</v>
      </c>
      <c r="K44" s="58">
        <v>55</v>
      </c>
      <c r="L44" s="68">
        <f t="shared" si="4"/>
        <v>30.326086956521738</v>
      </c>
      <c r="M44" s="54">
        <v>-592287</v>
      </c>
      <c r="N44" s="69">
        <f t="shared" si="5"/>
        <v>-19530.610752688171</v>
      </c>
      <c r="P44" s="58">
        <v>23</v>
      </c>
      <c r="Q44" s="68">
        <f t="shared" si="6"/>
        <v>33.41317365269461</v>
      </c>
      <c r="R44" s="54">
        <v>-625997</v>
      </c>
      <c r="S44" s="69">
        <f t="shared" si="7"/>
        <v>-18735.035663082439</v>
      </c>
    </row>
    <row r="45" spans="1:20" x14ac:dyDescent="0.25">
      <c r="A45" s="58">
        <v>92</v>
      </c>
      <c r="B45" s="68">
        <f t="shared" si="0"/>
        <v>30.326086956521738</v>
      </c>
      <c r="C45" s="54">
        <v>-1105120</v>
      </c>
      <c r="D45" s="69">
        <f t="shared" si="1"/>
        <v>-36441.232974910396</v>
      </c>
      <c r="F45" s="50">
        <v>10</v>
      </c>
      <c r="G45" s="70">
        <f t="shared" si="2"/>
        <v>33.41317365269461</v>
      </c>
      <c r="H45" s="51">
        <v>-1019506</v>
      </c>
      <c r="I45" s="71">
        <f t="shared" si="3"/>
        <v>-30512.097132616487</v>
      </c>
      <c r="J45">
        <v>0</v>
      </c>
      <c r="K45" s="50">
        <v>31</v>
      </c>
      <c r="L45" s="70">
        <f t="shared" si="4"/>
        <v>30.326086956521738</v>
      </c>
      <c r="M45" s="51">
        <v>-620072</v>
      </c>
      <c r="N45" s="71">
        <f t="shared" si="5"/>
        <v>-20446.818637992834</v>
      </c>
      <c r="O45">
        <v>0</v>
      </c>
      <c r="P45" s="58">
        <v>78</v>
      </c>
      <c r="Q45" s="68">
        <f t="shared" si="6"/>
        <v>33.41317365269461</v>
      </c>
      <c r="R45" s="54">
        <v>-732192</v>
      </c>
      <c r="S45" s="69">
        <f t="shared" si="7"/>
        <v>-21913.273118279569</v>
      </c>
    </row>
    <row r="46" spans="1:20" x14ac:dyDescent="0.25">
      <c r="A46" s="58">
        <v>21</v>
      </c>
      <c r="B46" s="68">
        <f t="shared" si="0"/>
        <v>30.326086956521738</v>
      </c>
      <c r="C46" s="54">
        <v>-1124143</v>
      </c>
      <c r="D46" s="69">
        <f t="shared" si="1"/>
        <v>-37068.514695340506</v>
      </c>
      <c r="F46" s="50">
        <v>2</v>
      </c>
      <c r="G46" s="70">
        <f t="shared" si="2"/>
        <v>33.41317365269461</v>
      </c>
      <c r="H46" s="51">
        <v>-1048073</v>
      </c>
      <c r="I46" s="71">
        <f t="shared" si="3"/>
        <v>-31367.059318996417</v>
      </c>
      <c r="J46">
        <v>0</v>
      </c>
      <c r="K46" s="58">
        <v>40</v>
      </c>
      <c r="L46" s="68">
        <f t="shared" si="4"/>
        <v>30.326086956521738</v>
      </c>
      <c r="M46" s="54">
        <v>-658386</v>
      </c>
      <c r="N46" s="69">
        <f t="shared" si="5"/>
        <v>-21710.219354838711</v>
      </c>
      <c r="P46" s="58">
        <v>41</v>
      </c>
      <c r="Q46" s="68">
        <f t="shared" si="6"/>
        <v>33.41317365269461</v>
      </c>
      <c r="R46" s="54">
        <v>-890843</v>
      </c>
      <c r="S46" s="69">
        <f t="shared" si="7"/>
        <v>-26661.430286738352</v>
      </c>
    </row>
    <row r="47" spans="1:20" x14ac:dyDescent="0.25">
      <c r="A47" s="58">
        <v>64</v>
      </c>
      <c r="B47" s="68">
        <f t="shared" si="0"/>
        <v>30.326086956521738</v>
      </c>
      <c r="C47" s="54">
        <v>-1198677</v>
      </c>
      <c r="D47" s="69">
        <f t="shared" si="1"/>
        <v>-39526.26666666667</v>
      </c>
      <c r="F47" s="58">
        <v>12</v>
      </c>
      <c r="G47" s="68">
        <f t="shared" si="2"/>
        <v>33.41317365269461</v>
      </c>
      <c r="H47" s="54">
        <v>-1098022</v>
      </c>
      <c r="I47" s="69">
        <f t="shared" si="3"/>
        <v>-32861.948745519716</v>
      </c>
      <c r="K47" s="58">
        <v>97</v>
      </c>
      <c r="L47" s="68">
        <f t="shared" si="4"/>
        <v>30.326086956521738</v>
      </c>
      <c r="M47" s="54">
        <v>-661431</v>
      </c>
      <c r="N47" s="69">
        <f t="shared" si="5"/>
        <v>-21810.627956989247</v>
      </c>
      <c r="P47" s="58">
        <v>48</v>
      </c>
      <c r="Q47" s="68">
        <f t="shared" si="6"/>
        <v>33.41317365269461</v>
      </c>
      <c r="R47" s="54">
        <v>-914243</v>
      </c>
      <c r="S47" s="69">
        <f t="shared" si="7"/>
        <v>-27361.752867383515</v>
      </c>
    </row>
    <row r="48" spans="1:20" x14ac:dyDescent="0.25">
      <c r="A48" s="50">
        <v>3</v>
      </c>
      <c r="B48" s="70">
        <f t="shared" si="0"/>
        <v>30.326086956521738</v>
      </c>
      <c r="C48" s="51">
        <v>-1231829</v>
      </c>
      <c r="D48" s="71">
        <f t="shared" si="1"/>
        <v>-40619.450896057351</v>
      </c>
      <c r="E48">
        <v>0</v>
      </c>
      <c r="F48" s="50">
        <v>72</v>
      </c>
      <c r="G48" s="70">
        <f t="shared" si="2"/>
        <v>33.41317365269461</v>
      </c>
      <c r="H48" s="51">
        <v>-1168137</v>
      </c>
      <c r="I48" s="71">
        <f t="shared" si="3"/>
        <v>-34960.372580645162</v>
      </c>
      <c r="J48">
        <v>0</v>
      </c>
      <c r="K48" s="58">
        <v>56</v>
      </c>
      <c r="L48" s="68">
        <f t="shared" si="4"/>
        <v>30.326086956521738</v>
      </c>
      <c r="M48" s="54">
        <v>-736742</v>
      </c>
      <c r="N48" s="69">
        <f t="shared" si="5"/>
        <v>-24294.001433691756</v>
      </c>
      <c r="P48" s="58">
        <v>96</v>
      </c>
      <c r="Q48" s="68">
        <f t="shared" si="6"/>
        <v>33.41317365269461</v>
      </c>
      <c r="R48" s="54">
        <v>-944950</v>
      </c>
      <c r="S48" s="69">
        <f t="shared" si="7"/>
        <v>-28280.76164874552</v>
      </c>
    </row>
    <row r="49" spans="1:20" x14ac:dyDescent="0.25">
      <c r="A49" s="58">
        <v>70</v>
      </c>
      <c r="B49" s="68">
        <f t="shared" si="0"/>
        <v>30.326086956521738</v>
      </c>
      <c r="C49" s="54">
        <v>-1290356</v>
      </c>
      <c r="D49" s="69">
        <f t="shared" si="1"/>
        <v>-42549.373476702509</v>
      </c>
      <c r="F49" s="58">
        <v>62</v>
      </c>
      <c r="G49" s="68">
        <f t="shared" si="2"/>
        <v>33.41317365269461</v>
      </c>
      <c r="H49" s="54">
        <v>-1177761</v>
      </c>
      <c r="I49" s="69">
        <f t="shared" si="3"/>
        <v>-35248.402688172042</v>
      </c>
      <c r="K49" s="58">
        <v>85</v>
      </c>
      <c r="L49" s="68">
        <f t="shared" si="4"/>
        <v>30.326086956521738</v>
      </c>
      <c r="M49" s="54">
        <v>-789944</v>
      </c>
      <c r="N49" s="69">
        <f t="shared" si="5"/>
        <v>-26048.332616487456</v>
      </c>
      <c r="P49" s="58">
        <v>82</v>
      </c>
      <c r="Q49" s="68">
        <f t="shared" si="6"/>
        <v>33.41317365269461</v>
      </c>
      <c r="R49" s="54">
        <v>-954865</v>
      </c>
      <c r="S49" s="69">
        <f t="shared" si="7"/>
        <v>-28577.500896057347</v>
      </c>
    </row>
    <row r="50" spans="1:20" x14ac:dyDescent="0.25">
      <c r="A50" s="58">
        <v>65</v>
      </c>
      <c r="B50" s="68">
        <f t="shared" si="0"/>
        <v>30.326086956521738</v>
      </c>
      <c r="C50" s="54">
        <v>-1335361</v>
      </c>
      <c r="D50" s="69">
        <f t="shared" si="1"/>
        <v>-44033.409318996419</v>
      </c>
      <c r="F50" s="58">
        <v>19</v>
      </c>
      <c r="G50" s="68">
        <f t="shared" si="2"/>
        <v>33.41317365269461</v>
      </c>
      <c r="H50" s="54">
        <v>-1251057</v>
      </c>
      <c r="I50" s="69">
        <f t="shared" si="3"/>
        <v>-37442.028494623657</v>
      </c>
      <c r="K50" s="58">
        <v>26</v>
      </c>
      <c r="L50" s="68">
        <f t="shared" si="4"/>
        <v>30.326086956521738</v>
      </c>
      <c r="M50" s="54">
        <v>-946136</v>
      </c>
      <c r="N50" s="69">
        <f t="shared" si="5"/>
        <v>-31198.749820788533</v>
      </c>
      <c r="P50" s="58">
        <v>50</v>
      </c>
      <c r="Q50" s="68">
        <f t="shared" si="6"/>
        <v>33.41317365269461</v>
      </c>
      <c r="R50" s="54">
        <v>-1011749</v>
      </c>
      <c r="S50" s="69">
        <f t="shared" si="7"/>
        <v>-30279.943189964157</v>
      </c>
    </row>
    <row r="51" spans="1:20" x14ac:dyDescent="0.25">
      <c r="A51" s="58">
        <v>18</v>
      </c>
      <c r="B51" s="68">
        <f t="shared" si="0"/>
        <v>30.326086956521738</v>
      </c>
      <c r="C51" s="54">
        <v>-1388548</v>
      </c>
      <c r="D51" s="69">
        <f t="shared" si="1"/>
        <v>-45787.2458781362</v>
      </c>
      <c r="F51" s="58">
        <v>68</v>
      </c>
      <c r="G51" s="68">
        <f t="shared" si="2"/>
        <v>33.41317365269461</v>
      </c>
      <c r="H51" s="54">
        <v>-1292553</v>
      </c>
      <c r="I51" s="69">
        <f t="shared" si="3"/>
        <v>-38683.933870967739</v>
      </c>
      <c r="K51" s="58">
        <v>84</v>
      </c>
      <c r="L51" s="68">
        <f t="shared" si="4"/>
        <v>30.326086956521738</v>
      </c>
      <c r="M51" s="54">
        <v>-948146</v>
      </c>
      <c r="N51" s="69">
        <f t="shared" si="5"/>
        <v>-31265.029390681004</v>
      </c>
      <c r="P51" s="58">
        <v>40</v>
      </c>
      <c r="Q51" s="68">
        <f t="shared" si="6"/>
        <v>33.41317365269461</v>
      </c>
      <c r="R51" s="54">
        <v>-1028317</v>
      </c>
      <c r="S51" s="69">
        <f t="shared" si="7"/>
        <v>-30775.795519713261</v>
      </c>
    </row>
    <row r="52" spans="1:20" x14ac:dyDescent="0.25">
      <c r="A52" s="58">
        <v>91</v>
      </c>
      <c r="B52" s="68">
        <f t="shared" si="0"/>
        <v>30.326086956521738</v>
      </c>
      <c r="C52" s="54">
        <v>-1477388</v>
      </c>
      <c r="D52" s="69">
        <f t="shared" si="1"/>
        <v>-48716.736917562725</v>
      </c>
      <c r="F52" s="58">
        <v>60</v>
      </c>
      <c r="G52" s="68">
        <f t="shared" si="2"/>
        <v>33.41317365269461</v>
      </c>
      <c r="H52" s="54">
        <v>-1363928</v>
      </c>
      <c r="I52" s="69">
        <f t="shared" si="3"/>
        <v>-40820.067383512549</v>
      </c>
      <c r="K52" s="58">
        <v>37</v>
      </c>
      <c r="L52" s="68">
        <f t="shared" si="4"/>
        <v>30.326086956521738</v>
      </c>
      <c r="M52" s="54">
        <v>-1123636</v>
      </c>
      <c r="N52" s="69">
        <f t="shared" si="5"/>
        <v>-37051.796415770608</v>
      </c>
      <c r="P52" s="58">
        <v>45</v>
      </c>
      <c r="Q52" s="68">
        <f t="shared" si="6"/>
        <v>33.41317365269461</v>
      </c>
      <c r="R52" s="54">
        <v>-1108132</v>
      </c>
      <c r="S52" s="69">
        <f t="shared" si="7"/>
        <v>-33164.524014336916</v>
      </c>
    </row>
    <row r="53" spans="1:20" x14ac:dyDescent="0.25">
      <c r="A53" s="58">
        <v>67</v>
      </c>
      <c r="B53" s="68">
        <f t="shared" si="0"/>
        <v>30.326086956521738</v>
      </c>
      <c r="C53" s="54">
        <v>-1558535</v>
      </c>
      <c r="D53" s="69">
        <f t="shared" si="1"/>
        <v>-51392.551971326167</v>
      </c>
      <c r="F53" s="50">
        <v>66</v>
      </c>
      <c r="G53" s="70">
        <f t="shared" si="2"/>
        <v>33.41317365269461</v>
      </c>
      <c r="H53" s="51">
        <v>-1541082</v>
      </c>
      <c r="I53" s="71">
        <f t="shared" si="3"/>
        <v>-46121.988172043013</v>
      </c>
      <c r="J53">
        <v>0</v>
      </c>
      <c r="K53" s="58">
        <v>77</v>
      </c>
      <c r="L53" s="68">
        <f t="shared" si="4"/>
        <v>30.326086956521738</v>
      </c>
      <c r="M53" s="54">
        <v>-1136517</v>
      </c>
      <c r="N53" s="69">
        <f t="shared" si="5"/>
        <v>-37476.546236559137</v>
      </c>
      <c r="P53" s="58">
        <v>37</v>
      </c>
      <c r="Q53" s="68">
        <f t="shared" si="6"/>
        <v>33.41317365269461</v>
      </c>
      <c r="R53" s="54">
        <v>-1231599</v>
      </c>
      <c r="S53" s="69">
        <f t="shared" si="7"/>
        <v>-36859.683333333334</v>
      </c>
    </row>
    <row r="54" spans="1:20" x14ac:dyDescent="0.25">
      <c r="A54" s="58">
        <v>93</v>
      </c>
      <c r="B54" s="68">
        <f t="shared" si="0"/>
        <v>30.326086956521738</v>
      </c>
      <c r="C54" s="54">
        <v>-1560391</v>
      </c>
      <c r="D54" s="69">
        <f t="shared" si="1"/>
        <v>-51453.753405017924</v>
      </c>
      <c r="F54" s="58">
        <v>13</v>
      </c>
      <c r="G54" s="68">
        <f t="shared" si="2"/>
        <v>33.41317365269461</v>
      </c>
      <c r="H54" s="54">
        <v>-1570807</v>
      </c>
      <c r="I54" s="69">
        <f t="shared" si="3"/>
        <v>-47011.607347670251</v>
      </c>
      <c r="K54" s="58">
        <v>94</v>
      </c>
      <c r="L54" s="68">
        <f t="shared" si="4"/>
        <v>30.326086956521738</v>
      </c>
      <c r="M54" s="54">
        <v>-1189690</v>
      </c>
      <c r="N54" s="69">
        <f t="shared" si="5"/>
        <v>-39229.921146953406</v>
      </c>
      <c r="P54" s="58">
        <v>80</v>
      </c>
      <c r="Q54" s="68">
        <f t="shared" si="6"/>
        <v>33.41317365269461</v>
      </c>
      <c r="R54" s="54">
        <v>-1261366</v>
      </c>
      <c r="S54" s="69">
        <f t="shared" si="7"/>
        <v>-37750.559498207884</v>
      </c>
    </row>
    <row r="55" spans="1:20" x14ac:dyDescent="0.25">
      <c r="A55" s="58"/>
      <c r="B55" s="59"/>
      <c r="C55" s="54"/>
      <c r="D55" s="55"/>
      <c r="F55" s="58"/>
      <c r="G55" s="59"/>
      <c r="H55" s="54"/>
      <c r="I55" s="55"/>
      <c r="K55" s="50">
        <v>32</v>
      </c>
      <c r="L55" s="70">
        <f t="shared" si="4"/>
        <v>30.326086956521738</v>
      </c>
      <c r="M55" s="51">
        <v>-1238968</v>
      </c>
      <c r="N55" s="71">
        <f t="shared" si="5"/>
        <v>-40854.858781362011</v>
      </c>
      <c r="O55">
        <v>0</v>
      </c>
      <c r="P55" s="58">
        <v>52</v>
      </c>
      <c r="Q55" s="68">
        <f t="shared" si="6"/>
        <v>33.41317365269461</v>
      </c>
      <c r="R55" s="54">
        <v>-1306284</v>
      </c>
      <c r="S55" s="69">
        <f t="shared" si="7"/>
        <v>-39094.879569892473</v>
      </c>
    </row>
    <row r="56" spans="1:20" x14ac:dyDescent="0.25">
      <c r="A56" s="58"/>
      <c r="B56" s="59"/>
      <c r="C56" s="54"/>
      <c r="D56" s="55"/>
      <c r="F56" s="58"/>
      <c r="G56" s="59"/>
      <c r="H56" s="54"/>
      <c r="I56" s="55"/>
      <c r="K56" s="58">
        <v>36</v>
      </c>
      <c r="L56" s="68">
        <f t="shared" si="4"/>
        <v>30.326086956521738</v>
      </c>
      <c r="M56" s="54">
        <v>-1281241</v>
      </c>
      <c r="N56" s="69">
        <f t="shared" si="5"/>
        <v>-42248.807168458785</v>
      </c>
      <c r="P56" s="58">
        <v>38</v>
      </c>
      <c r="Q56" s="68">
        <f t="shared" si="6"/>
        <v>33.41317365269461</v>
      </c>
      <c r="R56" s="54">
        <v>-1308829</v>
      </c>
      <c r="S56" s="69">
        <f t="shared" si="7"/>
        <v>-39171.047132616492</v>
      </c>
    </row>
    <row r="57" spans="1:20" x14ac:dyDescent="0.25">
      <c r="A57" s="58"/>
      <c r="B57" s="59"/>
      <c r="C57" s="54"/>
      <c r="D57" s="55"/>
      <c r="F57" s="58"/>
      <c r="G57" s="59"/>
      <c r="H57" s="54"/>
      <c r="I57" s="55"/>
      <c r="K57" s="58">
        <v>29</v>
      </c>
      <c r="L57" s="68">
        <f t="shared" si="4"/>
        <v>30.326086956521738</v>
      </c>
      <c r="M57" s="54">
        <v>-1329121</v>
      </c>
      <c r="N57" s="69">
        <f t="shared" si="5"/>
        <v>-43827.645878136202</v>
      </c>
      <c r="P57" s="50">
        <v>46</v>
      </c>
      <c r="Q57" s="70">
        <f t="shared" si="6"/>
        <v>33.41317365269461</v>
      </c>
      <c r="R57" s="51">
        <v>-1311822</v>
      </c>
      <c r="S57" s="71">
        <f t="shared" si="7"/>
        <v>-39260.622580645162</v>
      </c>
      <c r="T57">
        <v>0</v>
      </c>
    </row>
    <row r="58" spans="1:20" x14ac:dyDescent="0.25">
      <c r="A58" s="58"/>
      <c r="B58" s="59"/>
      <c r="C58" s="54"/>
      <c r="D58" s="55"/>
      <c r="F58" s="58"/>
      <c r="G58" s="59"/>
      <c r="H58" s="54"/>
      <c r="I58" s="55"/>
      <c r="K58" s="58">
        <v>80</v>
      </c>
      <c r="L58" s="68">
        <f t="shared" si="4"/>
        <v>30.326086956521738</v>
      </c>
      <c r="M58" s="54">
        <v>-1382584</v>
      </c>
      <c r="N58" s="69">
        <f t="shared" si="5"/>
        <v>-45590.583512544807</v>
      </c>
      <c r="P58" s="58">
        <v>53</v>
      </c>
      <c r="Q58" s="68">
        <f t="shared" si="6"/>
        <v>33.41317365269461</v>
      </c>
      <c r="R58" s="54">
        <v>-1316172</v>
      </c>
      <c r="S58" s="69">
        <f t="shared" si="7"/>
        <v>-39390.810752688172</v>
      </c>
    </row>
    <row r="59" spans="1:20" x14ac:dyDescent="0.25">
      <c r="A59" s="58"/>
      <c r="B59" s="59"/>
      <c r="C59" s="54"/>
      <c r="D59" s="55"/>
      <c r="F59" s="58"/>
      <c r="G59" s="59"/>
      <c r="H59" s="54"/>
      <c r="I59" s="55"/>
      <c r="K59" s="58">
        <v>38</v>
      </c>
      <c r="L59" s="68">
        <f t="shared" si="4"/>
        <v>30.326086956521738</v>
      </c>
      <c r="M59" s="54">
        <v>-1454904</v>
      </c>
      <c r="N59" s="69">
        <f t="shared" si="5"/>
        <v>-47975.329032258065</v>
      </c>
      <c r="P59" s="58">
        <v>87</v>
      </c>
      <c r="Q59" s="68">
        <f t="shared" si="6"/>
        <v>33.41317365269461</v>
      </c>
      <c r="R59" s="54">
        <v>-1394051</v>
      </c>
      <c r="S59" s="69">
        <f t="shared" si="7"/>
        <v>-41721.598028673834</v>
      </c>
    </row>
    <row r="60" spans="1:20" x14ac:dyDescent="0.25">
      <c r="A60" s="58"/>
      <c r="B60" s="59"/>
      <c r="C60" s="54"/>
      <c r="D60" s="55"/>
      <c r="F60" s="58"/>
      <c r="G60" s="59"/>
      <c r="H60" s="54"/>
      <c r="I60" s="55"/>
      <c r="K60" s="58">
        <v>96</v>
      </c>
      <c r="L60" s="68">
        <f t="shared" si="4"/>
        <v>30.326086956521738</v>
      </c>
      <c r="M60" s="54">
        <v>-1495940</v>
      </c>
      <c r="N60" s="69">
        <f t="shared" si="5"/>
        <v>-49328.487455197137</v>
      </c>
      <c r="P60" s="58">
        <v>36</v>
      </c>
      <c r="Q60" s="68">
        <f t="shared" si="6"/>
        <v>33.41317365269461</v>
      </c>
      <c r="R60" s="54">
        <v>-1395762</v>
      </c>
      <c r="S60" s="69">
        <f t="shared" si="7"/>
        <v>-41772.805376344084</v>
      </c>
    </row>
    <row r="61" spans="1:20" x14ac:dyDescent="0.25">
      <c r="A61" s="58"/>
      <c r="B61" s="59"/>
      <c r="C61" s="54"/>
      <c r="D61" s="55"/>
      <c r="F61" s="58"/>
      <c r="G61" s="59"/>
      <c r="H61" s="54"/>
      <c r="I61" s="55"/>
      <c r="K61" s="58">
        <v>76</v>
      </c>
      <c r="L61" s="68">
        <f t="shared" si="4"/>
        <v>30.326086956521738</v>
      </c>
      <c r="M61" s="54">
        <v>-1505954</v>
      </c>
      <c r="N61" s="69">
        <f t="shared" si="5"/>
        <v>-49658.698207885303</v>
      </c>
      <c r="P61" s="58">
        <v>42</v>
      </c>
      <c r="Q61" s="68">
        <f t="shared" si="6"/>
        <v>33.41317365269461</v>
      </c>
      <c r="R61" s="54">
        <v>-1449513</v>
      </c>
      <c r="S61" s="69">
        <f t="shared" si="7"/>
        <v>-43381.48225806452</v>
      </c>
    </row>
    <row r="62" spans="1:20" x14ac:dyDescent="0.25">
      <c r="A62" s="58"/>
      <c r="B62" s="59"/>
      <c r="C62" s="54"/>
      <c r="D62" s="55"/>
      <c r="F62" s="58"/>
      <c r="G62" s="59"/>
      <c r="H62" s="54"/>
      <c r="I62" s="55"/>
      <c r="K62" s="58">
        <v>52</v>
      </c>
      <c r="L62" s="68">
        <f t="shared" si="4"/>
        <v>30.326086956521738</v>
      </c>
      <c r="M62" s="54">
        <v>-1572435</v>
      </c>
      <c r="N62" s="69">
        <f t="shared" si="5"/>
        <v>-51850.903225806454</v>
      </c>
      <c r="P62" s="58">
        <v>28</v>
      </c>
      <c r="Q62" s="68">
        <f t="shared" si="6"/>
        <v>33.41317365269461</v>
      </c>
      <c r="R62" s="54">
        <v>-1475625</v>
      </c>
      <c r="S62" s="69">
        <f t="shared" si="7"/>
        <v>-44162.970430107525</v>
      </c>
    </row>
    <row r="63" spans="1:20" x14ac:dyDescent="0.25">
      <c r="A63" s="58"/>
      <c r="B63" s="59"/>
      <c r="C63" s="54"/>
      <c r="D63" s="55"/>
      <c r="F63" s="58"/>
      <c r="G63" s="59"/>
      <c r="H63" s="54"/>
      <c r="I63" s="55"/>
      <c r="K63" s="58">
        <v>100</v>
      </c>
      <c r="L63" s="68">
        <f t="shared" si="4"/>
        <v>30.326086956521738</v>
      </c>
      <c r="M63" s="54">
        <v>-1597710</v>
      </c>
      <c r="N63" s="69">
        <f t="shared" si="5"/>
        <v>-52684.344086021505</v>
      </c>
      <c r="P63" s="50">
        <v>83</v>
      </c>
      <c r="Q63" s="70">
        <f t="shared" si="6"/>
        <v>33.41317365269461</v>
      </c>
      <c r="R63" s="51">
        <v>-1533913</v>
      </c>
      <c r="S63" s="71">
        <f t="shared" si="7"/>
        <v>-45907.432078853046</v>
      </c>
    </row>
    <row r="64" spans="1:20" x14ac:dyDescent="0.25">
      <c r="A64" s="58"/>
      <c r="B64" s="59"/>
      <c r="C64" s="54"/>
      <c r="D64" s="55"/>
      <c r="F64" s="58"/>
      <c r="G64" s="59"/>
      <c r="H64" s="54"/>
      <c r="I64" s="55"/>
      <c r="K64" s="58">
        <v>51</v>
      </c>
      <c r="L64" s="68">
        <f t="shared" si="4"/>
        <v>30.326086956521738</v>
      </c>
      <c r="M64" s="54">
        <v>-1602000</v>
      </c>
      <c r="N64" s="69">
        <f t="shared" si="5"/>
        <v>-52825.806451612902</v>
      </c>
      <c r="P64" s="58">
        <v>77</v>
      </c>
      <c r="Q64" s="68">
        <f t="shared" si="6"/>
        <v>33.41317365269461</v>
      </c>
      <c r="R64" s="54">
        <v>-1545855</v>
      </c>
      <c r="S64" s="69">
        <f t="shared" si="7"/>
        <v>-46264.836021505376</v>
      </c>
    </row>
    <row r="65" spans="1:19" x14ac:dyDescent="0.25">
      <c r="A65" s="58"/>
      <c r="B65" s="59"/>
      <c r="C65" s="54"/>
      <c r="D65" s="55"/>
      <c r="F65" s="58"/>
      <c r="G65" s="59"/>
      <c r="H65" s="54"/>
      <c r="I65" s="55"/>
      <c r="K65" s="58"/>
      <c r="L65" s="59"/>
      <c r="M65" s="54"/>
      <c r="N65" s="55"/>
      <c r="P65" s="58"/>
      <c r="Q65" s="59"/>
      <c r="R65" s="54"/>
      <c r="S65" s="55"/>
    </row>
    <row r="66" spans="1:19" x14ac:dyDescent="0.25">
      <c r="A66" s="58"/>
      <c r="B66" s="59"/>
      <c r="C66" s="54"/>
      <c r="D66" s="55"/>
      <c r="F66" s="58"/>
      <c r="G66" s="59"/>
      <c r="H66" s="54"/>
      <c r="I66" s="55"/>
      <c r="K66" s="58"/>
      <c r="L66" s="59"/>
      <c r="M66" s="54"/>
      <c r="N66" s="55"/>
      <c r="P66" s="58"/>
      <c r="Q66" s="59"/>
      <c r="R66" s="54"/>
      <c r="S66" s="55"/>
    </row>
    <row r="67" spans="1:19" x14ac:dyDescent="0.25">
      <c r="A67" s="58"/>
      <c r="B67" s="59"/>
      <c r="C67" s="54"/>
      <c r="D67" s="55"/>
      <c r="F67" s="58"/>
      <c r="G67" s="59"/>
      <c r="H67" s="54"/>
      <c r="I67" s="55"/>
      <c r="K67" s="58"/>
      <c r="L67" s="59"/>
      <c r="M67" s="54"/>
      <c r="N67" s="55"/>
      <c r="P67" s="58"/>
      <c r="Q67" s="59"/>
      <c r="R67" s="54"/>
      <c r="S67" s="55"/>
    </row>
    <row r="68" spans="1:19" x14ac:dyDescent="0.25">
      <c r="A68" s="58"/>
      <c r="B68" s="59"/>
      <c r="C68" s="54"/>
      <c r="D68" s="55"/>
      <c r="F68" s="58"/>
      <c r="G68" s="59"/>
      <c r="H68" s="54"/>
      <c r="I68" s="55"/>
      <c r="K68" s="58"/>
      <c r="L68" s="59"/>
      <c r="M68" s="54"/>
      <c r="N68" s="55"/>
      <c r="P68" s="58"/>
      <c r="Q68" s="59"/>
      <c r="R68" s="54"/>
      <c r="S68" s="55"/>
    </row>
    <row r="69" spans="1:19" x14ac:dyDescent="0.25">
      <c r="A69" s="58"/>
      <c r="B69" s="59"/>
      <c r="C69" s="54"/>
      <c r="D69" s="55"/>
      <c r="F69" s="58"/>
      <c r="G69" s="59"/>
      <c r="H69" s="54"/>
      <c r="I69" s="55"/>
      <c r="K69" s="58"/>
      <c r="L69" s="59"/>
      <c r="M69" s="54"/>
      <c r="N69" s="55"/>
      <c r="P69" s="58"/>
      <c r="Q69" s="59"/>
      <c r="R69" s="54"/>
      <c r="S69" s="55"/>
    </row>
    <row r="70" spans="1:19" x14ac:dyDescent="0.25">
      <c r="A70" s="58"/>
      <c r="B70" s="59"/>
      <c r="C70" s="54"/>
      <c r="D70" s="55"/>
      <c r="F70" s="58"/>
      <c r="G70" s="59"/>
      <c r="H70" s="54"/>
      <c r="I70" s="55"/>
      <c r="K70" s="58"/>
      <c r="L70" s="59"/>
      <c r="M70" s="54"/>
      <c r="N70" s="55"/>
      <c r="P70" s="58"/>
      <c r="Q70" s="59"/>
      <c r="R70" s="54"/>
      <c r="S70" s="55"/>
    </row>
    <row r="71" spans="1:19" x14ac:dyDescent="0.25">
      <c r="A71" s="58"/>
      <c r="B71" s="59"/>
      <c r="C71" s="54"/>
      <c r="D71" s="55"/>
      <c r="F71" s="58"/>
      <c r="G71" s="59"/>
      <c r="H71" s="54"/>
      <c r="I71" s="55"/>
      <c r="K71" s="58"/>
      <c r="L71" s="59"/>
      <c r="M71" s="54"/>
      <c r="N71" s="55"/>
      <c r="P71" s="58"/>
      <c r="Q71" s="59"/>
      <c r="R71" s="54"/>
      <c r="S71" s="55"/>
    </row>
    <row r="72" spans="1:19" x14ac:dyDescent="0.25">
      <c r="A72" s="58"/>
      <c r="B72" s="59"/>
      <c r="C72" s="54"/>
      <c r="D72" s="55"/>
      <c r="F72" s="58"/>
      <c r="G72" s="59"/>
      <c r="H72" s="54"/>
      <c r="I72" s="55"/>
      <c r="K72" s="58"/>
      <c r="L72" s="59"/>
      <c r="M72" s="54"/>
      <c r="N72" s="55"/>
      <c r="P72" s="58"/>
      <c r="Q72" s="59"/>
      <c r="R72" s="54"/>
      <c r="S72" s="55"/>
    </row>
    <row r="73" spans="1:19" x14ac:dyDescent="0.25">
      <c r="A73" s="58"/>
      <c r="B73" s="59"/>
      <c r="C73" s="54"/>
      <c r="D73" s="55"/>
      <c r="F73" s="58"/>
      <c r="G73" s="59"/>
      <c r="H73" s="54"/>
      <c r="I73" s="55"/>
      <c r="K73" s="58"/>
      <c r="L73" s="59"/>
      <c r="M73" s="54"/>
      <c r="N73" s="55"/>
      <c r="P73" s="58"/>
      <c r="Q73" s="59"/>
      <c r="R73" s="54"/>
      <c r="S73" s="55"/>
    </row>
    <row r="74" spans="1:19" x14ac:dyDescent="0.25">
      <c r="A74" s="58"/>
      <c r="B74" s="59"/>
      <c r="C74" s="54"/>
      <c r="D74" s="55"/>
      <c r="F74" s="58"/>
      <c r="G74" s="59"/>
      <c r="H74" s="54"/>
      <c r="I74" s="55"/>
      <c r="K74" s="58"/>
      <c r="L74" s="59"/>
      <c r="M74" s="54"/>
      <c r="N74" s="55"/>
      <c r="P74" s="58"/>
      <c r="Q74" s="59"/>
      <c r="R74" s="54"/>
      <c r="S74" s="55"/>
    </row>
    <row r="75" spans="1:19" x14ac:dyDescent="0.25">
      <c r="A75" s="58"/>
      <c r="B75" s="59"/>
      <c r="C75" s="54"/>
      <c r="D75" s="55"/>
      <c r="F75" s="58"/>
      <c r="G75" s="59"/>
      <c r="H75" s="54"/>
      <c r="I75" s="55"/>
      <c r="K75" s="58"/>
      <c r="L75" s="59"/>
      <c r="M75" s="54"/>
      <c r="N75" s="55"/>
      <c r="P75" s="58"/>
      <c r="Q75" s="59"/>
      <c r="R75" s="54"/>
      <c r="S75" s="55"/>
    </row>
    <row r="76" spans="1:19" x14ac:dyDescent="0.25">
      <c r="A76" s="58"/>
      <c r="B76" s="59"/>
      <c r="C76" s="54"/>
      <c r="D76" s="55"/>
      <c r="F76" s="58"/>
      <c r="G76" s="59"/>
      <c r="H76" s="54"/>
      <c r="I76" s="55"/>
      <c r="K76" s="58"/>
      <c r="L76" s="59"/>
      <c r="M76" s="54"/>
      <c r="N76" s="55"/>
      <c r="P76" s="58"/>
      <c r="Q76" s="59"/>
      <c r="R76" s="54"/>
      <c r="S76" s="55"/>
    </row>
    <row r="77" spans="1:19" x14ac:dyDescent="0.25">
      <c r="A77" s="58"/>
      <c r="B77" s="59"/>
      <c r="C77" s="54"/>
      <c r="D77" s="55"/>
      <c r="F77" s="58"/>
      <c r="G77" s="59"/>
      <c r="H77" s="54"/>
      <c r="I77" s="55"/>
      <c r="K77" s="58"/>
      <c r="L77" s="59"/>
      <c r="M77" s="54"/>
      <c r="N77" s="55"/>
      <c r="P77" s="58"/>
      <c r="Q77" s="59"/>
      <c r="R77" s="54"/>
      <c r="S77" s="55"/>
    </row>
    <row r="78" spans="1:19" x14ac:dyDescent="0.25">
      <c r="A78" s="58"/>
      <c r="B78" s="59"/>
      <c r="C78" s="54"/>
      <c r="D78" s="55"/>
      <c r="F78" s="58"/>
      <c r="G78" s="59"/>
      <c r="H78" s="54"/>
      <c r="I78" s="55"/>
      <c r="K78" s="58"/>
      <c r="L78" s="59"/>
      <c r="M78" s="54"/>
      <c r="N78" s="55"/>
      <c r="P78" s="58"/>
      <c r="Q78" s="59"/>
      <c r="R78" s="54"/>
      <c r="S78" s="55"/>
    </row>
    <row r="79" spans="1:19" x14ac:dyDescent="0.25">
      <c r="A79" s="58"/>
      <c r="B79" s="59"/>
      <c r="C79" s="54"/>
      <c r="D79" s="55"/>
      <c r="F79" s="58"/>
      <c r="G79" s="59"/>
      <c r="H79" s="54"/>
      <c r="I79" s="55"/>
      <c r="K79" s="58"/>
      <c r="L79" s="59"/>
      <c r="M79" s="54"/>
      <c r="N79" s="55"/>
      <c r="P79" s="58"/>
      <c r="Q79" s="59"/>
      <c r="R79" s="54"/>
      <c r="S79" s="55"/>
    </row>
    <row r="80" spans="1:19" x14ac:dyDescent="0.25">
      <c r="A80" s="58"/>
      <c r="B80" s="59"/>
      <c r="C80" s="54"/>
      <c r="D80" s="55"/>
      <c r="F80" s="58"/>
      <c r="G80" s="59"/>
      <c r="H80" s="54"/>
      <c r="I80" s="55"/>
      <c r="K80" s="58"/>
      <c r="L80" s="59"/>
      <c r="M80" s="54"/>
      <c r="N80" s="55"/>
      <c r="P80" s="58"/>
      <c r="Q80" s="59"/>
      <c r="R80" s="54"/>
      <c r="S80" s="55"/>
    </row>
    <row r="81" spans="1:19" x14ac:dyDescent="0.25">
      <c r="A81" s="58"/>
      <c r="B81" s="59"/>
      <c r="C81" s="54"/>
      <c r="D81" s="55"/>
      <c r="F81" s="58"/>
      <c r="G81" s="59"/>
      <c r="H81" s="54"/>
      <c r="I81" s="55"/>
      <c r="K81" s="58"/>
      <c r="L81" s="59"/>
      <c r="M81" s="54"/>
      <c r="N81" s="55"/>
      <c r="P81" s="58"/>
      <c r="Q81" s="59"/>
      <c r="R81" s="54"/>
      <c r="S81" s="55"/>
    </row>
    <row r="82" spans="1:19" x14ac:dyDescent="0.25">
      <c r="A82" s="58"/>
      <c r="B82" s="59"/>
      <c r="C82" s="54"/>
      <c r="D82" s="55"/>
      <c r="F82" s="58"/>
      <c r="G82" s="59"/>
      <c r="H82" s="54"/>
      <c r="I82" s="55"/>
      <c r="K82" s="58"/>
      <c r="L82" s="59"/>
      <c r="M82" s="54"/>
      <c r="N82" s="55"/>
      <c r="P82" s="58"/>
      <c r="Q82" s="59"/>
      <c r="R82" s="54"/>
      <c r="S82" s="55"/>
    </row>
    <row r="83" spans="1:19" x14ac:dyDescent="0.25">
      <c r="A83" s="58"/>
      <c r="B83" s="59"/>
      <c r="C83" s="54"/>
      <c r="D83" s="55"/>
      <c r="F83" s="58"/>
      <c r="G83" s="59"/>
      <c r="H83" s="54"/>
      <c r="I83" s="55"/>
      <c r="K83" s="58"/>
      <c r="L83" s="59"/>
      <c r="M83" s="54"/>
      <c r="N83" s="55"/>
      <c r="P83" s="58"/>
      <c r="Q83" s="59"/>
      <c r="R83" s="54"/>
      <c r="S83" s="55"/>
    </row>
    <row r="84" spans="1:19" x14ac:dyDescent="0.25">
      <c r="A84" s="58"/>
      <c r="B84" s="59"/>
      <c r="C84" s="54"/>
      <c r="D84" s="55"/>
      <c r="F84" s="58"/>
      <c r="G84" s="59"/>
      <c r="H84" s="54"/>
      <c r="I84" s="55"/>
      <c r="K84" s="58"/>
      <c r="L84" s="59"/>
      <c r="M84" s="54"/>
      <c r="N84" s="55"/>
      <c r="P84" s="58"/>
      <c r="Q84" s="59"/>
      <c r="R84" s="54"/>
      <c r="S84" s="55"/>
    </row>
    <row r="85" spans="1:19" x14ac:dyDescent="0.25">
      <c r="A85" s="58"/>
      <c r="B85" s="59"/>
      <c r="C85" s="54"/>
      <c r="D85" s="55"/>
      <c r="F85" s="58"/>
      <c r="G85" s="59"/>
      <c r="H85" s="54"/>
      <c r="I85" s="55"/>
      <c r="K85" s="58"/>
      <c r="L85" s="59"/>
      <c r="M85" s="54"/>
      <c r="N85" s="55"/>
      <c r="P85" s="58"/>
      <c r="Q85" s="59"/>
      <c r="R85" s="54"/>
      <c r="S85" s="55"/>
    </row>
    <row r="86" spans="1:19" x14ac:dyDescent="0.25">
      <c r="A86" s="58"/>
      <c r="B86" s="59"/>
      <c r="C86" s="54"/>
      <c r="D86" s="55"/>
      <c r="F86" s="58"/>
      <c r="G86" s="59"/>
      <c r="H86" s="54"/>
      <c r="I86" s="55"/>
      <c r="K86" s="58"/>
      <c r="L86" s="59"/>
      <c r="M86" s="54"/>
      <c r="N86" s="55"/>
      <c r="P86" s="58"/>
      <c r="Q86" s="59"/>
      <c r="R86" s="54"/>
      <c r="S86" s="55"/>
    </row>
    <row r="87" spans="1:19" x14ac:dyDescent="0.25">
      <c r="A87" s="58"/>
      <c r="B87" s="59"/>
      <c r="C87" s="54"/>
      <c r="D87" s="55"/>
      <c r="F87" s="58"/>
      <c r="G87" s="59"/>
      <c r="H87" s="54"/>
      <c r="I87" s="55"/>
      <c r="K87" s="58"/>
      <c r="L87" s="59"/>
      <c r="M87" s="54"/>
      <c r="N87" s="55"/>
      <c r="P87" s="58"/>
      <c r="Q87" s="59"/>
      <c r="R87" s="54"/>
      <c r="S87" s="55"/>
    </row>
    <row r="88" spans="1:19" x14ac:dyDescent="0.25">
      <c r="A88" s="58"/>
      <c r="B88" s="59"/>
      <c r="C88" s="54"/>
      <c r="D88" s="55"/>
      <c r="F88" s="58"/>
      <c r="G88" s="59"/>
      <c r="H88" s="54"/>
      <c r="I88" s="55"/>
      <c r="K88" s="58"/>
      <c r="L88" s="59"/>
      <c r="M88" s="54"/>
      <c r="N88" s="55"/>
      <c r="P88" s="58"/>
      <c r="Q88" s="59"/>
      <c r="R88" s="54"/>
      <c r="S88" s="55"/>
    </row>
    <row r="89" spans="1:19" x14ac:dyDescent="0.25">
      <c r="A89" s="58"/>
      <c r="B89" s="59"/>
      <c r="C89" s="54"/>
      <c r="D89" s="55"/>
      <c r="F89" s="58"/>
      <c r="G89" s="59"/>
      <c r="H89" s="54"/>
      <c r="I89" s="55"/>
      <c r="K89" s="58"/>
      <c r="L89" s="59"/>
      <c r="M89" s="54"/>
      <c r="N89" s="55"/>
      <c r="P89" s="58"/>
      <c r="Q89" s="59"/>
      <c r="R89" s="54"/>
      <c r="S89" s="55"/>
    </row>
    <row r="90" spans="1:19" x14ac:dyDescent="0.25">
      <c r="A90" s="58"/>
      <c r="B90" s="59"/>
      <c r="C90" s="54"/>
      <c r="D90" s="55"/>
      <c r="F90" s="58"/>
      <c r="G90" s="59"/>
      <c r="H90" s="54"/>
      <c r="I90" s="55"/>
      <c r="K90" s="58"/>
      <c r="L90" s="59"/>
      <c r="M90" s="54"/>
      <c r="N90" s="55"/>
      <c r="P90" s="58"/>
      <c r="Q90" s="59"/>
      <c r="R90" s="54"/>
      <c r="S90" s="55"/>
    </row>
    <row r="91" spans="1:19" x14ac:dyDescent="0.25">
      <c r="A91" s="58"/>
      <c r="B91" s="59"/>
      <c r="C91" s="54"/>
      <c r="D91" s="55"/>
      <c r="F91" s="58"/>
      <c r="G91" s="59"/>
      <c r="H91" s="54"/>
      <c r="I91" s="55"/>
      <c r="K91" s="58"/>
      <c r="L91" s="59"/>
      <c r="M91" s="54"/>
      <c r="N91" s="55"/>
      <c r="P91" s="58"/>
      <c r="Q91" s="59"/>
      <c r="R91" s="54"/>
      <c r="S91" s="55"/>
    </row>
    <row r="92" spans="1:19" x14ac:dyDescent="0.25">
      <c r="A92" s="58"/>
      <c r="B92" s="59"/>
      <c r="C92" s="54"/>
      <c r="D92" s="55"/>
      <c r="F92" s="58"/>
      <c r="G92" s="59"/>
      <c r="H92" s="54"/>
      <c r="I92" s="55"/>
      <c r="K92" s="58"/>
      <c r="L92" s="59"/>
      <c r="M92" s="54"/>
      <c r="N92" s="55"/>
      <c r="P92" s="58"/>
      <c r="Q92" s="59"/>
      <c r="R92" s="54"/>
      <c r="S92" s="55"/>
    </row>
    <row r="93" spans="1:19" x14ac:dyDescent="0.25">
      <c r="A93" s="58"/>
      <c r="B93" s="59"/>
      <c r="C93" s="54"/>
      <c r="D93" s="55"/>
      <c r="F93" s="58"/>
      <c r="G93" s="59"/>
      <c r="H93" s="54"/>
      <c r="I93" s="55"/>
      <c r="K93" s="58"/>
      <c r="L93" s="59"/>
      <c r="M93" s="54"/>
      <c r="N93" s="55"/>
      <c r="P93" s="58"/>
      <c r="Q93" s="59"/>
      <c r="R93" s="54"/>
      <c r="S93" s="55"/>
    </row>
    <row r="94" spans="1:19" x14ac:dyDescent="0.25">
      <c r="A94" s="58"/>
      <c r="B94" s="59"/>
      <c r="C94" s="54"/>
      <c r="D94" s="55"/>
      <c r="F94" s="58"/>
      <c r="G94" s="59"/>
      <c r="H94" s="54"/>
      <c r="I94" s="55"/>
      <c r="K94" s="58"/>
      <c r="L94" s="59"/>
      <c r="M94" s="54"/>
      <c r="N94" s="55"/>
      <c r="P94" s="58"/>
      <c r="Q94" s="59"/>
      <c r="R94" s="54"/>
      <c r="S94" s="55"/>
    </row>
    <row r="95" spans="1:19" x14ac:dyDescent="0.25">
      <c r="A95" s="58"/>
      <c r="B95" s="59"/>
      <c r="C95" s="54"/>
      <c r="D95" s="55"/>
      <c r="F95" s="58"/>
      <c r="G95" s="59"/>
      <c r="H95" s="54"/>
      <c r="I95" s="55"/>
      <c r="K95" s="58"/>
      <c r="L95" s="59"/>
      <c r="M95" s="54"/>
      <c r="N95" s="55"/>
      <c r="P95" s="58"/>
      <c r="Q95" s="59"/>
      <c r="R95" s="54"/>
      <c r="S95" s="55"/>
    </row>
    <row r="96" spans="1:19" x14ac:dyDescent="0.25">
      <c r="A96" s="58"/>
      <c r="B96" s="59"/>
      <c r="C96" s="54"/>
      <c r="D96" s="55"/>
      <c r="F96" s="58"/>
      <c r="G96" s="59"/>
      <c r="H96" s="54"/>
      <c r="I96" s="55"/>
      <c r="K96" s="58"/>
      <c r="L96" s="59"/>
      <c r="M96" s="54"/>
      <c r="N96" s="55"/>
      <c r="P96" s="58"/>
      <c r="Q96" s="59"/>
      <c r="R96" s="54"/>
      <c r="S96" s="55"/>
    </row>
    <row r="97" spans="1:19" x14ac:dyDescent="0.25">
      <c r="A97" s="58"/>
      <c r="B97" s="59"/>
      <c r="C97" s="54"/>
      <c r="D97" s="55"/>
      <c r="F97" s="58"/>
      <c r="G97" s="59"/>
      <c r="H97" s="54"/>
      <c r="I97" s="55"/>
      <c r="K97" s="58"/>
      <c r="L97" s="59"/>
      <c r="M97" s="54"/>
      <c r="N97" s="55"/>
      <c r="P97" s="58"/>
      <c r="Q97" s="59"/>
      <c r="R97" s="54"/>
      <c r="S97" s="55"/>
    </row>
    <row r="98" spans="1:19" x14ac:dyDescent="0.25">
      <c r="A98" s="58"/>
      <c r="B98" s="59"/>
      <c r="C98" s="54"/>
      <c r="D98" s="55"/>
      <c r="F98" s="58"/>
      <c r="G98" s="59"/>
      <c r="H98" s="54"/>
      <c r="I98" s="55"/>
      <c r="K98" s="58"/>
      <c r="L98" s="59"/>
      <c r="M98" s="54"/>
      <c r="N98" s="55"/>
      <c r="P98" s="58"/>
      <c r="Q98" s="59"/>
      <c r="R98" s="54"/>
      <c r="S98" s="55"/>
    </row>
    <row r="99" spans="1:19" x14ac:dyDescent="0.25">
      <c r="A99" s="58"/>
      <c r="B99" s="59"/>
      <c r="C99" s="54"/>
      <c r="D99" s="55"/>
      <c r="F99" s="58"/>
      <c r="G99" s="59"/>
      <c r="H99" s="54"/>
      <c r="I99" s="55"/>
      <c r="K99" s="58"/>
      <c r="L99" s="59"/>
      <c r="M99" s="54"/>
      <c r="N99" s="55"/>
      <c r="P99" s="58"/>
      <c r="Q99" s="59"/>
      <c r="R99" s="54"/>
      <c r="S99" s="55"/>
    </row>
    <row r="100" spans="1:19" x14ac:dyDescent="0.25">
      <c r="A100" s="58"/>
      <c r="B100" s="59"/>
      <c r="C100" s="54"/>
      <c r="D100" s="55"/>
      <c r="F100" s="58"/>
      <c r="G100" s="59"/>
      <c r="H100" s="54"/>
      <c r="I100" s="55"/>
      <c r="K100" s="58"/>
      <c r="L100" s="59"/>
      <c r="M100" s="54"/>
      <c r="N100" s="55"/>
      <c r="P100" s="58"/>
      <c r="Q100" s="59"/>
      <c r="R100" s="54"/>
      <c r="S100" s="55"/>
    </row>
    <row r="101" spans="1:19" x14ac:dyDescent="0.25">
      <c r="A101" s="58"/>
      <c r="B101" s="59"/>
      <c r="C101" s="54"/>
      <c r="D101" s="55"/>
      <c r="F101" s="58"/>
      <c r="G101" s="59"/>
      <c r="H101" s="54"/>
      <c r="I101" s="55"/>
      <c r="K101" s="58"/>
      <c r="L101" s="59"/>
      <c r="M101" s="54"/>
      <c r="N101" s="55"/>
      <c r="P101" s="58"/>
      <c r="Q101" s="59"/>
      <c r="R101" s="54"/>
      <c r="S101" s="55"/>
    </row>
    <row r="102" spans="1:19" x14ac:dyDescent="0.25">
      <c r="A102" s="58"/>
      <c r="B102" s="59"/>
      <c r="C102" s="54"/>
      <c r="D102" s="55"/>
      <c r="F102" s="58"/>
      <c r="G102" s="59"/>
      <c r="H102" s="54"/>
      <c r="I102" s="55"/>
      <c r="K102" s="58"/>
      <c r="L102" s="59"/>
      <c r="M102" s="54"/>
      <c r="N102" s="55"/>
      <c r="P102" s="58"/>
      <c r="Q102" s="59"/>
      <c r="R102" s="54"/>
      <c r="S102" s="55"/>
    </row>
    <row r="103" spans="1:19" x14ac:dyDescent="0.25">
      <c r="A103" s="58"/>
      <c r="B103" s="59"/>
      <c r="C103" s="54"/>
      <c r="D103" s="55"/>
      <c r="F103" s="58"/>
      <c r="G103" s="59"/>
      <c r="H103" s="54"/>
      <c r="I103" s="55"/>
      <c r="K103" s="58"/>
      <c r="L103" s="59"/>
      <c r="M103" s="54"/>
      <c r="N103" s="55"/>
      <c r="P103" s="58"/>
      <c r="Q103" s="59"/>
      <c r="R103" s="54"/>
      <c r="S103" s="55"/>
    </row>
    <row r="104" spans="1:19" x14ac:dyDescent="0.25">
      <c r="A104" s="58"/>
      <c r="B104" s="59"/>
      <c r="C104" s="54"/>
      <c r="D104" s="55"/>
      <c r="F104" s="58"/>
      <c r="G104" s="59"/>
      <c r="H104" s="54"/>
      <c r="I104" s="55"/>
      <c r="K104" s="58"/>
      <c r="L104" s="59"/>
      <c r="M104" s="54"/>
      <c r="N104" s="55"/>
      <c r="P104" s="58"/>
      <c r="Q104" s="59"/>
      <c r="R104" s="54"/>
      <c r="S104" s="55"/>
    </row>
    <row r="105" spans="1:19" x14ac:dyDescent="0.25">
      <c r="A105" s="58"/>
      <c r="B105" s="59"/>
      <c r="C105" s="54"/>
      <c r="D105" s="55"/>
      <c r="F105" s="58"/>
      <c r="G105" s="59"/>
      <c r="H105" s="54"/>
      <c r="I105" s="55"/>
      <c r="K105" s="58"/>
      <c r="L105" s="59"/>
      <c r="M105" s="54"/>
      <c r="N105" s="55"/>
      <c r="P105" s="58"/>
      <c r="Q105" s="59"/>
      <c r="R105" s="54"/>
      <c r="S105" s="55"/>
    </row>
    <row r="106" spans="1:19" x14ac:dyDescent="0.25">
      <c r="A106" s="58"/>
      <c r="B106" s="59"/>
      <c r="C106" s="54"/>
      <c r="D106" s="55"/>
      <c r="F106" s="58"/>
      <c r="G106" s="59"/>
      <c r="H106" s="54"/>
      <c r="I106" s="55"/>
      <c r="K106" s="58"/>
      <c r="L106" s="59"/>
      <c r="M106" s="54"/>
      <c r="N106" s="55"/>
      <c r="P106" s="58"/>
      <c r="Q106" s="59"/>
      <c r="R106" s="54"/>
      <c r="S106" s="55"/>
    </row>
    <row r="107" spans="1:19" x14ac:dyDescent="0.25">
      <c r="A107" s="58"/>
      <c r="B107" s="59"/>
      <c r="C107" s="54"/>
      <c r="D107" s="55"/>
      <c r="F107" s="58"/>
      <c r="G107" s="59"/>
      <c r="H107" s="54"/>
      <c r="I107" s="55"/>
      <c r="K107" s="58"/>
      <c r="L107" s="59"/>
      <c r="M107" s="54"/>
      <c r="N107" s="55"/>
      <c r="P107" s="58"/>
      <c r="Q107" s="59"/>
      <c r="R107" s="54"/>
      <c r="S107" s="55"/>
    </row>
    <row r="108" spans="1:19" x14ac:dyDescent="0.25">
      <c r="A108" s="58"/>
      <c r="B108" s="59"/>
      <c r="C108" s="54"/>
      <c r="D108" s="55"/>
      <c r="F108" s="58"/>
      <c r="G108" s="59"/>
      <c r="H108" s="54"/>
      <c r="I108" s="55"/>
      <c r="K108" s="58"/>
      <c r="L108" s="59"/>
      <c r="M108" s="54"/>
      <c r="N108" s="55"/>
      <c r="P108" s="58"/>
      <c r="Q108" s="59"/>
      <c r="R108" s="54"/>
      <c r="S108" s="55"/>
    </row>
    <row r="109" spans="1:19" x14ac:dyDescent="0.25">
      <c r="A109" s="58"/>
      <c r="B109" s="59"/>
      <c r="C109" s="54"/>
      <c r="D109" s="55"/>
      <c r="F109" s="58"/>
      <c r="G109" s="59"/>
      <c r="H109" s="54"/>
      <c r="I109" s="55"/>
      <c r="K109" s="58"/>
      <c r="L109" s="59"/>
      <c r="M109" s="54"/>
      <c r="N109" s="55"/>
      <c r="P109" s="58"/>
      <c r="Q109" s="59"/>
      <c r="R109" s="54"/>
      <c r="S109" s="55"/>
    </row>
    <row r="110" spans="1:19" x14ac:dyDescent="0.25">
      <c r="A110" s="58"/>
      <c r="B110" s="59"/>
      <c r="C110" s="54"/>
      <c r="D110" s="55"/>
      <c r="F110" s="58"/>
      <c r="G110" s="59"/>
      <c r="H110" s="54"/>
      <c r="I110" s="55"/>
      <c r="K110" s="58"/>
      <c r="L110" s="59"/>
      <c r="M110" s="54"/>
      <c r="N110" s="55"/>
      <c r="P110" s="58"/>
      <c r="Q110" s="59"/>
      <c r="R110" s="54"/>
      <c r="S110" s="55"/>
    </row>
    <row r="111" spans="1:19" x14ac:dyDescent="0.25">
      <c r="A111" s="58"/>
      <c r="B111" s="59"/>
      <c r="C111" s="54"/>
      <c r="D111" s="55"/>
      <c r="F111" s="58"/>
      <c r="G111" s="59"/>
      <c r="H111" s="54"/>
      <c r="I111" s="55"/>
      <c r="K111" s="58"/>
      <c r="L111" s="59"/>
      <c r="M111" s="54"/>
      <c r="N111" s="55"/>
      <c r="P111" s="58"/>
      <c r="Q111" s="59"/>
      <c r="R111" s="54"/>
      <c r="S111" s="55"/>
    </row>
    <row r="112" spans="1:19" x14ac:dyDescent="0.25">
      <c r="A112" s="58"/>
      <c r="B112" s="59"/>
      <c r="C112" s="54"/>
      <c r="D112" s="55"/>
      <c r="F112" s="58"/>
      <c r="G112" s="59"/>
      <c r="H112" s="54"/>
      <c r="I112" s="55"/>
      <c r="K112" s="58"/>
      <c r="L112" s="59"/>
      <c r="M112" s="54"/>
      <c r="N112" s="55"/>
      <c r="P112" s="58"/>
      <c r="Q112" s="59"/>
      <c r="R112" s="54"/>
      <c r="S112" s="55"/>
    </row>
    <row r="113" spans="1:19" x14ac:dyDescent="0.25">
      <c r="A113" s="58"/>
      <c r="B113" s="59"/>
      <c r="C113" s="54"/>
      <c r="D113" s="55"/>
      <c r="F113" s="58"/>
      <c r="G113" s="59"/>
      <c r="H113" s="54"/>
      <c r="I113" s="55"/>
      <c r="K113" s="58"/>
      <c r="L113" s="59"/>
      <c r="M113" s="54"/>
      <c r="N113" s="55"/>
      <c r="P113" s="58"/>
      <c r="Q113" s="59"/>
      <c r="R113" s="54"/>
      <c r="S113" s="55"/>
    </row>
    <row r="114" spans="1:19" x14ac:dyDescent="0.25">
      <c r="A114" s="58"/>
      <c r="B114" s="59"/>
      <c r="C114" s="54"/>
      <c r="D114" s="55"/>
      <c r="F114" s="58"/>
      <c r="G114" s="59"/>
      <c r="H114" s="54"/>
      <c r="I114" s="55"/>
      <c r="K114" s="58"/>
      <c r="L114" s="59"/>
      <c r="M114" s="54"/>
      <c r="N114" s="55"/>
      <c r="P114" s="58"/>
      <c r="Q114" s="59"/>
      <c r="R114" s="54"/>
      <c r="S114" s="55"/>
    </row>
    <row r="115" spans="1:19" x14ac:dyDescent="0.25">
      <c r="A115" s="58"/>
      <c r="B115" s="59"/>
      <c r="C115" s="54"/>
      <c r="D115" s="55"/>
      <c r="F115" s="58"/>
      <c r="G115" s="59"/>
      <c r="H115" s="54"/>
      <c r="I115" s="55"/>
      <c r="K115" s="58"/>
      <c r="L115" s="59"/>
      <c r="M115" s="54"/>
      <c r="N115" s="55"/>
      <c r="P115" s="58"/>
      <c r="Q115" s="59"/>
      <c r="R115" s="54"/>
      <c r="S115" s="55"/>
    </row>
    <row r="116" spans="1:19" x14ac:dyDescent="0.25">
      <c r="A116" s="58"/>
      <c r="B116" s="59"/>
      <c r="C116" s="54"/>
      <c r="D116" s="55"/>
      <c r="F116" s="58"/>
      <c r="G116" s="59"/>
      <c r="H116" s="54"/>
      <c r="I116" s="55"/>
      <c r="K116" s="58"/>
      <c r="L116" s="59"/>
      <c r="M116" s="54"/>
      <c r="N116" s="55"/>
      <c r="P116" s="58"/>
      <c r="Q116" s="59"/>
      <c r="R116" s="54"/>
      <c r="S116" s="55"/>
    </row>
    <row r="117" spans="1:19" x14ac:dyDescent="0.25">
      <c r="A117" s="58"/>
      <c r="B117" s="59"/>
      <c r="C117" s="54"/>
      <c r="D117" s="55"/>
      <c r="F117" s="58"/>
      <c r="G117" s="59"/>
      <c r="H117" s="54"/>
      <c r="I117" s="55"/>
      <c r="K117" s="58"/>
      <c r="L117" s="59"/>
      <c r="M117" s="54"/>
      <c r="N117" s="55"/>
      <c r="P117" s="58"/>
      <c r="Q117" s="59"/>
      <c r="R117" s="54"/>
      <c r="S117" s="55"/>
    </row>
    <row r="118" spans="1:19" ht="15.75" thickBot="1" x14ac:dyDescent="0.3">
      <c r="A118" s="60"/>
      <c r="B118" s="61"/>
      <c r="C118" s="56"/>
      <c r="D118" s="57"/>
      <c r="F118" s="60"/>
      <c r="G118" s="61"/>
      <c r="H118" s="56"/>
      <c r="I118" s="57"/>
      <c r="K118" s="58"/>
      <c r="L118" s="59"/>
      <c r="M118" s="54"/>
      <c r="N118" s="55"/>
      <c r="P118" s="58"/>
      <c r="Q118" s="59"/>
      <c r="R118" s="54"/>
      <c r="S118" s="55"/>
    </row>
    <row r="119" spans="1:19" x14ac:dyDescent="0.25">
      <c r="K119" s="58"/>
      <c r="L119" s="59"/>
      <c r="M119" s="54"/>
      <c r="N119" s="55"/>
      <c r="P119" s="58"/>
      <c r="Q119" s="59"/>
      <c r="R119" s="54"/>
      <c r="S119" s="55"/>
    </row>
    <row r="120" spans="1:19" x14ac:dyDescent="0.25">
      <c r="K120" s="58"/>
      <c r="L120" s="59"/>
      <c r="M120" s="54"/>
      <c r="N120" s="55"/>
      <c r="P120" s="58"/>
      <c r="Q120" s="59"/>
      <c r="R120" s="54"/>
      <c r="S120" s="55"/>
    </row>
    <row r="121" spans="1:19" x14ac:dyDescent="0.25">
      <c r="K121" s="58"/>
      <c r="L121" s="59"/>
      <c r="M121" s="54"/>
      <c r="N121" s="55"/>
      <c r="P121" s="58"/>
      <c r="Q121" s="59"/>
      <c r="R121" s="54"/>
      <c r="S121" s="55"/>
    </row>
    <row r="122" spans="1:19" x14ac:dyDescent="0.25">
      <c r="K122" s="58"/>
      <c r="L122" s="59"/>
      <c r="M122" s="54"/>
      <c r="N122" s="55"/>
      <c r="P122" s="58"/>
      <c r="Q122" s="59"/>
      <c r="R122" s="54"/>
      <c r="S122" s="55"/>
    </row>
    <row r="123" spans="1:19" x14ac:dyDescent="0.25">
      <c r="K123" s="58"/>
      <c r="L123" s="59"/>
      <c r="M123" s="54"/>
      <c r="N123" s="55"/>
      <c r="P123" s="58"/>
      <c r="Q123" s="59"/>
      <c r="R123" s="54"/>
      <c r="S123" s="55"/>
    </row>
    <row r="124" spans="1:19" x14ac:dyDescent="0.25">
      <c r="K124" s="58"/>
      <c r="L124" s="59"/>
      <c r="M124" s="54"/>
      <c r="N124" s="55"/>
      <c r="P124" s="58"/>
      <c r="Q124" s="59"/>
      <c r="R124" s="54"/>
      <c r="S124" s="55"/>
    </row>
    <row r="125" spans="1:19" x14ac:dyDescent="0.25">
      <c r="K125" s="58"/>
      <c r="L125" s="59"/>
      <c r="M125" s="54"/>
      <c r="N125" s="55"/>
      <c r="P125" s="58"/>
      <c r="Q125" s="59"/>
      <c r="R125" s="54"/>
      <c r="S125" s="55"/>
    </row>
    <row r="126" spans="1:19" x14ac:dyDescent="0.25">
      <c r="K126" s="58"/>
      <c r="L126" s="59"/>
      <c r="M126" s="54"/>
      <c r="N126" s="55"/>
      <c r="P126" s="58"/>
      <c r="Q126" s="59"/>
      <c r="R126" s="54"/>
      <c r="S126" s="55"/>
    </row>
    <row r="127" spans="1:19" x14ac:dyDescent="0.25">
      <c r="K127" s="58"/>
      <c r="L127" s="59"/>
      <c r="M127" s="54"/>
      <c r="N127" s="55"/>
      <c r="P127" s="58"/>
      <c r="Q127" s="59"/>
      <c r="R127" s="54"/>
      <c r="S127" s="55"/>
    </row>
    <row r="128" spans="1:19" x14ac:dyDescent="0.25">
      <c r="K128" s="58"/>
      <c r="L128" s="59"/>
      <c r="M128" s="54"/>
      <c r="N128" s="55"/>
      <c r="P128" s="58"/>
      <c r="Q128" s="59"/>
      <c r="R128" s="54"/>
      <c r="S128" s="55"/>
    </row>
    <row r="129" spans="11:19" x14ac:dyDescent="0.25">
      <c r="K129" s="58"/>
      <c r="L129" s="59"/>
      <c r="M129" s="54"/>
      <c r="N129" s="55"/>
      <c r="P129" s="58"/>
      <c r="Q129" s="59"/>
      <c r="R129" s="54"/>
      <c r="S129" s="55"/>
    </row>
    <row r="130" spans="11:19" x14ac:dyDescent="0.25">
      <c r="K130" s="58"/>
      <c r="L130" s="59"/>
      <c r="M130" s="54"/>
      <c r="N130" s="55"/>
      <c r="P130" s="58"/>
      <c r="Q130" s="59"/>
      <c r="R130" s="54"/>
      <c r="S130" s="55"/>
    </row>
    <row r="131" spans="11:19" x14ac:dyDescent="0.25">
      <c r="K131" s="58"/>
      <c r="L131" s="59"/>
      <c r="M131" s="54"/>
      <c r="N131" s="55"/>
      <c r="P131" s="58"/>
      <c r="Q131" s="59"/>
      <c r="R131" s="54"/>
      <c r="S131" s="55"/>
    </row>
    <row r="132" spans="11:19" x14ac:dyDescent="0.25">
      <c r="K132" s="58"/>
      <c r="L132" s="59"/>
      <c r="M132" s="54"/>
      <c r="N132" s="55"/>
      <c r="P132" s="58"/>
      <c r="Q132" s="59"/>
      <c r="R132" s="54"/>
      <c r="S132" s="55"/>
    </row>
    <row r="133" spans="11:19" x14ac:dyDescent="0.25">
      <c r="K133" s="58"/>
      <c r="L133" s="59"/>
      <c r="M133" s="54"/>
      <c r="N133" s="55"/>
      <c r="P133" s="58"/>
      <c r="Q133" s="59"/>
      <c r="R133" s="54"/>
      <c r="S133" s="55"/>
    </row>
    <row r="134" spans="11:19" x14ac:dyDescent="0.25">
      <c r="K134" s="58"/>
      <c r="L134" s="59"/>
      <c r="M134" s="54"/>
      <c r="N134" s="55"/>
      <c r="P134" s="58"/>
      <c r="Q134" s="59"/>
      <c r="R134" s="54"/>
      <c r="S134" s="55"/>
    </row>
    <row r="135" spans="11:19" x14ac:dyDescent="0.25">
      <c r="K135" s="58"/>
      <c r="L135" s="59"/>
      <c r="M135" s="54"/>
      <c r="N135" s="55"/>
      <c r="P135" s="58"/>
      <c r="Q135" s="59"/>
      <c r="R135" s="54"/>
      <c r="S135" s="55"/>
    </row>
    <row r="136" spans="11:19" x14ac:dyDescent="0.25">
      <c r="K136" s="58"/>
      <c r="L136" s="59"/>
      <c r="M136" s="54"/>
      <c r="N136" s="55"/>
      <c r="P136" s="58"/>
      <c r="Q136" s="59"/>
      <c r="R136" s="54"/>
      <c r="S136" s="55"/>
    </row>
    <row r="137" spans="11:19" x14ac:dyDescent="0.25">
      <c r="K137" s="58"/>
      <c r="L137" s="59"/>
      <c r="M137" s="54"/>
      <c r="N137" s="55"/>
      <c r="P137" s="58"/>
      <c r="Q137" s="59"/>
      <c r="R137" s="54"/>
      <c r="S137" s="55"/>
    </row>
    <row r="138" spans="11:19" x14ac:dyDescent="0.25">
      <c r="K138" s="58"/>
      <c r="L138" s="59"/>
      <c r="M138" s="54"/>
      <c r="N138" s="55"/>
      <c r="P138" s="58"/>
      <c r="Q138" s="59"/>
      <c r="R138" s="54"/>
      <c r="S138" s="55"/>
    </row>
    <row r="139" spans="11:19" x14ac:dyDescent="0.25">
      <c r="K139" s="58"/>
      <c r="L139" s="59"/>
      <c r="M139" s="54"/>
      <c r="N139" s="55"/>
      <c r="P139" s="58"/>
      <c r="Q139" s="59"/>
      <c r="R139" s="54"/>
      <c r="S139" s="55"/>
    </row>
    <row r="140" spans="11:19" x14ac:dyDescent="0.25">
      <c r="K140" s="58"/>
      <c r="L140" s="59"/>
      <c r="M140" s="54"/>
      <c r="N140" s="55"/>
      <c r="P140" s="58"/>
      <c r="Q140" s="59"/>
      <c r="R140" s="54"/>
      <c r="S140" s="55"/>
    </row>
    <row r="141" spans="11:19" x14ac:dyDescent="0.25">
      <c r="K141" s="58"/>
      <c r="L141" s="59"/>
      <c r="M141" s="54"/>
      <c r="N141" s="55"/>
      <c r="P141" s="58"/>
      <c r="Q141" s="59"/>
      <c r="R141" s="54"/>
      <c r="S141" s="55"/>
    </row>
    <row r="142" spans="11:19" x14ac:dyDescent="0.25">
      <c r="K142" s="58"/>
      <c r="L142" s="59"/>
      <c r="M142" s="54"/>
      <c r="N142" s="55"/>
      <c r="P142" s="58"/>
      <c r="Q142" s="59"/>
      <c r="R142" s="54"/>
      <c r="S142" s="55"/>
    </row>
    <row r="143" spans="11:19" x14ac:dyDescent="0.25">
      <c r="K143" s="58"/>
      <c r="L143" s="59"/>
      <c r="M143" s="54"/>
      <c r="N143" s="55"/>
      <c r="P143" s="58"/>
      <c r="Q143" s="59"/>
      <c r="R143" s="54"/>
      <c r="S143" s="55"/>
    </row>
    <row r="144" spans="11:19" x14ac:dyDescent="0.25">
      <c r="K144" s="58"/>
      <c r="L144" s="59"/>
      <c r="M144" s="54"/>
      <c r="N144" s="55"/>
      <c r="P144" s="58"/>
      <c r="Q144" s="59"/>
      <c r="R144" s="54"/>
      <c r="S144" s="55"/>
    </row>
    <row r="145" spans="11:19" x14ac:dyDescent="0.25">
      <c r="K145" s="58"/>
      <c r="L145" s="59"/>
      <c r="M145" s="54"/>
      <c r="N145" s="55"/>
      <c r="P145" s="58"/>
      <c r="Q145" s="59"/>
      <c r="R145" s="54"/>
      <c r="S145" s="55"/>
    </row>
    <row r="146" spans="11:19" x14ac:dyDescent="0.25">
      <c r="K146" s="58"/>
      <c r="L146" s="59"/>
      <c r="M146" s="54"/>
      <c r="N146" s="55"/>
      <c r="P146" s="58"/>
      <c r="Q146" s="59"/>
      <c r="R146" s="54"/>
      <c r="S146" s="55"/>
    </row>
    <row r="147" spans="11:19" x14ac:dyDescent="0.25">
      <c r="K147" s="58"/>
      <c r="L147" s="59"/>
      <c r="M147" s="54"/>
      <c r="N147" s="55"/>
      <c r="P147" s="58"/>
      <c r="Q147" s="59"/>
      <c r="R147" s="54"/>
      <c r="S147" s="55"/>
    </row>
    <row r="148" spans="11:19" x14ac:dyDescent="0.25">
      <c r="K148" s="58"/>
      <c r="L148" s="59"/>
      <c r="M148" s="54"/>
      <c r="N148" s="55"/>
      <c r="P148" s="58"/>
      <c r="Q148" s="59"/>
      <c r="R148" s="54"/>
      <c r="S148" s="55"/>
    </row>
    <row r="149" spans="11:19" x14ac:dyDescent="0.25">
      <c r="K149" s="58"/>
      <c r="L149" s="59"/>
      <c r="M149" s="54"/>
      <c r="N149" s="55"/>
      <c r="P149" s="58"/>
      <c r="Q149" s="59"/>
      <c r="R149" s="54"/>
      <c r="S149" s="55"/>
    </row>
    <row r="150" spans="11:19" x14ac:dyDescent="0.25">
      <c r="K150" s="58"/>
      <c r="L150" s="59"/>
      <c r="M150" s="54"/>
      <c r="N150" s="55"/>
      <c r="P150" s="58"/>
      <c r="Q150" s="59"/>
      <c r="R150" s="54"/>
      <c r="S150" s="55"/>
    </row>
    <row r="151" spans="11:19" x14ac:dyDescent="0.25">
      <c r="K151" s="58"/>
      <c r="L151" s="59"/>
      <c r="M151" s="54"/>
      <c r="N151" s="55"/>
      <c r="P151" s="58"/>
      <c r="Q151" s="59"/>
      <c r="R151" s="54"/>
      <c r="S151" s="55"/>
    </row>
    <row r="152" spans="11:19" x14ac:dyDescent="0.25">
      <c r="K152" s="58"/>
      <c r="L152" s="59"/>
      <c r="M152" s="54"/>
      <c r="N152" s="55"/>
      <c r="P152" s="58"/>
      <c r="Q152" s="59"/>
      <c r="R152" s="54"/>
      <c r="S152" s="55"/>
    </row>
    <row r="153" spans="11:19" x14ac:dyDescent="0.25">
      <c r="K153" s="58"/>
      <c r="L153" s="59"/>
      <c r="M153" s="54"/>
      <c r="N153" s="55"/>
      <c r="P153" s="58"/>
      <c r="Q153" s="59"/>
      <c r="R153" s="54"/>
      <c r="S153" s="55"/>
    </row>
    <row r="154" spans="11:19" x14ac:dyDescent="0.25">
      <c r="K154" s="58"/>
      <c r="L154" s="59"/>
      <c r="M154" s="54"/>
      <c r="N154" s="55"/>
      <c r="P154" s="58"/>
      <c r="Q154" s="59"/>
      <c r="R154" s="54"/>
      <c r="S154" s="55"/>
    </row>
    <row r="155" spans="11:19" x14ac:dyDescent="0.25">
      <c r="K155" s="58"/>
      <c r="L155" s="59"/>
      <c r="M155" s="54"/>
      <c r="N155" s="55"/>
      <c r="P155" s="58"/>
      <c r="Q155" s="59"/>
      <c r="R155" s="54"/>
      <c r="S155" s="55"/>
    </row>
    <row r="156" spans="11:19" x14ac:dyDescent="0.25">
      <c r="K156" s="58"/>
      <c r="L156" s="59"/>
      <c r="M156" s="54"/>
      <c r="N156" s="55"/>
      <c r="P156" s="58"/>
      <c r="Q156" s="59"/>
      <c r="R156" s="54"/>
      <c r="S156" s="55"/>
    </row>
    <row r="157" spans="11:19" x14ac:dyDescent="0.25">
      <c r="K157" s="58"/>
      <c r="L157" s="59"/>
      <c r="M157" s="54"/>
      <c r="N157" s="55"/>
      <c r="P157" s="58"/>
      <c r="Q157" s="59"/>
      <c r="R157" s="54"/>
      <c r="S157" s="55"/>
    </row>
    <row r="158" spans="11:19" x14ac:dyDescent="0.25">
      <c r="K158" s="58"/>
      <c r="L158" s="59"/>
      <c r="M158" s="54"/>
      <c r="N158" s="55"/>
      <c r="P158" s="58"/>
      <c r="Q158" s="59"/>
      <c r="R158" s="54"/>
      <c r="S158" s="55"/>
    </row>
    <row r="159" spans="11:19" x14ac:dyDescent="0.25">
      <c r="K159" s="58"/>
      <c r="L159" s="59"/>
      <c r="M159" s="54"/>
      <c r="N159" s="55"/>
      <c r="P159" s="58"/>
      <c r="Q159" s="59"/>
      <c r="R159" s="54"/>
      <c r="S159" s="55"/>
    </row>
    <row r="160" spans="11:19" x14ac:dyDescent="0.25">
      <c r="K160" s="58"/>
      <c r="L160" s="59"/>
      <c r="M160" s="54"/>
      <c r="N160" s="55"/>
      <c r="P160" s="58"/>
      <c r="Q160" s="59"/>
      <c r="R160" s="54"/>
      <c r="S160" s="55"/>
    </row>
    <row r="161" spans="11:19" x14ac:dyDescent="0.25">
      <c r="K161" s="58"/>
      <c r="L161" s="59"/>
      <c r="M161" s="54"/>
      <c r="N161" s="55"/>
      <c r="P161" s="58"/>
      <c r="Q161" s="59"/>
      <c r="R161" s="54"/>
      <c r="S161" s="55"/>
    </row>
    <row r="162" spans="11:19" x14ac:dyDescent="0.25">
      <c r="K162" s="58"/>
      <c r="L162" s="59"/>
      <c r="M162" s="54"/>
      <c r="N162" s="55"/>
      <c r="P162" s="58"/>
      <c r="Q162" s="59"/>
      <c r="R162" s="54"/>
      <c r="S162" s="55"/>
    </row>
    <row r="163" spans="11:19" x14ac:dyDescent="0.25">
      <c r="K163" s="58"/>
      <c r="L163" s="59"/>
      <c r="M163" s="54"/>
      <c r="N163" s="55"/>
      <c r="P163" s="58"/>
      <c r="Q163" s="59"/>
      <c r="R163" s="54"/>
      <c r="S163" s="55"/>
    </row>
    <row r="164" spans="11:19" x14ac:dyDescent="0.25">
      <c r="K164" s="58"/>
      <c r="L164" s="59"/>
      <c r="M164" s="54"/>
      <c r="N164" s="55"/>
      <c r="P164" s="58"/>
      <c r="Q164" s="59"/>
      <c r="R164" s="54"/>
      <c r="S164" s="55"/>
    </row>
    <row r="165" spans="11:19" x14ac:dyDescent="0.25">
      <c r="K165" s="58"/>
      <c r="L165" s="59"/>
      <c r="M165" s="54"/>
      <c r="N165" s="55"/>
      <c r="P165" s="58"/>
      <c r="Q165" s="59"/>
      <c r="R165" s="54"/>
      <c r="S165" s="55"/>
    </row>
    <row r="166" spans="11:19" x14ac:dyDescent="0.25">
      <c r="K166" s="58"/>
      <c r="L166" s="59"/>
      <c r="M166" s="54"/>
      <c r="N166" s="55"/>
      <c r="P166" s="58"/>
      <c r="Q166" s="59"/>
      <c r="R166" s="54"/>
      <c r="S166" s="55"/>
    </row>
    <row r="167" spans="11:19" x14ac:dyDescent="0.25">
      <c r="K167" s="58"/>
      <c r="L167" s="59"/>
      <c r="M167" s="54"/>
      <c r="N167" s="55"/>
      <c r="P167" s="58"/>
      <c r="Q167" s="59"/>
      <c r="R167" s="54"/>
      <c r="S167" s="55"/>
    </row>
    <row r="168" spans="11:19" x14ac:dyDescent="0.25">
      <c r="K168" s="58"/>
      <c r="L168" s="59"/>
      <c r="M168" s="54"/>
      <c r="N168" s="55"/>
      <c r="P168" s="58"/>
      <c r="Q168" s="59"/>
      <c r="R168" s="54"/>
      <c r="S168" s="55"/>
    </row>
    <row r="169" spans="11:19" x14ac:dyDescent="0.25">
      <c r="K169" s="58"/>
      <c r="L169" s="59"/>
      <c r="M169" s="54"/>
      <c r="N169" s="55"/>
      <c r="P169" s="58"/>
      <c r="Q169" s="59"/>
      <c r="R169" s="54"/>
      <c r="S169" s="55"/>
    </row>
    <row r="170" spans="11:19" x14ac:dyDescent="0.25">
      <c r="K170" s="58"/>
      <c r="L170" s="59"/>
      <c r="M170" s="54"/>
      <c r="N170" s="55"/>
      <c r="P170" s="58"/>
      <c r="Q170" s="59"/>
      <c r="R170" s="54"/>
      <c r="S170" s="55"/>
    </row>
    <row r="171" spans="11:19" x14ac:dyDescent="0.25">
      <c r="K171" s="58"/>
      <c r="L171" s="59"/>
      <c r="M171" s="54"/>
      <c r="N171" s="55"/>
      <c r="P171" s="58"/>
      <c r="Q171" s="59"/>
      <c r="R171" s="54"/>
      <c r="S171" s="55"/>
    </row>
    <row r="172" spans="11:19" x14ac:dyDescent="0.25">
      <c r="K172" s="58"/>
      <c r="L172" s="59"/>
      <c r="M172" s="54"/>
      <c r="N172" s="55"/>
      <c r="P172" s="58"/>
      <c r="Q172" s="59"/>
      <c r="R172" s="54"/>
      <c r="S172" s="55"/>
    </row>
    <row r="173" spans="11:19" x14ac:dyDescent="0.25">
      <c r="K173" s="58"/>
      <c r="L173" s="59"/>
      <c r="M173" s="54"/>
      <c r="N173" s="55"/>
      <c r="P173" s="58"/>
      <c r="Q173" s="59"/>
      <c r="R173" s="54"/>
      <c r="S173" s="55"/>
    </row>
    <row r="174" spans="11:19" x14ac:dyDescent="0.25">
      <c r="K174" s="58"/>
      <c r="L174" s="59"/>
      <c r="M174" s="54"/>
      <c r="N174" s="55"/>
      <c r="P174" s="58"/>
      <c r="Q174" s="59"/>
      <c r="R174" s="54"/>
      <c r="S174" s="55"/>
    </row>
    <row r="175" spans="11:19" x14ac:dyDescent="0.25">
      <c r="K175" s="58"/>
      <c r="L175" s="59"/>
      <c r="M175" s="54"/>
      <c r="N175" s="55"/>
      <c r="P175" s="58"/>
      <c r="Q175" s="59"/>
      <c r="R175" s="54"/>
      <c r="S175" s="55"/>
    </row>
    <row r="176" spans="11:19" x14ac:dyDescent="0.25">
      <c r="K176" s="58"/>
      <c r="L176" s="59"/>
      <c r="M176" s="54"/>
      <c r="N176" s="55"/>
      <c r="P176" s="58"/>
      <c r="Q176" s="59"/>
      <c r="R176" s="54"/>
      <c r="S176" s="55"/>
    </row>
    <row r="177" spans="11:19" x14ac:dyDescent="0.25">
      <c r="K177" s="58"/>
      <c r="L177" s="59"/>
      <c r="M177" s="54"/>
      <c r="N177" s="55"/>
      <c r="P177" s="58"/>
      <c r="Q177" s="59"/>
      <c r="R177" s="54"/>
      <c r="S177" s="55"/>
    </row>
    <row r="178" spans="11:19" x14ac:dyDescent="0.25">
      <c r="K178" s="58"/>
      <c r="L178" s="59"/>
      <c r="M178" s="54"/>
      <c r="N178" s="55"/>
      <c r="P178" s="58"/>
      <c r="Q178" s="59"/>
      <c r="R178" s="54"/>
      <c r="S178" s="55"/>
    </row>
    <row r="179" spans="11:19" x14ac:dyDescent="0.25">
      <c r="K179" s="58"/>
      <c r="L179" s="59"/>
      <c r="M179" s="54"/>
      <c r="N179" s="55"/>
      <c r="P179" s="58"/>
      <c r="Q179" s="59"/>
      <c r="R179" s="54"/>
      <c r="S179" s="55"/>
    </row>
    <row r="180" spans="11:19" x14ac:dyDescent="0.25">
      <c r="K180" s="58"/>
      <c r="L180" s="59"/>
      <c r="M180" s="54"/>
      <c r="N180" s="55"/>
      <c r="P180" s="58"/>
      <c r="Q180" s="59"/>
      <c r="R180" s="54"/>
      <c r="S180" s="55"/>
    </row>
    <row r="181" spans="11:19" x14ac:dyDescent="0.25">
      <c r="K181" s="58"/>
      <c r="L181" s="59"/>
      <c r="M181" s="54"/>
      <c r="N181" s="55"/>
      <c r="P181" s="58"/>
      <c r="Q181" s="59"/>
      <c r="R181" s="54"/>
      <c r="S181" s="55"/>
    </row>
    <row r="182" spans="11:19" x14ac:dyDescent="0.25">
      <c r="K182" s="58"/>
      <c r="L182" s="59"/>
      <c r="M182" s="54"/>
      <c r="N182" s="55"/>
      <c r="P182" s="58"/>
      <c r="Q182" s="59"/>
      <c r="R182" s="54"/>
      <c r="S182" s="55"/>
    </row>
    <row r="183" spans="11:19" x14ac:dyDescent="0.25">
      <c r="K183" s="58"/>
      <c r="L183" s="59"/>
      <c r="M183" s="54"/>
      <c r="N183" s="55"/>
      <c r="P183" s="58"/>
      <c r="Q183" s="59"/>
      <c r="R183" s="54"/>
      <c r="S183" s="55"/>
    </row>
    <row r="184" spans="11:19" x14ac:dyDescent="0.25">
      <c r="K184" s="58"/>
      <c r="L184" s="59"/>
      <c r="M184" s="54"/>
      <c r="N184" s="55"/>
      <c r="P184" s="58"/>
      <c r="Q184" s="59"/>
      <c r="R184" s="54"/>
      <c r="S184" s="55"/>
    </row>
    <row r="185" spans="11:19" x14ac:dyDescent="0.25">
      <c r="K185" s="58"/>
      <c r="L185" s="59"/>
      <c r="M185" s="54"/>
      <c r="N185" s="55"/>
      <c r="P185" s="58"/>
      <c r="Q185" s="59"/>
      <c r="R185" s="54"/>
      <c r="S185" s="55"/>
    </row>
    <row r="186" spans="11:19" x14ac:dyDescent="0.25">
      <c r="K186" s="58"/>
      <c r="L186" s="59"/>
      <c r="M186" s="54"/>
      <c r="N186" s="55"/>
      <c r="P186" s="58"/>
      <c r="Q186" s="59"/>
      <c r="R186" s="54"/>
      <c r="S186" s="55"/>
    </row>
    <row r="187" spans="11:19" x14ac:dyDescent="0.25">
      <c r="K187" s="58"/>
      <c r="L187" s="59"/>
      <c r="M187" s="54"/>
      <c r="N187" s="55"/>
      <c r="P187" s="58"/>
      <c r="Q187" s="59"/>
      <c r="R187" s="54"/>
      <c r="S187" s="55"/>
    </row>
    <row r="188" spans="11:19" x14ac:dyDescent="0.25">
      <c r="K188" s="58"/>
      <c r="L188" s="59"/>
      <c r="M188" s="54"/>
      <c r="N188" s="55"/>
      <c r="P188" s="58"/>
      <c r="Q188" s="59"/>
      <c r="R188" s="54"/>
      <c r="S188" s="55"/>
    </row>
    <row r="189" spans="11:19" x14ac:dyDescent="0.25">
      <c r="K189" s="58"/>
      <c r="L189" s="59"/>
      <c r="M189" s="54"/>
      <c r="N189" s="55"/>
      <c r="P189" s="58"/>
      <c r="Q189" s="59"/>
      <c r="R189" s="54"/>
      <c r="S189" s="55"/>
    </row>
    <row r="190" spans="11:19" x14ac:dyDescent="0.25">
      <c r="K190" s="58"/>
      <c r="L190" s="59"/>
      <c r="M190" s="54"/>
      <c r="N190" s="55"/>
      <c r="P190" s="58"/>
      <c r="Q190" s="59"/>
      <c r="R190" s="54"/>
      <c r="S190" s="55"/>
    </row>
    <row r="191" spans="11:19" x14ac:dyDescent="0.25">
      <c r="K191" s="58"/>
      <c r="L191" s="59"/>
      <c r="M191" s="54"/>
      <c r="N191" s="55"/>
      <c r="P191" s="58"/>
      <c r="Q191" s="59"/>
      <c r="R191" s="54"/>
      <c r="S191" s="55"/>
    </row>
    <row r="192" spans="11:19" x14ac:dyDescent="0.25">
      <c r="K192" s="58"/>
      <c r="L192" s="59"/>
      <c r="M192" s="54"/>
      <c r="N192" s="55"/>
      <c r="P192" s="58"/>
      <c r="Q192" s="59"/>
      <c r="R192" s="54"/>
      <c r="S192" s="55"/>
    </row>
    <row r="193" spans="11:19" x14ac:dyDescent="0.25">
      <c r="K193" s="58"/>
      <c r="L193" s="59"/>
      <c r="M193" s="54"/>
      <c r="N193" s="55"/>
      <c r="P193" s="58"/>
      <c r="Q193" s="59"/>
      <c r="R193" s="54"/>
      <c r="S193" s="55"/>
    </row>
    <row r="194" spans="11:19" x14ac:dyDescent="0.25">
      <c r="K194" s="58"/>
      <c r="L194" s="59"/>
      <c r="M194" s="54"/>
      <c r="N194" s="55"/>
      <c r="P194" s="58"/>
      <c r="Q194" s="59"/>
      <c r="R194" s="54"/>
      <c r="S194" s="55"/>
    </row>
    <row r="195" spans="11:19" x14ac:dyDescent="0.25">
      <c r="K195" s="58"/>
      <c r="L195" s="59"/>
      <c r="M195" s="54"/>
      <c r="N195" s="55"/>
      <c r="P195" s="58"/>
      <c r="Q195" s="59"/>
      <c r="R195" s="54"/>
      <c r="S195" s="55"/>
    </row>
    <row r="196" spans="11:19" x14ac:dyDescent="0.25">
      <c r="K196" s="58"/>
      <c r="L196" s="59"/>
      <c r="M196" s="54"/>
      <c r="N196" s="55"/>
      <c r="P196" s="58"/>
      <c r="Q196" s="59"/>
      <c r="R196" s="54"/>
      <c r="S196" s="55"/>
    </row>
    <row r="197" spans="11:19" x14ac:dyDescent="0.25">
      <c r="K197" s="58"/>
      <c r="L197" s="59"/>
      <c r="M197" s="54"/>
      <c r="N197" s="55"/>
      <c r="P197" s="58"/>
      <c r="Q197" s="59"/>
      <c r="R197" s="54"/>
      <c r="S197" s="55"/>
    </row>
    <row r="198" spans="11:19" x14ac:dyDescent="0.25">
      <c r="K198" s="58"/>
      <c r="L198" s="59"/>
      <c r="M198" s="54"/>
      <c r="N198" s="55"/>
      <c r="P198" s="58"/>
      <c r="Q198" s="59"/>
      <c r="R198" s="54"/>
      <c r="S198" s="55"/>
    </row>
    <row r="199" spans="11:19" x14ac:dyDescent="0.25">
      <c r="K199" s="58"/>
      <c r="L199" s="59"/>
      <c r="M199" s="54"/>
      <c r="N199" s="55"/>
      <c r="P199" s="58"/>
      <c r="Q199" s="59"/>
      <c r="R199" s="54"/>
      <c r="S199" s="55"/>
    </row>
    <row r="200" spans="11:19" x14ac:dyDescent="0.25">
      <c r="K200" s="58"/>
      <c r="L200" s="59"/>
      <c r="M200" s="54"/>
      <c r="N200" s="55"/>
      <c r="P200" s="58"/>
      <c r="Q200" s="59"/>
      <c r="R200" s="54"/>
      <c r="S200" s="55"/>
    </row>
    <row r="201" spans="11:19" x14ac:dyDescent="0.25">
      <c r="K201" s="58"/>
      <c r="L201" s="59"/>
      <c r="M201" s="54"/>
      <c r="N201" s="55"/>
      <c r="P201" s="58"/>
      <c r="Q201" s="59"/>
      <c r="R201" s="54"/>
      <c r="S201" s="55"/>
    </row>
    <row r="202" spans="11:19" x14ac:dyDescent="0.25">
      <c r="K202" s="58"/>
      <c r="L202" s="59"/>
      <c r="M202" s="54"/>
      <c r="N202" s="55"/>
      <c r="P202" s="58"/>
      <c r="Q202" s="59"/>
      <c r="R202" s="54"/>
      <c r="S202" s="55"/>
    </row>
    <row r="203" spans="11:19" x14ac:dyDescent="0.25">
      <c r="K203" s="58"/>
      <c r="L203" s="59"/>
      <c r="M203" s="54"/>
      <c r="N203" s="55"/>
      <c r="P203" s="58"/>
      <c r="Q203" s="59"/>
      <c r="R203" s="54"/>
      <c r="S203" s="55"/>
    </row>
    <row r="204" spans="11:19" x14ac:dyDescent="0.25">
      <c r="K204" s="58"/>
      <c r="L204" s="59"/>
      <c r="M204" s="54"/>
      <c r="N204" s="55"/>
      <c r="P204" s="58"/>
      <c r="Q204" s="59"/>
      <c r="R204" s="54"/>
      <c r="S204" s="55"/>
    </row>
    <row r="205" spans="11:19" x14ac:dyDescent="0.25">
      <c r="K205" s="58"/>
      <c r="L205" s="59"/>
      <c r="M205" s="54"/>
      <c r="N205" s="55"/>
      <c r="P205" s="58"/>
      <c r="Q205" s="59"/>
      <c r="R205" s="54"/>
      <c r="S205" s="55"/>
    </row>
    <row r="206" spans="11:19" x14ac:dyDescent="0.25">
      <c r="K206" s="58"/>
      <c r="L206" s="59"/>
      <c r="M206" s="54"/>
      <c r="N206" s="55"/>
      <c r="P206" s="58"/>
      <c r="Q206" s="59"/>
      <c r="R206" s="54"/>
      <c r="S206" s="55"/>
    </row>
    <row r="207" spans="11:19" x14ac:dyDescent="0.25">
      <c r="K207" s="58"/>
      <c r="L207" s="59"/>
      <c r="M207" s="54"/>
      <c r="N207" s="55"/>
      <c r="P207" s="58"/>
      <c r="Q207" s="59"/>
      <c r="R207" s="54"/>
      <c r="S207" s="55"/>
    </row>
    <row r="208" spans="11:19" x14ac:dyDescent="0.25">
      <c r="K208" s="58"/>
      <c r="L208" s="59"/>
      <c r="M208" s="54"/>
      <c r="N208" s="55"/>
      <c r="P208" s="58"/>
      <c r="Q208" s="59"/>
      <c r="R208" s="54"/>
      <c r="S208" s="55"/>
    </row>
    <row r="209" spans="11:19" x14ac:dyDescent="0.25">
      <c r="K209" s="58"/>
      <c r="L209" s="59"/>
      <c r="M209" s="54"/>
      <c r="N209" s="55"/>
      <c r="P209" s="58"/>
      <c r="Q209" s="59"/>
      <c r="R209" s="54"/>
      <c r="S209" s="55"/>
    </row>
    <row r="210" spans="11:19" x14ac:dyDescent="0.25">
      <c r="K210" s="58"/>
      <c r="L210" s="59"/>
      <c r="M210" s="54"/>
      <c r="N210" s="55"/>
      <c r="P210" s="58"/>
      <c r="Q210" s="59"/>
      <c r="R210" s="54"/>
      <c r="S210" s="55"/>
    </row>
    <row r="211" spans="11:19" x14ac:dyDescent="0.25">
      <c r="K211" s="58"/>
      <c r="L211" s="59"/>
      <c r="M211" s="54"/>
      <c r="N211" s="55"/>
      <c r="P211" s="58"/>
      <c r="Q211" s="59"/>
      <c r="R211" s="54"/>
      <c r="S211" s="55"/>
    </row>
    <row r="212" spans="11:19" x14ac:dyDescent="0.25">
      <c r="K212" s="58"/>
      <c r="L212" s="59"/>
      <c r="M212" s="54"/>
      <c r="N212" s="55"/>
      <c r="P212" s="58"/>
      <c r="Q212" s="59"/>
      <c r="R212" s="54"/>
      <c r="S212" s="55"/>
    </row>
    <row r="213" spans="11:19" x14ac:dyDescent="0.25">
      <c r="K213" s="58"/>
      <c r="L213" s="59"/>
      <c r="M213" s="54"/>
      <c r="N213" s="55"/>
      <c r="P213" s="58"/>
      <c r="Q213" s="59"/>
      <c r="R213" s="54"/>
      <c r="S213" s="55"/>
    </row>
    <row r="214" spans="11:19" x14ac:dyDescent="0.25">
      <c r="K214" s="58"/>
      <c r="L214" s="59"/>
      <c r="M214" s="54"/>
      <c r="N214" s="55"/>
      <c r="P214" s="58"/>
      <c r="Q214" s="59"/>
      <c r="R214" s="54"/>
      <c r="S214" s="55"/>
    </row>
    <row r="215" spans="11:19" x14ac:dyDescent="0.25">
      <c r="K215" s="58"/>
      <c r="L215" s="59"/>
      <c r="M215" s="54"/>
      <c r="N215" s="55"/>
      <c r="P215" s="58"/>
      <c r="Q215" s="59"/>
      <c r="R215" s="54"/>
      <c r="S215" s="55"/>
    </row>
    <row r="216" spans="11:19" x14ac:dyDescent="0.25">
      <c r="K216" s="58"/>
      <c r="L216" s="59"/>
      <c r="M216" s="54"/>
      <c r="N216" s="55"/>
      <c r="P216" s="58"/>
      <c r="Q216" s="59"/>
      <c r="R216" s="54"/>
      <c r="S216" s="55"/>
    </row>
    <row r="217" spans="11:19" x14ac:dyDescent="0.25">
      <c r="K217" s="58"/>
      <c r="L217" s="59"/>
      <c r="M217" s="54"/>
      <c r="N217" s="55"/>
      <c r="P217" s="58"/>
      <c r="Q217" s="59"/>
      <c r="R217" s="54"/>
      <c r="S217" s="55"/>
    </row>
    <row r="218" spans="11:19" x14ac:dyDescent="0.25">
      <c r="K218" s="58"/>
      <c r="L218" s="59"/>
      <c r="M218" s="54"/>
      <c r="N218" s="55"/>
      <c r="P218" s="58"/>
      <c r="Q218" s="59"/>
      <c r="R218" s="54"/>
      <c r="S218" s="55"/>
    </row>
    <row r="219" spans="11:19" x14ac:dyDescent="0.25">
      <c r="K219" s="58"/>
      <c r="L219" s="59"/>
      <c r="M219" s="54"/>
      <c r="N219" s="55"/>
      <c r="P219" s="58"/>
      <c r="Q219" s="59"/>
      <c r="R219" s="54"/>
      <c r="S219" s="55"/>
    </row>
    <row r="220" spans="11:19" x14ac:dyDescent="0.25">
      <c r="K220" s="58"/>
      <c r="L220" s="59"/>
      <c r="M220" s="54"/>
      <c r="N220" s="55"/>
      <c r="P220" s="58"/>
      <c r="Q220" s="59"/>
      <c r="R220" s="54"/>
      <c r="S220" s="55"/>
    </row>
    <row r="221" spans="11:19" x14ac:dyDescent="0.25">
      <c r="K221" s="58"/>
      <c r="L221" s="59"/>
      <c r="M221" s="54"/>
      <c r="N221" s="55"/>
      <c r="P221" s="58"/>
      <c r="Q221" s="59"/>
      <c r="R221" s="54"/>
      <c r="S221" s="55"/>
    </row>
    <row r="222" spans="11:19" x14ac:dyDescent="0.25">
      <c r="K222" s="58"/>
      <c r="L222" s="59"/>
      <c r="M222" s="54"/>
      <c r="N222" s="55"/>
      <c r="P222" s="58"/>
      <c r="Q222" s="59"/>
      <c r="R222" s="54"/>
      <c r="S222" s="55"/>
    </row>
    <row r="223" spans="11:19" x14ac:dyDescent="0.25">
      <c r="K223" s="58"/>
      <c r="L223" s="59"/>
      <c r="M223" s="54"/>
      <c r="N223" s="55"/>
      <c r="P223" s="58"/>
      <c r="Q223" s="59"/>
      <c r="R223" s="54"/>
      <c r="S223" s="55"/>
    </row>
    <row r="224" spans="11:19" x14ac:dyDescent="0.25">
      <c r="K224" s="58"/>
      <c r="L224" s="59"/>
      <c r="M224" s="54"/>
      <c r="N224" s="55"/>
      <c r="P224" s="58"/>
      <c r="Q224" s="59"/>
      <c r="R224" s="54"/>
      <c r="S224" s="55"/>
    </row>
    <row r="225" spans="11:19" x14ac:dyDescent="0.25">
      <c r="K225" s="58"/>
      <c r="L225" s="59"/>
      <c r="M225" s="54"/>
      <c r="N225" s="55"/>
      <c r="P225" s="58"/>
      <c r="Q225" s="59"/>
      <c r="R225" s="54"/>
      <c r="S225" s="55"/>
    </row>
    <row r="226" spans="11:19" x14ac:dyDescent="0.25">
      <c r="K226" s="58"/>
      <c r="L226" s="59"/>
      <c r="M226" s="54"/>
      <c r="N226" s="55"/>
      <c r="P226" s="58"/>
      <c r="Q226" s="59"/>
      <c r="R226" s="54"/>
      <c r="S226" s="55"/>
    </row>
    <row r="227" spans="11:19" x14ac:dyDescent="0.25">
      <c r="K227" s="58"/>
      <c r="L227" s="59"/>
      <c r="M227" s="54"/>
      <c r="N227" s="55"/>
      <c r="P227" s="58"/>
      <c r="Q227" s="59"/>
      <c r="R227" s="54"/>
      <c r="S227" s="55"/>
    </row>
    <row r="228" spans="11:19" x14ac:dyDescent="0.25">
      <c r="K228" s="58"/>
      <c r="L228" s="59"/>
      <c r="M228" s="54"/>
      <c r="N228" s="55"/>
      <c r="P228" s="58"/>
      <c r="Q228" s="59"/>
      <c r="R228" s="54"/>
      <c r="S228" s="55"/>
    </row>
    <row r="229" spans="11:19" x14ac:dyDescent="0.25">
      <c r="K229" s="58"/>
      <c r="L229" s="59"/>
      <c r="M229" s="54"/>
      <c r="N229" s="55"/>
      <c r="P229" s="58"/>
      <c r="Q229" s="59"/>
      <c r="R229" s="54"/>
      <c r="S229" s="55"/>
    </row>
    <row r="230" spans="11:19" x14ac:dyDescent="0.25">
      <c r="K230" s="58"/>
      <c r="L230" s="59"/>
      <c r="M230" s="54"/>
      <c r="N230" s="55"/>
      <c r="P230" s="58"/>
      <c r="Q230" s="59"/>
      <c r="R230" s="54"/>
      <c r="S230" s="55"/>
    </row>
    <row r="231" spans="11:19" x14ac:dyDescent="0.25">
      <c r="K231" s="58"/>
      <c r="L231" s="59"/>
      <c r="M231" s="54"/>
      <c r="N231" s="55"/>
      <c r="P231" s="58"/>
      <c r="Q231" s="59"/>
      <c r="R231" s="54"/>
      <c r="S231" s="55"/>
    </row>
    <row r="232" spans="11:19" x14ac:dyDescent="0.25">
      <c r="K232" s="58"/>
      <c r="L232" s="59"/>
      <c r="M232" s="54"/>
      <c r="N232" s="55"/>
      <c r="P232" s="58"/>
      <c r="Q232" s="59"/>
      <c r="R232" s="54"/>
      <c r="S232" s="55"/>
    </row>
    <row r="233" spans="11:19" x14ac:dyDescent="0.25">
      <c r="K233" s="58"/>
      <c r="L233" s="59"/>
      <c r="M233" s="54"/>
      <c r="N233" s="55"/>
      <c r="P233" s="58"/>
      <c r="Q233" s="59"/>
      <c r="R233" s="54"/>
      <c r="S233" s="55"/>
    </row>
    <row r="234" spans="11:19" x14ac:dyDescent="0.25">
      <c r="K234" s="58"/>
      <c r="L234" s="59"/>
      <c r="M234" s="54"/>
      <c r="N234" s="55"/>
      <c r="P234" s="58"/>
      <c r="Q234" s="59"/>
      <c r="R234" s="54"/>
      <c r="S234" s="55"/>
    </row>
    <row r="235" spans="11:19" x14ac:dyDescent="0.25">
      <c r="K235" s="58"/>
      <c r="L235" s="59"/>
      <c r="M235" s="54"/>
      <c r="N235" s="55"/>
      <c r="P235" s="58"/>
      <c r="Q235" s="59"/>
      <c r="R235" s="54"/>
      <c r="S235" s="55"/>
    </row>
    <row r="236" spans="11:19" x14ac:dyDescent="0.25">
      <c r="K236" s="58"/>
      <c r="L236" s="59"/>
      <c r="M236" s="54"/>
      <c r="N236" s="55"/>
      <c r="P236" s="58"/>
      <c r="Q236" s="59"/>
      <c r="R236" s="54"/>
      <c r="S236" s="55"/>
    </row>
    <row r="237" spans="11:19" x14ac:dyDescent="0.25">
      <c r="K237" s="58"/>
      <c r="L237" s="59"/>
      <c r="M237" s="54"/>
      <c r="N237" s="55"/>
      <c r="P237" s="58"/>
      <c r="Q237" s="59"/>
      <c r="R237" s="54"/>
      <c r="S237" s="55"/>
    </row>
    <row r="238" spans="11:19" x14ac:dyDescent="0.25">
      <c r="K238" s="58"/>
      <c r="L238" s="59"/>
      <c r="M238" s="54"/>
      <c r="N238" s="55"/>
      <c r="P238" s="58"/>
      <c r="Q238" s="59"/>
      <c r="R238" s="54"/>
      <c r="S238" s="55"/>
    </row>
    <row r="239" spans="11:19" x14ac:dyDescent="0.25">
      <c r="K239" s="58"/>
      <c r="L239" s="59"/>
      <c r="M239" s="54"/>
      <c r="N239" s="55"/>
      <c r="P239" s="58"/>
      <c r="Q239" s="59"/>
      <c r="R239" s="54"/>
      <c r="S239" s="55"/>
    </row>
    <row r="240" spans="11:19" x14ac:dyDescent="0.25">
      <c r="K240" s="58"/>
      <c r="L240" s="59"/>
      <c r="M240" s="54"/>
      <c r="N240" s="55"/>
      <c r="P240" s="58"/>
      <c r="Q240" s="59"/>
      <c r="R240" s="54"/>
      <c r="S240" s="55"/>
    </row>
    <row r="241" spans="11:19" x14ac:dyDescent="0.25">
      <c r="K241" s="58"/>
      <c r="L241" s="59"/>
      <c r="M241" s="54"/>
      <c r="N241" s="55"/>
      <c r="P241" s="58"/>
      <c r="Q241" s="59"/>
      <c r="R241" s="54"/>
      <c r="S241" s="55"/>
    </row>
    <row r="242" spans="11:19" x14ac:dyDescent="0.25">
      <c r="K242" s="58"/>
      <c r="L242" s="59"/>
      <c r="M242" s="54"/>
      <c r="N242" s="55"/>
      <c r="P242" s="58"/>
      <c r="Q242" s="59"/>
      <c r="R242" s="54"/>
      <c r="S242" s="55"/>
    </row>
    <row r="243" spans="11:19" x14ac:dyDescent="0.25">
      <c r="K243" s="58"/>
      <c r="L243" s="59"/>
      <c r="M243" s="54"/>
      <c r="N243" s="55"/>
      <c r="P243" s="58"/>
      <c r="Q243" s="59"/>
      <c r="R243" s="54"/>
      <c r="S243" s="55"/>
    </row>
    <row r="244" spans="11:19" x14ac:dyDescent="0.25">
      <c r="K244" s="58"/>
      <c r="L244" s="59"/>
      <c r="M244" s="54"/>
      <c r="N244" s="55"/>
      <c r="P244" s="58"/>
      <c r="Q244" s="59"/>
      <c r="R244" s="54"/>
      <c r="S244" s="55"/>
    </row>
    <row r="245" spans="11:19" x14ac:dyDescent="0.25">
      <c r="K245" s="58"/>
      <c r="L245" s="59"/>
      <c r="M245" s="54"/>
      <c r="N245" s="55"/>
      <c r="P245" s="58"/>
      <c r="Q245" s="59"/>
      <c r="R245" s="54"/>
      <c r="S245" s="55"/>
    </row>
    <row r="246" spans="11:19" x14ac:dyDescent="0.25">
      <c r="K246" s="58"/>
      <c r="L246" s="59"/>
      <c r="M246" s="54"/>
      <c r="N246" s="55"/>
      <c r="P246" s="58"/>
      <c r="Q246" s="59"/>
      <c r="R246" s="54"/>
      <c r="S246" s="55"/>
    </row>
    <row r="247" spans="11:19" x14ac:dyDescent="0.25">
      <c r="K247" s="58"/>
      <c r="L247" s="59"/>
      <c r="M247" s="54"/>
      <c r="N247" s="55"/>
      <c r="P247" s="58"/>
      <c r="Q247" s="59"/>
      <c r="R247" s="54"/>
      <c r="S247" s="55"/>
    </row>
    <row r="248" spans="11:19" x14ac:dyDescent="0.25">
      <c r="K248" s="58"/>
      <c r="L248" s="59"/>
      <c r="M248" s="54"/>
      <c r="N248" s="55"/>
      <c r="P248" s="58"/>
      <c r="Q248" s="59"/>
      <c r="R248" s="54"/>
      <c r="S248" s="55"/>
    </row>
    <row r="249" spans="11:19" x14ac:dyDescent="0.25">
      <c r="K249" s="58"/>
      <c r="L249" s="59"/>
      <c r="M249" s="54"/>
      <c r="N249" s="55"/>
      <c r="P249" s="58"/>
      <c r="Q249" s="59"/>
      <c r="R249" s="54"/>
      <c r="S249" s="55"/>
    </row>
    <row r="250" spans="11:19" x14ac:dyDescent="0.25">
      <c r="K250" s="58"/>
      <c r="L250" s="59"/>
      <c r="M250" s="54"/>
      <c r="N250" s="55"/>
      <c r="P250" s="58"/>
      <c r="Q250" s="59"/>
      <c r="R250" s="54"/>
      <c r="S250" s="55"/>
    </row>
    <row r="251" spans="11:19" x14ac:dyDescent="0.25">
      <c r="K251" s="58"/>
      <c r="L251" s="59"/>
      <c r="M251" s="54"/>
      <c r="N251" s="55"/>
      <c r="P251" s="58"/>
      <c r="Q251" s="59"/>
      <c r="R251" s="54"/>
      <c r="S251" s="55"/>
    </row>
    <row r="252" spans="11:19" x14ac:dyDescent="0.25">
      <c r="K252" s="58"/>
      <c r="L252" s="59"/>
      <c r="M252" s="54"/>
      <c r="N252" s="55"/>
      <c r="P252" s="58"/>
      <c r="Q252" s="59"/>
      <c r="R252" s="54"/>
      <c r="S252" s="55"/>
    </row>
    <row r="253" spans="11:19" x14ac:dyDescent="0.25">
      <c r="K253" s="58"/>
      <c r="L253" s="59"/>
      <c r="M253" s="54"/>
      <c r="N253" s="55"/>
      <c r="P253" s="58"/>
      <c r="Q253" s="59"/>
      <c r="R253" s="54"/>
      <c r="S253" s="55"/>
    </row>
    <row r="254" spans="11:19" x14ac:dyDescent="0.25">
      <c r="K254" s="58"/>
      <c r="L254" s="59"/>
      <c r="M254" s="54"/>
      <c r="N254" s="55"/>
      <c r="P254" s="58"/>
      <c r="Q254" s="59"/>
      <c r="R254" s="54"/>
      <c r="S254" s="55"/>
    </row>
    <row r="255" spans="11:19" x14ac:dyDescent="0.25">
      <c r="K255" s="58"/>
      <c r="L255" s="59"/>
      <c r="M255" s="54"/>
      <c r="N255" s="55"/>
      <c r="P255" s="58"/>
      <c r="Q255" s="59"/>
      <c r="R255" s="54"/>
      <c r="S255" s="55"/>
    </row>
    <row r="256" spans="11:19" x14ac:dyDescent="0.25">
      <c r="K256" s="58"/>
      <c r="L256" s="59"/>
      <c r="M256" s="54"/>
      <c r="N256" s="55"/>
      <c r="P256" s="58"/>
      <c r="Q256" s="59"/>
      <c r="R256" s="54"/>
      <c r="S256" s="55"/>
    </row>
    <row r="257" spans="11:19" x14ac:dyDescent="0.25">
      <c r="K257" s="58"/>
      <c r="L257" s="59"/>
      <c r="M257" s="54"/>
      <c r="N257" s="55"/>
      <c r="P257" s="58"/>
      <c r="Q257" s="59"/>
      <c r="R257" s="54"/>
      <c r="S257" s="55"/>
    </row>
    <row r="258" spans="11:19" x14ac:dyDescent="0.25">
      <c r="K258" s="58"/>
      <c r="L258" s="59"/>
      <c r="M258" s="54"/>
      <c r="N258" s="55"/>
      <c r="P258" s="58"/>
      <c r="Q258" s="59"/>
      <c r="R258" s="54"/>
      <c r="S258" s="55"/>
    </row>
    <row r="259" spans="11:19" x14ac:dyDescent="0.25">
      <c r="K259" s="58"/>
      <c r="L259" s="59"/>
      <c r="M259" s="54"/>
      <c r="N259" s="55"/>
      <c r="P259" s="58"/>
      <c r="Q259" s="59"/>
      <c r="R259" s="54"/>
      <c r="S259" s="55"/>
    </row>
    <row r="260" spans="11:19" x14ac:dyDescent="0.25">
      <c r="K260" s="58"/>
      <c r="L260" s="59"/>
      <c r="M260" s="54"/>
      <c r="N260" s="55"/>
      <c r="P260" s="58"/>
      <c r="Q260" s="59"/>
      <c r="R260" s="54"/>
      <c r="S260" s="55"/>
    </row>
    <row r="261" spans="11:19" x14ac:dyDescent="0.25">
      <c r="K261" s="58"/>
      <c r="L261" s="59"/>
      <c r="M261" s="54"/>
      <c r="N261" s="55"/>
      <c r="P261" s="58"/>
      <c r="Q261" s="59"/>
      <c r="R261" s="54"/>
      <c r="S261" s="55"/>
    </row>
    <row r="262" spans="11:19" x14ac:dyDescent="0.25">
      <c r="K262" s="58"/>
      <c r="L262" s="59"/>
      <c r="M262" s="54"/>
      <c r="N262" s="55"/>
      <c r="P262" s="58"/>
      <c r="Q262" s="59"/>
      <c r="R262" s="54"/>
      <c r="S262" s="55"/>
    </row>
    <row r="263" spans="11:19" x14ac:dyDescent="0.25">
      <c r="K263" s="58"/>
      <c r="L263" s="59"/>
      <c r="M263" s="54"/>
      <c r="N263" s="55"/>
      <c r="P263" s="58"/>
      <c r="Q263" s="59"/>
      <c r="R263" s="54"/>
      <c r="S263" s="55"/>
    </row>
    <row r="264" spans="11:19" x14ac:dyDescent="0.25">
      <c r="K264" s="58"/>
      <c r="L264" s="59"/>
      <c r="M264" s="54"/>
      <c r="N264" s="55"/>
      <c r="P264" s="58"/>
      <c r="Q264" s="59"/>
      <c r="R264" s="54"/>
      <c r="S264" s="55"/>
    </row>
    <row r="265" spans="11:19" x14ac:dyDescent="0.25">
      <c r="K265" s="58"/>
      <c r="L265" s="59"/>
      <c r="M265" s="54"/>
      <c r="N265" s="55"/>
      <c r="P265" s="58"/>
      <c r="Q265" s="59"/>
      <c r="R265" s="54"/>
      <c r="S265" s="55"/>
    </row>
    <row r="266" spans="11:19" x14ac:dyDescent="0.25">
      <c r="K266" s="58"/>
      <c r="L266" s="59"/>
      <c r="M266" s="54"/>
      <c r="N266" s="55"/>
      <c r="P266" s="58"/>
      <c r="Q266" s="59"/>
      <c r="R266" s="54"/>
      <c r="S266" s="55"/>
    </row>
    <row r="267" spans="11:19" x14ac:dyDescent="0.25">
      <c r="K267" s="58"/>
      <c r="L267" s="59"/>
      <c r="M267" s="54"/>
      <c r="N267" s="55"/>
      <c r="P267" s="58"/>
      <c r="Q267" s="59"/>
      <c r="R267" s="54"/>
      <c r="S267" s="55"/>
    </row>
    <row r="268" spans="11:19" x14ac:dyDescent="0.25">
      <c r="K268" s="58"/>
      <c r="L268" s="59"/>
      <c r="M268" s="54"/>
      <c r="N268" s="55"/>
      <c r="P268" s="58"/>
      <c r="Q268" s="59"/>
      <c r="R268" s="54"/>
      <c r="S268" s="55"/>
    </row>
    <row r="269" spans="11:19" x14ac:dyDescent="0.25">
      <c r="K269" s="58"/>
      <c r="L269" s="59"/>
      <c r="M269" s="54"/>
      <c r="N269" s="55"/>
      <c r="P269" s="58"/>
      <c r="Q269" s="59"/>
      <c r="R269" s="54"/>
      <c r="S269" s="55"/>
    </row>
    <row r="270" spans="11:19" x14ac:dyDescent="0.25">
      <c r="K270" s="58"/>
      <c r="L270" s="59"/>
      <c r="M270" s="54"/>
      <c r="N270" s="55"/>
      <c r="P270" s="58"/>
      <c r="Q270" s="59"/>
      <c r="R270" s="54"/>
      <c r="S270" s="55"/>
    </row>
    <row r="271" spans="11:19" x14ac:dyDescent="0.25">
      <c r="K271" s="58"/>
      <c r="L271" s="59"/>
      <c r="M271" s="54"/>
      <c r="N271" s="55"/>
      <c r="P271" s="58"/>
      <c r="Q271" s="59"/>
      <c r="R271" s="54"/>
      <c r="S271" s="55"/>
    </row>
    <row r="272" spans="11:19" x14ac:dyDescent="0.25">
      <c r="K272" s="58"/>
      <c r="L272" s="59"/>
      <c r="M272" s="54"/>
      <c r="N272" s="55"/>
      <c r="P272" s="58"/>
      <c r="Q272" s="59"/>
      <c r="R272" s="54"/>
      <c r="S272" s="55"/>
    </row>
    <row r="273" spans="11:19" x14ac:dyDescent="0.25">
      <c r="K273" s="58"/>
      <c r="L273" s="59"/>
      <c r="M273" s="54"/>
      <c r="N273" s="55"/>
      <c r="P273" s="58"/>
      <c r="Q273" s="59"/>
      <c r="R273" s="54"/>
      <c r="S273" s="55"/>
    </row>
    <row r="274" spans="11:19" x14ac:dyDescent="0.25">
      <c r="K274" s="58"/>
      <c r="L274" s="59"/>
      <c r="M274" s="54"/>
      <c r="N274" s="55"/>
      <c r="P274" s="58"/>
      <c r="Q274" s="59"/>
      <c r="R274" s="54"/>
      <c r="S274" s="55"/>
    </row>
    <row r="275" spans="11:19" x14ac:dyDescent="0.25">
      <c r="K275" s="58"/>
      <c r="L275" s="59"/>
      <c r="M275" s="54"/>
      <c r="N275" s="55"/>
      <c r="P275" s="58"/>
      <c r="Q275" s="59"/>
      <c r="R275" s="54"/>
      <c r="S275" s="55"/>
    </row>
    <row r="276" spans="11:19" x14ac:dyDescent="0.25">
      <c r="K276" s="58"/>
      <c r="L276" s="59"/>
      <c r="M276" s="54"/>
      <c r="N276" s="55"/>
      <c r="P276" s="58"/>
      <c r="Q276" s="59"/>
      <c r="R276" s="54"/>
      <c r="S276" s="55"/>
    </row>
    <row r="277" spans="11:19" x14ac:dyDescent="0.25">
      <c r="K277" s="58"/>
      <c r="L277" s="59"/>
      <c r="M277" s="54"/>
      <c r="N277" s="55"/>
      <c r="P277" s="58"/>
      <c r="Q277" s="59"/>
      <c r="R277" s="54"/>
      <c r="S277" s="55"/>
    </row>
    <row r="278" spans="11:19" x14ac:dyDescent="0.25">
      <c r="K278" s="58"/>
      <c r="L278" s="59"/>
      <c r="M278" s="54"/>
      <c r="N278" s="55"/>
      <c r="P278" s="58"/>
      <c r="Q278" s="59"/>
      <c r="R278" s="54"/>
      <c r="S278" s="55"/>
    </row>
    <row r="279" spans="11:19" x14ac:dyDescent="0.25">
      <c r="K279" s="58"/>
      <c r="L279" s="59"/>
      <c r="M279" s="54"/>
      <c r="N279" s="55"/>
      <c r="P279" s="58"/>
      <c r="Q279" s="59"/>
      <c r="R279" s="54"/>
      <c r="S279" s="55"/>
    </row>
    <row r="280" spans="11:19" x14ac:dyDescent="0.25">
      <c r="K280" s="58"/>
      <c r="L280" s="59"/>
      <c r="M280" s="54"/>
      <c r="N280" s="55"/>
      <c r="P280" s="58"/>
      <c r="Q280" s="59"/>
      <c r="R280" s="54"/>
      <c r="S280" s="55"/>
    </row>
    <row r="281" spans="11:19" x14ac:dyDescent="0.25">
      <c r="K281" s="58"/>
      <c r="L281" s="59"/>
      <c r="M281" s="54"/>
      <c r="N281" s="55"/>
      <c r="P281" s="58"/>
      <c r="Q281" s="59"/>
      <c r="R281" s="54"/>
      <c r="S281" s="55"/>
    </row>
    <row r="282" spans="11:19" x14ac:dyDescent="0.25">
      <c r="K282" s="58"/>
      <c r="L282" s="59"/>
      <c r="M282" s="54"/>
      <c r="N282" s="55"/>
      <c r="P282" s="58"/>
      <c r="Q282" s="59"/>
      <c r="R282" s="54"/>
      <c r="S282" s="55"/>
    </row>
    <row r="283" spans="11:19" x14ac:dyDescent="0.25">
      <c r="K283" s="58"/>
      <c r="L283" s="59"/>
      <c r="M283" s="54"/>
      <c r="N283" s="55"/>
      <c r="P283" s="58"/>
      <c r="Q283" s="59"/>
      <c r="R283" s="54"/>
      <c r="S283" s="55"/>
    </row>
    <row r="284" spans="11:19" x14ac:dyDescent="0.25">
      <c r="K284" s="58"/>
      <c r="L284" s="59"/>
      <c r="M284" s="54"/>
      <c r="N284" s="55"/>
      <c r="P284" s="58"/>
      <c r="Q284" s="59"/>
      <c r="R284" s="54"/>
      <c r="S284" s="55"/>
    </row>
    <row r="285" spans="11:19" x14ac:dyDescent="0.25">
      <c r="K285" s="58"/>
      <c r="L285" s="59"/>
      <c r="M285" s="54"/>
      <c r="N285" s="55"/>
      <c r="P285" s="58"/>
      <c r="Q285" s="59"/>
      <c r="R285" s="54"/>
      <c r="S285" s="55"/>
    </row>
    <row r="286" spans="11:19" x14ac:dyDescent="0.25">
      <c r="K286" s="58"/>
      <c r="L286" s="59"/>
      <c r="M286" s="54"/>
      <c r="N286" s="55"/>
      <c r="P286" s="58"/>
      <c r="Q286" s="59"/>
      <c r="R286" s="54"/>
      <c r="S286" s="55"/>
    </row>
    <row r="287" spans="11:19" x14ac:dyDescent="0.25">
      <c r="K287" s="58"/>
      <c r="L287" s="59"/>
      <c r="M287" s="54"/>
      <c r="N287" s="55"/>
      <c r="P287" s="58"/>
      <c r="Q287" s="59"/>
      <c r="R287" s="54"/>
      <c r="S287" s="55"/>
    </row>
    <row r="288" spans="11:19" x14ac:dyDescent="0.25">
      <c r="K288" s="58"/>
      <c r="L288" s="59"/>
      <c r="M288" s="54"/>
      <c r="N288" s="55"/>
      <c r="P288" s="58"/>
      <c r="Q288" s="59"/>
      <c r="R288" s="54"/>
      <c r="S288" s="55"/>
    </row>
    <row r="289" spans="11:19" x14ac:dyDescent="0.25">
      <c r="K289" s="58"/>
      <c r="L289" s="59"/>
      <c r="M289" s="54"/>
      <c r="N289" s="55"/>
      <c r="P289" s="58"/>
      <c r="Q289" s="59"/>
      <c r="R289" s="54"/>
      <c r="S289" s="55"/>
    </row>
    <row r="290" spans="11:19" x14ac:dyDescent="0.25">
      <c r="K290" s="58"/>
      <c r="L290" s="59"/>
      <c r="M290" s="54"/>
      <c r="N290" s="55"/>
      <c r="P290" s="58"/>
      <c r="Q290" s="59"/>
      <c r="R290" s="54"/>
      <c r="S290" s="55"/>
    </row>
    <row r="291" spans="11:19" x14ac:dyDescent="0.25">
      <c r="K291" s="58"/>
      <c r="L291" s="59"/>
      <c r="M291" s="54"/>
      <c r="N291" s="55"/>
      <c r="P291" s="58"/>
      <c r="Q291" s="59"/>
      <c r="R291" s="54"/>
      <c r="S291" s="55"/>
    </row>
    <row r="292" spans="11:19" x14ac:dyDescent="0.25">
      <c r="K292" s="58"/>
      <c r="L292" s="59"/>
      <c r="M292" s="54"/>
      <c r="N292" s="55"/>
      <c r="P292" s="58"/>
      <c r="Q292" s="59"/>
      <c r="R292" s="54"/>
      <c r="S292" s="55"/>
    </row>
    <row r="293" spans="11:19" x14ac:dyDescent="0.25">
      <c r="K293" s="58"/>
      <c r="L293" s="59"/>
      <c r="M293" s="54"/>
      <c r="N293" s="55"/>
      <c r="P293" s="58"/>
      <c r="Q293" s="59"/>
      <c r="R293" s="54"/>
      <c r="S293" s="55"/>
    </row>
    <row r="294" spans="11:19" x14ac:dyDescent="0.25">
      <c r="K294" s="58"/>
      <c r="L294" s="59"/>
      <c r="M294" s="54"/>
      <c r="N294" s="55"/>
      <c r="P294" s="58"/>
      <c r="Q294" s="59"/>
      <c r="R294" s="54"/>
      <c r="S294" s="55"/>
    </row>
    <row r="295" spans="11:19" x14ac:dyDescent="0.25">
      <c r="K295" s="58"/>
      <c r="L295" s="59"/>
      <c r="M295" s="54"/>
      <c r="N295" s="55"/>
      <c r="P295" s="58"/>
      <c r="Q295" s="59"/>
      <c r="R295" s="54"/>
      <c r="S295" s="55"/>
    </row>
    <row r="296" spans="11:19" x14ac:dyDescent="0.25">
      <c r="K296" s="58"/>
      <c r="L296" s="59"/>
      <c r="M296" s="54"/>
      <c r="N296" s="55"/>
      <c r="P296" s="58"/>
      <c r="Q296" s="59"/>
      <c r="R296" s="54"/>
      <c r="S296" s="55"/>
    </row>
    <row r="297" spans="11:19" x14ac:dyDescent="0.25">
      <c r="K297" s="58"/>
      <c r="L297" s="59"/>
      <c r="M297" s="54"/>
      <c r="N297" s="55"/>
      <c r="P297" s="58"/>
      <c r="Q297" s="59"/>
      <c r="R297" s="54"/>
      <c r="S297" s="55"/>
    </row>
    <row r="298" spans="11:19" x14ac:dyDescent="0.25">
      <c r="K298" s="58"/>
      <c r="L298" s="59"/>
      <c r="M298" s="54"/>
      <c r="N298" s="55"/>
      <c r="P298" s="58"/>
      <c r="Q298" s="59"/>
      <c r="R298" s="54"/>
      <c r="S298" s="55"/>
    </row>
    <row r="299" spans="11:19" x14ac:dyDescent="0.25">
      <c r="K299" s="58"/>
      <c r="L299" s="59"/>
      <c r="M299" s="54"/>
      <c r="N299" s="55"/>
      <c r="P299" s="58"/>
      <c r="Q299" s="59"/>
      <c r="R299" s="54"/>
      <c r="S299" s="55"/>
    </row>
    <row r="300" spans="11:19" x14ac:dyDescent="0.25">
      <c r="K300" s="58"/>
      <c r="L300" s="59"/>
      <c r="M300" s="54"/>
      <c r="N300" s="55"/>
      <c r="P300" s="58"/>
      <c r="Q300" s="59"/>
      <c r="R300" s="54"/>
      <c r="S300" s="55"/>
    </row>
    <row r="301" spans="11:19" x14ac:dyDescent="0.25">
      <c r="K301" s="58"/>
      <c r="L301" s="59"/>
      <c r="M301" s="54"/>
      <c r="N301" s="55"/>
      <c r="P301" s="58"/>
      <c r="Q301" s="59"/>
      <c r="R301" s="54"/>
      <c r="S301" s="55"/>
    </row>
    <row r="302" spans="11:19" x14ac:dyDescent="0.25">
      <c r="K302" s="58"/>
      <c r="L302" s="59"/>
      <c r="M302" s="54"/>
      <c r="N302" s="55"/>
      <c r="P302" s="58"/>
      <c r="Q302" s="59"/>
      <c r="R302" s="54"/>
      <c r="S302" s="55"/>
    </row>
    <row r="303" spans="11:19" x14ac:dyDescent="0.25">
      <c r="K303" s="58"/>
      <c r="L303" s="59"/>
      <c r="M303" s="54"/>
      <c r="N303" s="55"/>
      <c r="P303" s="58"/>
      <c r="Q303" s="59"/>
      <c r="R303" s="54"/>
      <c r="S303" s="55"/>
    </row>
    <row r="304" spans="11:19" x14ac:dyDescent="0.25">
      <c r="K304" s="58"/>
      <c r="L304" s="59"/>
      <c r="M304" s="54"/>
      <c r="N304" s="55"/>
      <c r="P304" s="58"/>
      <c r="Q304" s="59"/>
      <c r="R304" s="54"/>
      <c r="S304" s="55"/>
    </row>
    <row r="305" spans="11:19" x14ac:dyDescent="0.25">
      <c r="K305" s="58"/>
      <c r="L305" s="59"/>
      <c r="M305" s="54"/>
      <c r="N305" s="55"/>
      <c r="P305" s="58"/>
      <c r="Q305" s="59"/>
      <c r="R305" s="54"/>
      <c r="S305" s="55"/>
    </row>
    <row r="306" spans="11:19" x14ac:dyDescent="0.25">
      <c r="K306" s="58"/>
      <c r="L306" s="59"/>
      <c r="M306" s="54"/>
      <c r="N306" s="55"/>
      <c r="P306" s="58"/>
      <c r="Q306" s="59"/>
      <c r="R306" s="54"/>
      <c r="S306" s="55"/>
    </row>
    <row r="307" spans="11:19" x14ac:dyDescent="0.25">
      <c r="K307" s="58"/>
      <c r="L307" s="59"/>
      <c r="M307" s="54"/>
      <c r="N307" s="55"/>
      <c r="P307" s="58"/>
      <c r="Q307" s="59"/>
      <c r="R307" s="54"/>
      <c r="S307" s="55"/>
    </row>
    <row r="308" spans="11:19" x14ac:dyDescent="0.25">
      <c r="K308" s="58"/>
      <c r="L308" s="59"/>
      <c r="M308" s="54"/>
      <c r="N308" s="55"/>
      <c r="P308" s="58"/>
      <c r="Q308" s="59"/>
      <c r="R308" s="54"/>
      <c r="S308" s="55"/>
    </row>
    <row r="309" spans="11:19" x14ac:dyDescent="0.25">
      <c r="K309" s="58"/>
      <c r="L309" s="59"/>
      <c r="M309" s="54"/>
      <c r="N309" s="55"/>
      <c r="P309" s="58"/>
      <c r="Q309" s="59"/>
      <c r="R309" s="54"/>
      <c r="S309" s="55"/>
    </row>
    <row r="310" spans="11:19" x14ac:dyDescent="0.25">
      <c r="K310" s="58"/>
      <c r="L310" s="59"/>
      <c r="M310" s="54"/>
      <c r="N310" s="55"/>
      <c r="P310" s="58"/>
      <c r="Q310" s="59"/>
      <c r="R310" s="54"/>
      <c r="S310" s="55"/>
    </row>
    <row r="311" spans="11:19" x14ac:dyDescent="0.25">
      <c r="K311" s="58"/>
      <c r="L311" s="59"/>
      <c r="M311" s="54"/>
      <c r="N311" s="55"/>
      <c r="P311" s="58"/>
      <c r="Q311" s="59"/>
      <c r="R311" s="54"/>
      <c r="S311" s="55"/>
    </row>
    <row r="312" spans="11:19" x14ac:dyDescent="0.25">
      <c r="K312" s="58"/>
      <c r="L312" s="59"/>
      <c r="M312" s="54"/>
      <c r="N312" s="55"/>
      <c r="P312" s="58"/>
      <c r="Q312" s="59"/>
      <c r="R312" s="54"/>
      <c r="S312" s="55"/>
    </row>
    <row r="313" spans="11:19" x14ac:dyDescent="0.25">
      <c r="K313" s="58"/>
      <c r="L313" s="59"/>
      <c r="M313" s="54"/>
      <c r="N313" s="55"/>
      <c r="P313" s="58"/>
      <c r="Q313" s="59"/>
      <c r="R313" s="54"/>
      <c r="S313" s="55"/>
    </row>
    <row r="314" spans="11:19" x14ac:dyDescent="0.25">
      <c r="K314" s="58"/>
      <c r="L314" s="59"/>
      <c r="M314" s="54"/>
      <c r="N314" s="55"/>
      <c r="P314" s="58"/>
      <c r="Q314" s="59"/>
      <c r="R314" s="54"/>
      <c r="S314" s="55"/>
    </row>
    <row r="315" spans="11:19" x14ac:dyDescent="0.25">
      <c r="K315" s="58"/>
      <c r="L315" s="59"/>
      <c r="M315" s="54"/>
      <c r="N315" s="55"/>
      <c r="P315" s="58"/>
      <c r="Q315" s="59"/>
      <c r="R315" s="54"/>
      <c r="S315" s="55"/>
    </row>
    <row r="316" spans="11:19" x14ac:dyDescent="0.25">
      <c r="K316" s="58"/>
      <c r="L316" s="59"/>
      <c r="M316" s="54"/>
      <c r="N316" s="55"/>
      <c r="P316" s="58"/>
      <c r="Q316" s="59"/>
      <c r="R316" s="54"/>
      <c r="S316" s="55"/>
    </row>
    <row r="317" spans="11:19" x14ac:dyDescent="0.25">
      <c r="K317" s="58"/>
      <c r="L317" s="59"/>
      <c r="M317" s="54"/>
      <c r="N317" s="55"/>
      <c r="P317" s="58"/>
      <c r="Q317" s="59"/>
      <c r="R317" s="54"/>
      <c r="S317" s="55"/>
    </row>
    <row r="318" spans="11:19" x14ac:dyDescent="0.25">
      <c r="K318" s="58"/>
      <c r="L318" s="59"/>
      <c r="M318" s="54"/>
      <c r="N318" s="55"/>
      <c r="P318" s="58"/>
      <c r="Q318" s="59"/>
      <c r="R318" s="54"/>
      <c r="S318" s="55"/>
    </row>
    <row r="319" spans="11:19" x14ac:dyDescent="0.25">
      <c r="K319" s="58"/>
      <c r="L319" s="59"/>
      <c r="M319" s="54"/>
      <c r="N319" s="55"/>
      <c r="P319" s="58"/>
      <c r="Q319" s="59"/>
      <c r="R319" s="54"/>
      <c r="S319" s="55"/>
    </row>
    <row r="320" spans="11:19" x14ac:dyDescent="0.25">
      <c r="K320" s="58"/>
      <c r="L320" s="59"/>
      <c r="M320" s="54"/>
      <c r="N320" s="55"/>
      <c r="P320" s="58"/>
      <c r="Q320" s="59"/>
      <c r="R320" s="54"/>
      <c r="S320" s="55"/>
    </row>
    <row r="321" spans="11:19" x14ac:dyDescent="0.25">
      <c r="K321" s="58"/>
      <c r="L321" s="59"/>
      <c r="M321" s="54"/>
      <c r="N321" s="55"/>
      <c r="P321" s="58"/>
      <c r="Q321" s="59"/>
      <c r="R321" s="54"/>
      <c r="S321" s="55"/>
    </row>
    <row r="322" spans="11:19" x14ac:dyDescent="0.25">
      <c r="K322" s="58"/>
      <c r="L322" s="59"/>
      <c r="M322" s="54"/>
      <c r="N322" s="55"/>
      <c r="P322" s="58"/>
      <c r="Q322" s="59"/>
      <c r="R322" s="54"/>
      <c r="S322" s="55"/>
    </row>
    <row r="323" spans="11:19" x14ac:dyDescent="0.25">
      <c r="K323" s="58"/>
      <c r="L323" s="59"/>
      <c r="M323" s="54"/>
      <c r="N323" s="55"/>
      <c r="P323" s="58"/>
      <c r="Q323" s="59"/>
      <c r="R323" s="54"/>
      <c r="S323" s="55"/>
    </row>
    <row r="324" spans="11:19" x14ac:dyDescent="0.25">
      <c r="K324" s="58"/>
      <c r="L324" s="59"/>
      <c r="M324" s="54"/>
      <c r="N324" s="55"/>
      <c r="P324" s="58"/>
      <c r="Q324" s="59"/>
      <c r="R324" s="54"/>
      <c r="S324" s="55"/>
    </row>
    <row r="325" spans="11:19" x14ac:dyDescent="0.25">
      <c r="K325" s="58"/>
      <c r="L325" s="59"/>
      <c r="M325" s="54"/>
      <c r="N325" s="55"/>
      <c r="P325" s="58"/>
      <c r="Q325" s="59"/>
      <c r="R325" s="54"/>
      <c r="S325" s="55"/>
    </row>
    <row r="326" spans="11:19" x14ac:dyDescent="0.25">
      <c r="K326" s="58"/>
      <c r="L326" s="59"/>
      <c r="M326" s="54"/>
      <c r="N326" s="55"/>
      <c r="P326" s="58"/>
      <c r="Q326" s="59"/>
      <c r="R326" s="54"/>
      <c r="S326" s="55"/>
    </row>
    <row r="327" spans="11:19" x14ac:dyDescent="0.25">
      <c r="K327" s="58"/>
      <c r="L327" s="59"/>
      <c r="M327" s="54"/>
      <c r="N327" s="55"/>
      <c r="P327" s="58"/>
      <c r="Q327" s="59"/>
      <c r="R327" s="54"/>
      <c r="S327" s="55"/>
    </row>
    <row r="328" spans="11:19" x14ac:dyDescent="0.25">
      <c r="K328" s="58"/>
      <c r="L328" s="59"/>
      <c r="M328" s="54"/>
      <c r="N328" s="55"/>
      <c r="P328" s="58"/>
      <c r="Q328" s="59"/>
      <c r="R328" s="54"/>
      <c r="S328" s="55"/>
    </row>
    <row r="329" spans="11:19" x14ac:dyDescent="0.25">
      <c r="K329" s="58"/>
      <c r="L329" s="59"/>
      <c r="M329" s="54"/>
      <c r="N329" s="55"/>
      <c r="P329" s="58"/>
      <c r="Q329" s="59"/>
      <c r="R329" s="54"/>
      <c r="S329" s="55"/>
    </row>
    <row r="330" spans="11:19" x14ac:dyDescent="0.25">
      <c r="K330" s="58"/>
      <c r="L330" s="59"/>
      <c r="M330" s="54"/>
      <c r="N330" s="55"/>
      <c r="P330" s="58"/>
      <c r="Q330" s="59"/>
      <c r="R330" s="54"/>
      <c r="S330" s="55"/>
    </row>
    <row r="331" spans="11:19" x14ac:dyDescent="0.25">
      <c r="K331" s="58"/>
      <c r="L331" s="59"/>
      <c r="M331" s="54"/>
      <c r="N331" s="55"/>
      <c r="P331" s="58"/>
      <c r="Q331" s="59"/>
      <c r="R331" s="54"/>
      <c r="S331" s="55"/>
    </row>
    <row r="332" spans="11:19" x14ac:dyDescent="0.25">
      <c r="K332" s="58"/>
      <c r="L332" s="59"/>
      <c r="M332" s="54"/>
      <c r="N332" s="55"/>
      <c r="P332" s="58"/>
      <c r="Q332" s="59"/>
      <c r="R332" s="54"/>
      <c r="S332" s="55"/>
    </row>
    <row r="333" spans="11:19" x14ac:dyDescent="0.25">
      <c r="K333" s="58"/>
      <c r="L333" s="59"/>
      <c r="M333" s="54"/>
      <c r="N333" s="55"/>
      <c r="P333" s="58"/>
      <c r="Q333" s="59"/>
      <c r="R333" s="54"/>
      <c r="S333" s="55"/>
    </row>
    <row r="334" spans="11:19" x14ac:dyDescent="0.25">
      <c r="K334" s="58"/>
      <c r="L334" s="59"/>
      <c r="M334" s="54"/>
      <c r="N334" s="55"/>
      <c r="P334" s="58"/>
      <c r="Q334" s="59"/>
      <c r="R334" s="54"/>
      <c r="S334" s="55"/>
    </row>
    <row r="335" spans="11:19" x14ac:dyDescent="0.25">
      <c r="K335" s="58"/>
      <c r="L335" s="59"/>
      <c r="M335" s="54"/>
      <c r="N335" s="55"/>
      <c r="P335" s="58"/>
      <c r="Q335" s="59"/>
      <c r="R335" s="54"/>
      <c r="S335" s="55"/>
    </row>
    <row r="336" spans="11:19" x14ac:dyDescent="0.25">
      <c r="K336" s="58"/>
      <c r="L336" s="59"/>
      <c r="M336" s="54"/>
      <c r="N336" s="55"/>
      <c r="P336" s="58"/>
      <c r="Q336" s="59"/>
      <c r="R336" s="54"/>
      <c r="S336" s="55"/>
    </row>
    <row r="337" spans="11:19" x14ac:dyDescent="0.25">
      <c r="K337" s="58"/>
      <c r="L337" s="59"/>
      <c r="M337" s="54"/>
      <c r="N337" s="55"/>
      <c r="P337" s="58"/>
      <c r="Q337" s="59"/>
      <c r="R337" s="54"/>
      <c r="S337" s="55"/>
    </row>
    <row r="338" spans="11:19" x14ac:dyDescent="0.25">
      <c r="K338" s="58"/>
      <c r="L338" s="59"/>
      <c r="M338" s="54"/>
      <c r="N338" s="55"/>
      <c r="P338" s="58"/>
      <c r="Q338" s="59"/>
      <c r="R338" s="54"/>
      <c r="S338" s="55"/>
    </row>
    <row r="339" spans="11:19" x14ac:dyDescent="0.25">
      <c r="K339" s="58"/>
      <c r="L339" s="59"/>
      <c r="M339" s="54"/>
      <c r="N339" s="55"/>
      <c r="P339" s="58"/>
      <c r="Q339" s="59"/>
      <c r="R339" s="54"/>
      <c r="S339" s="55"/>
    </row>
    <row r="340" spans="11:19" x14ac:dyDescent="0.25">
      <c r="K340" s="58"/>
      <c r="L340" s="59"/>
      <c r="M340" s="54"/>
      <c r="N340" s="55"/>
      <c r="P340" s="58"/>
      <c r="Q340" s="59"/>
      <c r="R340" s="54"/>
      <c r="S340" s="55"/>
    </row>
    <row r="341" spans="11:19" x14ac:dyDescent="0.25">
      <c r="K341" s="58"/>
      <c r="L341" s="59"/>
      <c r="M341" s="54"/>
      <c r="N341" s="55"/>
      <c r="P341" s="58"/>
      <c r="Q341" s="59"/>
      <c r="R341" s="54"/>
      <c r="S341" s="55"/>
    </row>
    <row r="342" spans="11:19" x14ac:dyDescent="0.25">
      <c r="K342" s="58"/>
      <c r="L342" s="59"/>
      <c r="M342" s="54"/>
      <c r="N342" s="55"/>
      <c r="P342" s="58"/>
      <c r="Q342" s="59"/>
      <c r="R342" s="54"/>
      <c r="S342" s="55"/>
    </row>
    <row r="343" spans="11:19" x14ac:dyDescent="0.25">
      <c r="K343" s="58"/>
      <c r="L343" s="59"/>
      <c r="M343" s="54"/>
      <c r="N343" s="55"/>
      <c r="P343" s="58"/>
      <c r="Q343" s="59"/>
      <c r="R343" s="54"/>
      <c r="S343" s="55"/>
    </row>
    <row r="344" spans="11:19" x14ac:dyDescent="0.25">
      <c r="K344" s="58"/>
      <c r="L344" s="59"/>
      <c r="M344" s="54"/>
      <c r="N344" s="55"/>
      <c r="P344" s="58"/>
      <c r="Q344" s="59"/>
      <c r="R344" s="54"/>
      <c r="S344" s="55"/>
    </row>
    <row r="345" spans="11:19" x14ac:dyDescent="0.25">
      <c r="K345" s="58"/>
      <c r="L345" s="59"/>
      <c r="M345" s="54"/>
      <c r="N345" s="55"/>
      <c r="P345" s="58"/>
      <c r="Q345" s="59"/>
      <c r="R345" s="54"/>
      <c r="S345" s="55"/>
    </row>
    <row r="346" spans="11:19" x14ac:dyDescent="0.25">
      <c r="K346" s="58"/>
      <c r="L346" s="59"/>
      <c r="M346" s="54"/>
      <c r="N346" s="55"/>
      <c r="P346" s="58"/>
      <c r="Q346" s="59"/>
      <c r="R346" s="54"/>
      <c r="S346" s="55"/>
    </row>
    <row r="347" spans="11:19" x14ac:dyDescent="0.25">
      <c r="K347" s="58"/>
      <c r="L347" s="59"/>
      <c r="M347" s="54"/>
      <c r="N347" s="55"/>
      <c r="P347" s="58"/>
      <c r="Q347" s="59"/>
      <c r="R347" s="54"/>
      <c r="S347" s="55"/>
    </row>
    <row r="348" spans="11:19" ht="15.75" thickBot="1" x14ac:dyDescent="0.3">
      <c r="K348" s="60"/>
      <c r="L348" s="61"/>
      <c r="M348" s="56"/>
      <c r="N348" s="57"/>
      <c r="P348" s="60"/>
      <c r="Q348" s="61"/>
      <c r="R348" s="56"/>
      <c r="S348" s="57"/>
    </row>
  </sheetData>
  <mergeCells count="4">
    <mergeCell ref="A8:D8"/>
    <mergeCell ref="F8:I8"/>
    <mergeCell ref="K8:N8"/>
    <mergeCell ref="P8:S8"/>
  </mergeCells>
  <conditionalFormatting sqref="G3">
    <cfRule type="cellIs" dxfId="44" priority="5" operator="greaterThan">
      <formula>$J$4</formula>
    </cfRule>
  </conditionalFormatting>
  <conditionalFormatting sqref="T5">
    <cfRule type="cellIs" dxfId="43" priority="1" operator="greaterThan">
      <formula>$T$6</formula>
    </cfRule>
    <cfRule type="cellIs" dxfId="42" priority="4" operator="lessThan">
      <formula>$T$6</formula>
    </cfRule>
  </conditionalFormatting>
  <conditionalFormatting sqref="T6">
    <cfRule type="cellIs" dxfId="41" priority="2" operator="greaterThan">
      <formula>$T$5</formula>
    </cfRule>
    <cfRule type="cellIs" dxfId="40" priority="3" operator="lessThan">
      <formula>$T$5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631320-6658-4FFA-B18B-CC52D157DB3B}">
  <sheetPr codeName="Sheet23"/>
  <dimension ref="A1:T348"/>
  <sheetViews>
    <sheetView zoomScale="70" zoomScaleNormal="70" workbookViewId="0">
      <pane ySplit="9" topLeftCell="A10" activePane="bottomLeft" state="frozen"/>
      <selection pane="bottomLeft" activeCell="M15" sqref="M15"/>
    </sheetView>
  </sheetViews>
  <sheetFormatPr baseColWidth="10" defaultColWidth="9.140625" defaultRowHeight="15" x14ac:dyDescent="0.25"/>
  <cols>
    <col min="2" max="2" width="11.85546875" bestFit="1" customWidth="1"/>
    <col min="3" max="3" width="13.85546875" customWidth="1"/>
    <col min="4" max="4" width="14.5703125" customWidth="1"/>
    <col min="5" max="8" width="14.5703125" bestFit="1" customWidth="1"/>
    <col min="9" max="9" width="11.42578125" bestFit="1" customWidth="1"/>
    <col min="10" max="10" width="12.140625" bestFit="1" customWidth="1"/>
    <col min="12" max="12" width="11.85546875" bestFit="1" customWidth="1"/>
    <col min="13" max="13" width="13.85546875" bestFit="1" customWidth="1"/>
    <col min="14" max="14" width="12.7109375" bestFit="1" customWidth="1"/>
    <col min="15" max="15" width="8.7109375" customWidth="1"/>
    <col min="18" max="18" width="13.85546875" bestFit="1" customWidth="1"/>
    <col min="19" max="19" width="11.5703125" bestFit="1" customWidth="1"/>
    <col min="20" max="20" width="12.42578125" bestFit="1" customWidth="1"/>
    <col min="22" max="23" width="14.5703125" bestFit="1" customWidth="1"/>
    <col min="24" max="24" width="15.85546875" bestFit="1" customWidth="1"/>
    <col min="26" max="26" width="15.85546875" bestFit="1" customWidth="1"/>
  </cols>
  <sheetData>
    <row r="1" spans="1:20" ht="15.75" thickBot="1" x14ac:dyDescent="0.3">
      <c r="C1" s="1" t="s">
        <v>0</v>
      </c>
      <c r="D1" s="2" t="s">
        <v>1</v>
      </c>
      <c r="E1" s="1" t="s">
        <v>2</v>
      </c>
      <c r="F1" s="2" t="s">
        <v>3</v>
      </c>
      <c r="G1" s="63" t="s">
        <v>4</v>
      </c>
      <c r="H1" s="81" t="s">
        <v>24</v>
      </c>
      <c r="I1" s="66" t="s">
        <v>5</v>
      </c>
      <c r="J1" s="3">
        <v>368</v>
      </c>
      <c r="M1" s="1" t="s">
        <v>5</v>
      </c>
      <c r="N1" s="4" t="s">
        <v>6</v>
      </c>
      <c r="P1" t="s">
        <v>0</v>
      </c>
      <c r="Q1">
        <f>SUM(E10:E54)</f>
        <v>13</v>
      </c>
      <c r="R1" t="s">
        <v>2</v>
      </c>
      <c r="S1">
        <f>(M3/M2)*Q1</f>
        <v>8.6666666666666679</v>
      </c>
      <c r="T1">
        <f>S1-8</f>
        <v>0.66666666666666785</v>
      </c>
    </row>
    <row r="2" spans="1:20" ht="15.75" thickBot="1" x14ac:dyDescent="0.3">
      <c r="B2" s="5" t="s">
        <v>7</v>
      </c>
      <c r="C2" s="6">
        <f>SUMPRODUCT(C10:C118,E10:E118)</f>
        <v>6244683</v>
      </c>
      <c r="D2" s="7">
        <f>SUMPRODUCT(H10:H118,J10:J118)</f>
        <v>2781786.6666666665</v>
      </c>
      <c r="E2" s="6">
        <f>SUMPRODUCT(M10:M348,O10:O348)</f>
        <v>6159363.333333334</v>
      </c>
      <c r="F2" s="7">
        <f>SUMPRODUCT(R10:R348,T10:T348)</f>
        <v>6983557</v>
      </c>
      <c r="G2" s="64">
        <f>C2+D2+E2+F2</f>
        <v>22169390</v>
      </c>
      <c r="H2" s="82">
        <v>24786935</v>
      </c>
      <c r="I2" s="67" t="s">
        <v>6</v>
      </c>
      <c r="J2" s="8">
        <v>334</v>
      </c>
      <c r="L2" s="5" t="s">
        <v>8</v>
      </c>
      <c r="M2" s="9">
        <v>0.6</v>
      </c>
      <c r="N2" s="10">
        <v>0.25</v>
      </c>
      <c r="P2" t="s">
        <v>3</v>
      </c>
      <c r="Q2">
        <f>SUM(T10:T64)</f>
        <v>13</v>
      </c>
      <c r="R2" t="s">
        <v>1</v>
      </c>
      <c r="S2">
        <f>(N2/N3)*Q2</f>
        <v>4.333333333333333</v>
      </c>
      <c r="T2">
        <f>S2-4</f>
        <v>0.33333333333333304</v>
      </c>
    </row>
    <row r="3" spans="1:20" ht="15.75" thickBot="1" x14ac:dyDescent="0.3">
      <c r="B3" s="11" t="s">
        <v>9</v>
      </c>
      <c r="C3" s="12">
        <f>SUMPRODUCT(B10:B118,E10:E118)</f>
        <v>394.23913043478268</v>
      </c>
      <c r="D3" s="13">
        <f>SUMPRODUCT(G10:G118,J10:J118)</f>
        <v>144.79041916167662</v>
      </c>
      <c r="E3" s="12">
        <f>SUMPRODUCT(L10:L348,O10:O348)</f>
        <v>262.82608695652181</v>
      </c>
      <c r="F3" s="13">
        <f>SUMPRODUCT(Q10:Q348,T10:T348)</f>
        <v>434.37125748502979</v>
      </c>
      <c r="G3" s="65">
        <f>SUM(C3:F3)</f>
        <v>1236.2268940380109</v>
      </c>
      <c r="H3" s="80">
        <f>(H2-G2)/G2</f>
        <v>0.11807023107085941</v>
      </c>
      <c r="I3" s="67" t="s">
        <v>10</v>
      </c>
      <c r="J3" s="8">
        <f>11160</f>
        <v>11160</v>
      </c>
      <c r="L3" s="14" t="s">
        <v>11</v>
      </c>
      <c r="M3" s="15">
        <v>0.4</v>
      </c>
      <c r="N3" s="16">
        <v>0.75</v>
      </c>
      <c r="P3" t="s">
        <v>0</v>
      </c>
      <c r="Q3">
        <v>1</v>
      </c>
      <c r="R3" t="s">
        <v>2</v>
      </c>
      <c r="S3">
        <f>(M3/M2)*Q3</f>
        <v>0.66666666666666674</v>
      </c>
    </row>
    <row r="4" spans="1:20" ht="15.75" thickBot="1" x14ac:dyDescent="0.3">
      <c r="B4" s="14" t="s">
        <v>12</v>
      </c>
      <c r="C4" s="17">
        <f>SUM(E10:E118)*J3</f>
        <v>145080</v>
      </c>
      <c r="D4" s="18">
        <f>SUM(J10:J118)*J3</f>
        <v>48360</v>
      </c>
      <c r="E4" s="17">
        <f>SUM(O10:O348)*J3</f>
        <v>96720.000000000015</v>
      </c>
      <c r="F4" s="18">
        <f>SUM(T10:T348)*J3</f>
        <v>145080</v>
      </c>
      <c r="G4" s="19">
        <f>SUM(C4:F4)</f>
        <v>435240</v>
      </c>
      <c r="H4" s="20"/>
      <c r="I4" s="21" t="s">
        <v>13</v>
      </c>
      <c r="J4" s="22">
        <v>100000</v>
      </c>
      <c r="L4" s="5" t="s">
        <v>14</v>
      </c>
      <c r="M4" s="76">
        <f>C4/(C4+E4)</f>
        <v>0.6</v>
      </c>
      <c r="N4" s="77">
        <f>D4/(D4+F4)</f>
        <v>0.25</v>
      </c>
      <c r="O4" s="23"/>
      <c r="P4" t="s">
        <v>3</v>
      </c>
      <c r="Q4">
        <v>1</v>
      </c>
      <c r="R4" t="s">
        <v>1</v>
      </c>
      <c r="S4">
        <f>(N2/N3)*Q4</f>
        <v>0.33333333333333331</v>
      </c>
    </row>
    <row r="5" spans="1:20" ht="15.75" thickBot="1" x14ac:dyDescent="0.3">
      <c r="B5" s="24" t="s">
        <v>15</v>
      </c>
      <c r="C5" s="25">
        <v>217620</v>
      </c>
      <c r="D5" s="26">
        <v>74400</v>
      </c>
      <c r="E5" s="27">
        <v>145080</v>
      </c>
      <c r="F5" s="26">
        <v>223200</v>
      </c>
      <c r="G5" s="28">
        <f>SUM(C5:F5)</f>
        <v>660300</v>
      </c>
      <c r="H5" s="20"/>
      <c r="I5" s="20"/>
      <c r="L5" s="29" t="s">
        <v>16</v>
      </c>
      <c r="M5" s="78">
        <f>E4/(C4+E4)</f>
        <v>0.40000000000000008</v>
      </c>
      <c r="N5" s="79">
        <f>F4/(D4+F4)</f>
        <v>0.75</v>
      </c>
      <c r="O5" s="23"/>
      <c r="P5" t="s">
        <v>0</v>
      </c>
      <c r="Q5">
        <v>-1040.9849462365592</v>
      </c>
      <c r="R5" t="s">
        <v>2</v>
      </c>
      <c r="S5">
        <v>16002.130465949822</v>
      </c>
      <c r="T5">
        <f>Q5*Q3+S5*S3</f>
        <v>9627.1020310633248</v>
      </c>
    </row>
    <row r="6" spans="1:20" ht="15.75" thickBot="1" x14ac:dyDescent="0.3">
      <c r="B6" s="24" t="s">
        <v>17</v>
      </c>
      <c r="C6" s="27">
        <f>C5-C4</f>
        <v>72540</v>
      </c>
      <c r="D6" s="30">
        <f>D5-D4</f>
        <v>26040</v>
      </c>
      <c r="E6" s="27">
        <f>E5-E4</f>
        <v>48359.999999999985</v>
      </c>
      <c r="F6" s="30">
        <f>F5-F4</f>
        <v>78120</v>
      </c>
      <c r="H6" s="20">
        <v>17981368</v>
      </c>
      <c r="I6" s="20"/>
      <c r="J6" s="62"/>
      <c r="N6" s="23"/>
      <c r="O6" s="23"/>
      <c r="P6" t="s">
        <v>3</v>
      </c>
      <c r="Q6">
        <v>5254.1551971326162</v>
      </c>
      <c r="R6" t="s">
        <v>1</v>
      </c>
      <c r="S6">
        <v>15494.068458781363</v>
      </c>
      <c r="T6">
        <f>Q6*Q4+S6*S4</f>
        <v>10418.84468339307</v>
      </c>
    </row>
    <row r="7" spans="1:20" ht="15.75" thickBot="1" x14ac:dyDescent="0.3"/>
    <row r="8" spans="1:20" ht="15.75" thickBot="1" x14ac:dyDescent="0.3">
      <c r="A8" s="113" t="s">
        <v>18</v>
      </c>
      <c r="B8" s="114"/>
      <c r="C8" s="114"/>
      <c r="D8" s="115"/>
      <c r="E8" s="31"/>
      <c r="F8" s="113" t="s">
        <v>19</v>
      </c>
      <c r="G8" s="114"/>
      <c r="H8" s="114"/>
      <c r="I8" s="115"/>
      <c r="J8" s="31"/>
      <c r="K8" s="113" t="s">
        <v>20</v>
      </c>
      <c r="L8" s="114"/>
      <c r="M8" s="114"/>
      <c r="N8" s="115"/>
      <c r="O8" s="31"/>
      <c r="P8" s="113" t="s">
        <v>21</v>
      </c>
      <c r="Q8" s="114"/>
      <c r="R8" s="114"/>
      <c r="S8" s="115"/>
    </row>
    <row r="9" spans="1:20" ht="15.75" thickBot="1" x14ac:dyDescent="0.3">
      <c r="A9" s="32" t="s">
        <v>22</v>
      </c>
      <c r="B9" s="33" t="s">
        <v>9</v>
      </c>
      <c r="C9" s="33" t="s">
        <v>7</v>
      </c>
      <c r="D9" s="34" t="s">
        <v>23</v>
      </c>
      <c r="E9" s="31"/>
      <c r="F9" s="32" t="s">
        <v>22</v>
      </c>
      <c r="G9" s="33" t="s">
        <v>9</v>
      </c>
      <c r="H9" s="33" t="s">
        <v>7</v>
      </c>
      <c r="I9" s="34" t="s">
        <v>23</v>
      </c>
      <c r="J9" s="31"/>
      <c r="K9" s="32" t="s">
        <v>22</v>
      </c>
      <c r="L9" s="33" t="s">
        <v>9</v>
      </c>
      <c r="M9" s="33" t="s">
        <v>7</v>
      </c>
      <c r="N9" s="34" t="s">
        <v>23</v>
      </c>
      <c r="O9" s="31"/>
      <c r="P9" s="35" t="s">
        <v>22</v>
      </c>
      <c r="Q9" s="36" t="s">
        <v>9</v>
      </c>
      <c r="R9" s="36" t="s">
        <v>7</v>
      </c>
      <c r="S9" s="37" t="s">
        <v>23</v>
      </c>
    </row>
    <row r="10" spans="1:20" x14ac:dyDescent="0.25">
      <c r="A10" s="38">
        <v>15</v>
      </c>
      <c r="B10" s="39">
        <f>$J$3/$J$1</f>
        <v>30.326086956521738</v>
      </c>
      <c r="C10" s="40">
        <v>823261</v>
      </c>
      <c r="D10" s="41">
        <f>C10/B10</f>
        <v>27146.957706093192</v>
      </c>
      <c r="E10">
        <v>1</v>
      </c>
      <c r="F10" s="74">
        <v>9</v>
      </c>
      <c r="G10" s="70">
        <f>$J$3/$J$2</f>
        <v>33.41317365269461</v>
      </c>
      <c r="H10" s="75">
        <v>839159</v>
      </c>
      <c r="I10" s="71">
        <f>H10/G10</f>
        <v>25114.615232974909</v>
      </c>
      <c r="J10">
        <v>0</v>
      </c>
      <c r="K10" s="38">
        <v>99</v>
      </c>
      <c r="L10" s="39">
        <f>$J$3/$J$1</f>
        <v>30.326086956521738</v>
      </c>
      <c r="M10" s="40">
        <v>891762</v>
      </c>
      <c r="N10" s="41">
        <f>M10/L10</f>
        <v>29405.772043010755</v>
      </c>
      <c r="O10">
        <v>1</v>
      </c>
      <c r="P10" s="42">
        <v>31</v>
      </c>
      <c r="Q10" s="43">
        <f>$J$3/$J$2</f>
        <v>33.41317365269461</v>
      </c>
      <c r="R10" s="44">
        <v>828146</v>
      </c>
      <c r="S10" s="45">
        <f>R10/Q10</f>
        <v>24785.014695340502</v>
      </c>
      <c r="T10">
        <v>1</v>
      </c>
    </row>
    <row r="11" spans="1:20" x14ac:dyDescent="0.25">
      <c r="A11" s="46">
        <v>4</v>
      </c>
      <c r="B11" s="39">
        <f t="shared" ref="B11:B54" si="0">$J$3/$J$1</f>
        <v>30.326086956521738</v>
      </c>
      <c r="C11" s="47">
        <v>748702</v>
      </c>
      <c r="D11" s="41">
        <f t="shared" ref="D11:D54" si="1">C11/B11</f>
        <v>24688.381362007171</v>
      </c>
      <c r="E11">
        <v>1</v>
      </c>
      <c r="F11" s="48">
        <v>1</v>
      </c>
      <c r="G11" s="43">
        <f t="shared" ref="G11:G54" si="2">$J$3/$J$2</f>
        <v>33.41317365269461</v>
      </c>
      <c r="H11" s="49">
        <v>816679</v>
      </c>
      <c r="I11" s="45">
        <f t="shared" ref="I11:I54" si="3">H11/G11</f>
        <v>24441.826702508963</v>
      </c>
      <c r="J11">
        <v>1</v>
      </c>
      <c r="K11" s="46">
        <v>22</v>
      </c>
      <c r="L11" s="39">
        <f t="shared" ref="L11:L64" si="4">$J$3/$J$1</f>
        <v>30.326086956521738</v>
      </c>
      <c r="M11" s="47">
        <v>787867</v>
      </c>
      <c r="N11" s="41">
        <f t="shared" ref="N11:N64" si="5">M11/L11</f>
        <v>25979.843727598567</v>
      </c>
      <c r="O11">
        <v>1</v>
      </c>
      <c r="P11" s="48">
        <v>95</v>
      </c>
      <c r="Q11" s="43">
        <f t="shared" ref="Q11:Q64" si="6">$J$3/$J$2</f>
        <v>33.41317365269461</v>
      </c>
      <c r="R11" s="49">
        <v>778683</v>
      </c>
      <c r="S11" s="45">
        <f t="shared" ref="S11:S64" si="7">R11/Q11</f>
        <v>23304.670430107526</v>
      </c>
      <c r="T11">
        <v>1</v>
      </c>
    </row>
    <row r="12" spans="1:20" x14ac:dyDescent="0.25">
      <c r="A12" s="46">
        <v>75</v>
      </c>
      <c r="B12" s="39">
        <f t="shared" si="0"/>
        <v>30.326086956521738</v>
      </c>
      <c r="C12" s="47">
        <v>700923</v>
      </c>
      <c r="D12" s="41">
        <f t="shared" si="1"/>
        <v>23112.873118279571</v>
      </c>
      <c r="E12">
        <v>1</v>
      </c>
      <c r="F12" s="48">
        <v>3</v>
      </c>
      <c r="G12" s="43">
        <f t="shared" si="2"/>
        <v>33.41317365269461</v>
      </c>
      <c r="H12" s="49">
        <v>637399</v>
      </c>
      <c r="I12" s="45">
        <f t="shared" si="3"/>
        <v>19076.278315412186</v>
      </c>
      <c r="J12">
        <v>1</v>
      </c>
      <c r="K12" s="46">
        <v>83</v>
      </c>
      <c r="L12" s="39">
        <f t="shared" si="4"/>
        <v>30.326086956521738</v>
      </c>
      <c r="M12" s="47">
        <v>776669</v>
      </c>
      <c r="N12" s="41">
        <f t="shared" si="5"/>
        <v>25610.590681003585</v>
      </c>
      <c r="O12">
        <v>1</v>
      </c>
      <c r="P12" s="48">
        <v>32</v>
      </c>
      <c r="Q12" s="43">
        <f t="shared" si="6"/>
        <v>33.41317365269461</v>
      </c>
      <c r="R12" s="49">
        <v>742165</v>
      </c>
      <c r="S12" s="45">
        <f t="shared" si="7"/>
        <v>22211.748207885306</v>
      </c>
      <c r="T12">
        <v>1</v>
      </c>
    </row>
    <row r="13" spans="1:20" x14ac:dyDescent="0.25">
      <c r="A13" s="46">
        <v>61</v>
      </c>
      <c r="B13" s="39">
        <f t="shared" si="0"/>
        <v>30.326086956521738</v>
      </c>
      <c r="C13" s="47">
        <v>594344</v>
      </c>
      <c r="D13" s="41">
        <f t="shared" si="1"/>
        <v>19598.440143369175</v>
      </c>
      <c r="E13">
        <v>1</v>
      </c>
      <c r="F13" s="48">
        <v>89</v>
      </c>
      <c r="G13" s="43">
        <f t="shared" si="2"/>
        <v>33.41317365269461</v>
      </c>
      <c r="H13" s="49">
        <v>626952</v>
      </c>
      <c r="I13" s="45">
        <f t="shared" si="3"/>
        <v>18763.617204301077</v>
      </c>
      <c r="J13">
        <v>1</v>
      </c>
      <c r="K13" s="46">
        <v>57</v>
      </c>
      <c r="L13" s="39">
        <f t="shared" si="4"/>
        <v>30.326086956521738</v>
      </c>
      <c r="M13" s="47">
        <v>764937</v>
      </c>
      <c r="N13" s="41">
        <f t="shared" si="5"/>
        <v>25223.729032258067</v>
      </c>
      <c r="O13">
        <v>1</v>
      </c>
      <c r="P13" s="48">
        <v>86</v>
      </c>
      <c r="Q13" s="43">
        <f t="shared" si="6"/>
        <v>33.41317365269461</v>
      </c>
      <c r="R13" s="49">
        <v>708838</v>
      </c>
      <c r="S13" s="45">
        <f t="shared" si="7"/>
        <v>21214.327240143371</v>
      </c>
      <c r="T13">
        <v>1</v>
      </c>
    </row>
    <row r="14" spans="1:20" x14ac:dyDescent="0.25">
      <c r="A14" s="46">
        <v>2</v>
      </c>
      <c r="B14" s="39">
        <f t="shared" si="0"/>
        <v>30.326086956521738</v>
      </c>
      <c r="C14" s="47">
        <v>573963</v>
      </c>
      <c r="D14" s="41">
        <f t="shared" si="1"/>
        <v>18926.378494623656</v>
      </c>
      <c r="E14">
        <v>1</v>
      </c>
      <c r="F14" s="48">
        <v>74</v>
      </c>
      <c r="G14" s="43">
        <f t="shared" si="2"/>
        <v>33.41317365269461</v>
      </c>
      <c r="H14" s="49">
        <v>528188</v>
      </c>
      <c r="I14" s="45">
        <f t="shared" si="3"/>
        <v>15807.7770609319</v>
      </c>
      <c r="J14">
        <v>1</v>
      </c>
      <c r="K14" s="46">
        <v>33</v>
      </c>
      <c r="L14" s="39">
        <f t="shared" si="4"/>
        <v>30.326086956521738</v>
      </c>
      <c r="M14" s="47">
        <v>739492</v>
      </c>
      <c r="N14" s="41">
        <f t="shared" si="5"/>
        <v>24384.682437275987</v>
      </c>
      <c r="O14">
        <v>1</v>
      </c>
      <c r="P14" s="48">
        <v>44</v>
      </c>
      <c r="Q14" s="43">
        <f t="shared" si="6"/>
        <v>33.41317365269461</v>
      </c>
      <c r="R14" s="49">
        <v>644475</v>
      </c>
      <c r="S14" s="45">
        <f t="shared" si="7"/>
        <v>19288.051075268817</v>
      </c>
      <c r="T14">
        <v>1</v>
      </c>
    </row>
    <row r="15" spans="1:20" x14ac:dyDescent="0.25">
      <c r="A15" s="46">
        <v>66</v>
      </c>
      <c r="B15" s="39">
        <f t="shared" si="0"/>
        <v>30.326086956521738</v>
      </c>
      <c r="C15" s="47">
        <v>543888</v>
      </c>
      <c r="D15" s="41">
        <f t="shared" si="1"/>
        <v>17934.65806451613</v>
      </c>
      <c r="E15">
        <v>1</v>
      </c>
      <c r="F15" s="52">
        <v>7</v>
      </c>
      <c r="G15" s="72">
        <f t="shared" si="2"/>
        <v>33.41317365269461</v>
      </c>
      <c r="H15" s="53">
        <v>517706</v>
      </c>
      <c r="I15" s="73">
        <f t="shared" si="3"/>
        <v>15494.068458781363</v>
      </c>
      <c r="J15">
        <v>0.33333333333333304</v>
      </c>
      <c r="K15" s="46">
        <v>34</v>
      </c>
      <c r="L15" s="39">
        <f t="shared" si="4"/>
        <v>30.326086956521738</v>
      </c>
      <c r="M15" s="47">
        <v>706466</v>
      </c>
      <c r="N15" s="41">
        <f t="shared" si="5"/>
        <v>23295.653046594984</v>
      </c>
      <c r="O15">
        <v>1</v>
      </c>
      <c r="P15" s="48">
        <v>43</v>
      </c>
      <c r="Q15" s="43">
        <f t="shared" si="6"/>
        <v>33.41317365269461</v>
      </c>
      <c r="R15" s="49">
        <v>600711</v>
      </c>
      <c r="S15" s="45">
        <f t="shared" si="7"/>
        <v>17978.268279569893</v>
      </c>
      <c r="T15">
        <v>1.0000000000000007</v>
      </c>
    </row>
    <row r="16" spans="1:20" x14ac:dyDescent="0.25">
      <c r="A16" s="46">
        <v>9</v>
      </c>
      <c r="B16" s="39">
        <f t="shared" si="0"/>
        <v>30.326086956521738</v>
      </c>
      <c r="C16" s="47">
        <v>458407</v>
      </c>
      <c r="D16" s="41">
        <f t="shared" si="1"/>
        <v>15115.929749103943</v>
      </c>
      <c r="E16">
        <v>1</v>
      </c>
      <c r="F16" s="58">
        <v>16</v>
      </c>
      <c r="G16" s="68">
        <f t="shared" si="2"/>
        <v>33.41317365269461</v>
      </c>
      <c r="H16" s="54">
        <v>471825</v>
      </c>
      <c r="I16" s="69">
        <f t="shared" si="3"/>
        <v>14120.927419354839</v>
      </c>
      <c r="K16" s="50">
        <v>54</v>
      </c>
      <c r="L16" s="70">
        <f t="shared" si="4"/>
        <v>30.326086956521738</v>
      </c>
      <c r="M16" s="51">
        <v>704680</v>
      </c>
      <c r="N16" s="71">
        <f t="shared" si="5"/>
        <v>23236.759856630826</v>
      </c>
      <c r="O16">
        <v>0</v>
      </c>
      <c r="P16" s="48">
        <v>54</v>
      </c>
      <c r="Q16" s="43">
        <f t="shared" si="6"/>
        <v>33.41317365269461</v>
      </c>
      <c r="R16" s="49">
        <v>600526</v>
      </c>
      <c r="S16" s="45">
        <f t="shared" si="7"/>
        <v>17972.73154121864</v>
      </c>
      <c r="T16">
        <v>1</v>
      </c>
    </row>
    <row r="17" spans="1:20" x14ac:dyDescent="0.25">
      <c r="A17" s="46">
        <v>6</v>
      </c>
      <c r="B17" s="39">
        <f t="shared" si="0"/>
        <v>30.326086956521738</v>
      </c>
      <c r="C17" s="47">
        <v>413342</v>
      </c>
      <c r="D17" s="41">
        <f t="shared" si="1"/>
        <v>13629.915412186379</v>
      </c>
      <c r="E17">
        <v>1</v>
      </c>
      <c r="F17" s="58">
        <v>20</v>
      </c>
      <c r="G17" s="68">
        <f t="shared" si="2"/>
        <v>33.41317365269461</v>
      </c>
      <c r="H17" s="54">
        <v>465526</v>
      </c>
      <c r="I17" s="69">
        <f t="shared" si="3"/>
        <v>13932.408960573477</v>
      </c>
      <c r="K17" s="46">
        <v>46</v>
      </c>
      <c r="L17" s="39">
        <f t="shared" si="4"/>
        <v>30.326086956521738</v>
      </c>
      <c r="M17" s="47">
        <v>647685</v>
      </c>
      <c r="N17" s="41">
        <f t="shared" si="5"/>
        <v>21357.354838709678</v>
      </c>
      <c r="O17">
        <v>1</v>
      </c>
      <c r="P17" s="50">
        <v>33</v>
      </c>
      <c r="Q17" s="70">
        <f t="shared" si="6"/>
        <v>33.41317365269461</v>
      </c>
      <c r="R17" s="51">
        <v>533105</v>
      </c>
      <c r="S17" s="71">
        <f t="shared" si="7"/>
        <v>15954.934587813621</v>
      </c>
      <c r="T17">
        <v>0</v>
      </c>
    </row>
    <row r="18" spans="1:20" x14ac:dyDescent="0.25">
      <c r="A18" s="46">
        <v>90</v>
      </c>
      <c r="B18" s="39">
        <f t="shared" si="0"/>
        <v>30.326086956521738</v>
      </c>
      <c r="C18" s="47">
        <v>390167</v>
      </c>
      <c r="D18" s="41">
        <f t="shared" si="1"/>
        <v>12865.721863799283</v>
      </c>
      <c r="E18">
        <v>1</v>
      </c>
      <c r="F18" s="58">
        <v>71</v>
      </c>
      <c r="G18" s="68">
        <f t="shared" si="2"/>
        <v>33.41317365269461</v>
      </c>
      <c r="H18" s="54">
        <v>459240</v>
      </c>
      <c r="I18" s="69">
        <f t="shared" si="3"/>
        <v>13744.279569892473</v>
      </c>
      <c r="K18" s="46">
        <v>35</v>
      </c>
      <c r="L18" s="39">
        <f t="shared" si="4"/>
        <v>30.326086956521738</v>
      </c>
      <c r="M18" s="47">
        <v>520964</v>
      </c>
      <c r="N18" s="41">
        <f t="shared" si="5"/>
        <v>17178.741218637992</v>
      </c>
      <c r="O18">
        <v>1</v>
      </c>
      <c r="P18" s="48">
        <v>29</v>
      </c>
      <c r="Q18" s="43">
        <f t="shared" si="6"/>
        <v>33.41317365269461</v>
      </c>
      <c r="R18" s="49">
        <v>466819</v>
      </c>
      <c r="S18" s="45">
        <f t="shared" si="7"/>
        <v>13971.106272401434</v>
      </c>
      <c r="T18">
        <v>1</v>
      </c>
    </row>
    <row r="19" spans="1:20" x14ac:dyDescent="0.25">
      <c r="A19" s="46">
        <v>10</v>
      </c>
      <c r="B19" s="39">
        <f t="shared" si="0"/>
        <v>30.326086956521738</v>
      </c>
      <c r="C19" s="47">
        <v>374487</v>
      </c>
      <c r="D19" s="41">
        <f t="shared" si="1"/>
        <v>12348.675268817206</v>
      </c>
      <c r="E19">
        <v>1</v>
      </c>
      <c r="F19" s="58">
        <v>73</v>
      </c>
      <c r="G19" s="68">
        <f t="shared" si="2"/>
        <v>33.41317365269461</v>
      </c>
      <c r="H19" s="54">
        <v>435675</v>
      </c>
      <c r="I19" s="69">
        <f t="shared" si="3"/>
        <v>13039.018817204302</v>
      </c>
      <c r="K19" s="52">
        <v>28</v>
      </c>
      <c r="L19" s="72">
        <f t="shared" si="4"/>
        <v>30.326086956521738</v>
      </c>
      <c r="M19" s="53">
        <v>485282</v>
      </c>
      <c r="N19" s="73">
        <f t="shared" si="5"/>
        <v>16002.130465949822</v>
      </c>
      <c r="O19">
        <v>0.66666666666666785</v>
      </c>
      <c r="P19" s="48">
        <v>39</v>
      </c>
      <c r="Q19" s="43">
        <f t="shared" si="6"/>
        <v>33.41317365269461</v>
      </c>
      <c r="R19" s="49">
        <v>443533</v>
      </c>
      <c r="S19" s="45">
        <f t="shared" si="7"/>
        <v>13274.195519713261</v>
      </c>
      <c r="T19">
        <v>1</v>
      </c>
    </row>
    <row r="20" spans="1:20" x14ac:dyDescent="0.25">
      <c r="A20" s="46">
        <v>72</v>
      </c>
      <c r="B20" s="39">
        <f t="shared" si="0"/>
        <v>30.326086956521738</v>
      </c>
      <c r="C20" s="47">
        <v>339217</v>
      </c>
      <c r="D20" s="41">
        <f t="shared" si="1"/>
        <v>11185.65017921147</v>
      </c>
      <c r="E20">
        <v>1</v>
      </c>
      <c r="F20" s="50">
        <v>4</v>
      </c>
      <c r="G20" s="70">
        <f t="shared" si="2"/>
        <v>33.41317365269461</v>
      </c>
      <c r="H20" s="51">
        <v>435251</v>
      </c>
      <c r="I20" s="71">
        <f t="shared" si="3"/>
        <v>13026.329211469534</v>
      </c>
      <c r="J20">
        <v>0</v>
      </c>
      <c r="K20" s="58">
        <v>25</v>
      </c>
      <c r="L20" s="68">
        <f t="shared" si="4"/>
        <v>30.326086956521738</v>
      </c>
      <c r="M20" s="54">
        <v>428682</v>
      </c>
      <c r="N20" s="69">
        <f t="shared" si="5"/>
        <v>14135.750537634409</v>
      </c>
      <c r="P20" s="48">
        <v>85</v>
      </c>
      <c r="Q20" s="43">
        <f t="shared" si="6"/>
        <v>33.41317365269461</v>
      </c>
      <c r="R20" s="49">
        <v>400656</v>
      </c>
      <c r="S20" s="45">
        <f t="shared" si="7"/>
        <v>11990.959139784947</v>
      </c>
      <c r="T20">
        <v>1</v>
      </c>
    </row>
    <row r="21" spans="1:20" x14ac:dyDescent="0.25">
      <c r="A21" s="46">
        <v>63</v>
      </c>
      <c r="B21" s="39">
        <f t="shared" si="0"/>
        <v>30.326086956521738</v>
      </c>
      <c r="C21" s="47">
        <v>148379</v>
      </c>
      <c r="D21" s="41">
        <f t="shared" si="1"/>
        <v>4892.7842293906815</v>
      </c>
      <c r="E21">
        <v>1</v>
      </c>
      <c r="F21" s="58">
        <v>58</v>
      </c>
      <c r="G21" s="68">
        <f t="shared" si="2"/>
        <v>33.41317365269461</v>
      </c>
      <c r="H21" s="54">
        <v>425212</v>
      </c>
      <c r="I21" s="69">
        <f t="shared" si="3"/>
        <v>12725.878853046595</v>
      </c>
      <c r="K21" s="58">
        <v>53</v>
      </c>
      <c r="L21" s="68">
        <f t="shared" si="4"/>
        <v>30.326086956521738</v>
      </c>
      <c r="M21" s="54">
        <v>427876</v>
      </c>
      <c r="N21" s="69">
        <f t="shared" si="5"/>
        <v>14109.17275985663</v>
      </c>
      <c r="P21" s="48">
        <v>51</v>
      </c>
      <c r="Q21" s="43">
        <f t="shared" si="6"/>
        <v>33.41317365269461</v>
      </c>
      <c r="R21" s="49">
        <v>295735</v>
      </c>
      <c r="S21" s="45">
        <f t="shared" si="7"/>
        <v>8850.8503584229402</v>
      </c>
      <c r="T21">
        <v>1</v>
      </c>
    </row>
    <row r="22" spans="1:20" x14ac:dyDescent="0.25">
      <c r="A22" s="46">
        <v>5</v>
      </c>
      <c r="B22" s="39">
        <f t="shared" si="0"/>
        <v>30.326086956521738</v>
      </c>
      <c r="C22" s="47">
        <v>135603</v>
      </c>
      <c r="D22" s="41">
        <f t="shared" si="1"/>
        <v>4471.4967741935488</v>
      </c>
      <c r="E22">
        <v>1</v>
      </c>
      <c r="F22" s="58">
        <v>69</v>
      </c>
      <c r="G22" s="68">
        <f t="shared" si="2"/>
        <v>33.41317365269461</v>
      </c>
      <c r="H22" s="54">
        <v>301059</v>
      </c>
      <c r="I22" s="69">
        <f t="shared" si="3"/>
        <v>9010.188709677419</v>
      </c>
      <c r="K22" s="58">
        <v>30</v>
      </c>
      <c r="L22" s="68">
        <f t="shared" si="4"/>
        <v>30.326086956521738</v>
      </c>
      <c r="M22" s="54">
        <v>412457</v>
      </c>
      <c r="N22" s="69">
        <f t="shared" si="5"/>
        <v>13600.732616487456</v>
      </c>
      <c r="P22" s="48">
        <v>84</v>
      </c>
      <c r="Q22" s="43">
        <f t="shared" si="6"/>
        <v>33.41317365269461</v>
      </c>
      <c r="R22" s="49">
        <v>277116</v>
      </c>
      <c r="S22" s="45">
        <f t="shared" si="7"/>
        <v>8293.6150537634403</v>
      </c>
      <c r="T22">
        <v>1</v>
      </c>
    </row>
    <row r="23" spans="1:20" x14ac:dyDescent="0.25">
      <c r="A23" s="50">
        <v>89</v>
      </c>
      <c r="B23" s="70">
        <f t="shared" si="0"/>
        <v>30.326086956521738</v>
      </c>
      <c r="C23" s="51">
        <v>43767</v>
      </c>
      <c r="D23" s="71">
        <f t="shared" si="1"/>
        <v>1443.2129032258065</v>
      </c>
      <c r="E23">
        <v>0</v>
      </c>
      <c r="F23" s="58">
        <v>91</v>
      </c>
      <c r="G23" s="68">
        <f t="shared" si="2"/>
        <v>33.41317365269461</v>
      </c>
      <c r="H23" s="54">
        <v>248437</v>
      </c>
      <c r="I23" s="69">
        <f t="shared" si="3"/>
        <v>7435.3008960573479</v>
      </c>
      <c r="K23" s="58">
        <v>45</v>
      </c>
      <c r="L23" s="68">
        <f t="shared" si="4"/>
        <v>30.326086956521738</v>
      </c>
      <c r="M23" s="54">
        <v>411553</v>
      </c>
      <c r="N23" s="69">
        <f t="shared" si="5"/>
        <v>13570.923297491039</v>
      </c>
      <c r="P23" s="48">
        <v>100</v>
      </c>
      <c r="Q23" s="43">
        <f t="shared" si="6"/>
        <v>33.41317365269461</v>
      </c>
      <c r="R23" s="49">
        <v>196154</v>
      </c>
      <c r="S23" s="45">
        <f t="shared" si="7"/>
        <v>5870.5587813620077</v>
      </c>
      <c r="T23">
        <v>1</v>
      </c>
    </row>
    <row r="24" spans="1:20" x14ac:dyDescent="0.25">
      <c r="A24" s="58">
        <v>8</v>
      </c>
      <c r="B24" s="68">
        <f t="shared" si="0"/>
        <v>30.326086956521738</v>
      </c>
      <c r="C24" s="54">
        <v>-31569</v>
      </c>
      <c r="D24" s="69">
        <f t="shared" si="1"/>
        <v>-1040.9849462365592</v>
      </c>
      <c r="F24" s="50">
        <v>75</v>
      </c>
      <c r="G24" s="70">
        <f t="shared" si="2"/>
        <v>33.41317365269461</v>
      </c>
      <c r="H24" s="51">
        <v>241104</v>
      </c>
      <c r="I24" s="71">
        <f t="shared" si="3"/>
        <v>7215.8365591397851</v>
      </c>
      <c r="J24">
        <v>0</v>
      </c>
      <c r="K24" s="50">
        <v>43</v>
      </c>
      <c r="L24" s="70">
        <f t="shared" si="4"/>
        <v>30.326086956521738</v>
      </c>
      <c r="M24" s="51">
        <v>287718</v>
      </c>
      <c r="N24" s="71">
        <f t="shared" si="5"/>
        <v>9487.4752688172048</v>
      </c>
      <c r="O24">
        <v>0</v>
      </c>
      <c r="P24" s="58">
        <v>56</v>
      </c>
      <c r="Q24" s="68">
        <f t="shared" si="6"/>
        <v>33.41317365269461</v>
      </c>
      <c r="R24" s="54">
        <v>175558</v>
      </c>
      <c r="S24" s="69">
        <f t="shared" si="7"/>
        <v>5254.1551971326162</v>
      </c>
    </row>
    <row r="25" spans="1:20" x14ac:dyDescent="0.25">
      <c r="A25" s="58">
        <v>62</v>
      </c>
      <c r="B25" s="68">
        <f t="shared" si="0"/>
        <v>30.326086956521738</v>
      </c>
      <c r="C25" s="54">
        <v>-50310</v>
      </c>
      <c r="D25" s="69">
        <f t="shared" si="1"/>
        <v>-1658.9677419354839</v>
      </c>
      <c r="F25" s="58">
        <v>21</v>
      </c>
      <c r="G25" s="68">
        <f t="shared" si="2"/>
        <v>33.41317365269461</v>
      </c>
      <c r="H25" s="54">
        <v>182068</v>
      </c>
      <c r="I25" s="69">
        <f t="shared" si="3"/>
        <v>5448.9885304659501</v>
      </c>
      <c r="K25" s="58">
        <v>47</v>
      </c>
      <c r="L25" s="68">
        <f t="shared" si="4"/>
        <v>30.326086956521738</v>
      </c>
      <c r="M25" s="54">
        <v>244892</v>
      </c>
      <c r="N25" s="69">
        <f t="shared" si="5"/>
        <v>8075.2917562724015</v>
      </c>
      <c r="P25" s="58">
        <v>24</v>
      </c>
      <c r="Q25" s="68">
        <f t="shared" si="6"/>
        <v>33.41317365269461</v>
      </c>
      <c r="R25" s="54">
        <v>71007</v>
      </c>
      <c r="S25" s="69">
        <f t="shared" si="7"/>
        <v>2125.1198924731184</v>
      </c>
    </row>
    <row r="26" spans="1:20" x14ac:dyDescent="0.25">
      <c r="A26" s="58">
        <v>20</v>
      </c>
      <c r="B26" s="68">
        <f t="shared" si="0"/>
        <v>30.326086956521738</v>
      </c>
      <c r="C26" s="54">
        <v>-55320</v>
      </c>
      <c r="D26" s="69">
        <f t="shared" si="1"/>
        <v>-1824.1720430107528</v>
      </c>
      <c r="F26" s="58">
        <v>59</v>
      </c>
      <c r="G26" s="68">
        <f t="shared" si="2"/>
        <v>33.41317365269461</v>
      </c>
      <c r="H26" s="54">
        <v>167225</v>
      </c>
      <c r="I26" s="69">
        <f t="shared" si="3"/>
        <v>5004.7625448028675</v>
      </c>
      <c r="K26" s="58">
        <v>27</v>
      </c>
      <c r="L26" s="68">
        <f t="shared" si="4"/>
        <v>30.326086956521738</v>
      </c>
      <c r="M26" s="54">
        <v>217246</v>
      </c>
      <c r="N26" s="69">
        <f t="shared" si="5"/>
        <v>7163.6673835125448</v>
      </c>
      <c r="P26" s="58">
        <v>94</v>
      </c>
      <c r="Q26" s="68">
        <f t="shared" si="6"/>
        <v>33.41317365269461</v>
      </c>
      <c r="R26" s="54">
        <v>48569</v>
      </c>
      <c r="S26" s="69">
        <f t="shared" si="7"/>
        <v>1453.5883512544804</v>
      </c>
    </row>
    <row r="27" spans="1:20" x14ac:dyDescent="0.25">
      <c r="A27" s="58">
        <v>14</v>
      </c>
      <c r="B27" s="68">
        <f t="shared" si="0"/>
        <v>30.326086956521738</v>
      </c>
      <c r="C27" s="54">
        <v>-99929</v>
      </c>
      <c r="D27" s="69">
        <f t="shared" si="1"/>
        <v>-3295.1498207885306</v>
      </c>
      <c r="F27" s="50">
        <v>63</v>
      </c>
      <c r="G27" s="70">
        <f t="shared" si="2"/>
        <v>33.41317365269461</v>
      </c>
      <c r="H27" s="51">
        <v>-59023</v>
      </c>
      <c r="I27" s="71">
        <f t="shared" si="3"/>
        <v>-1766.4589605734768</v>
      </c>
      <c r="J27">
        <v>0</v>
      </c>
      <c r="K27" s="58">
        <v>98</v>
      </c>
      <c r="L27" s="68">
        <f t="shared" si="4"/>
        <v>30.326086956521738</v>
      </c>
      <c r="M27" s="54">
        <v>186371</v>
      </c>
      <c r="N27" s="69">
        <f t="shared" si="5"/>
        <v>6145.5670250896055</v>
      </c>
      <c r="P27" s="58">
        <v>98</v>
      </c>
      <c r="Q27" s="68">
        <f t="shared" si="6"/>
        <v>33.41317365269461</v>
      </c>
      <c r="R27" s="54">
        <v>42432</v>
      </c>
      <c r="S27" s="69">
        <f t="shared" si="7"/>
        <v>1269.9182795698925</v>
      </c>
    </row>
    <row r="28" spans="1:20" x14ac:dyDescent="0.25">
      <c r="A28" s="58">
        <v>59</v>
      </c>
      <c r="B28" s="68">
        <f t="shared" si="0"/>
        <v>30.326086956521738</v>
      </c>
      <c r="C28" s="54">
        <v>-120499</v>
      </c>
      <c r="D28" s="69">
        <f t="shared" si="1"/>
        <v>-3973.4437275985665</v>
      </c>
      <c r="F28" s="58">
        <v>70</v>
      </c>
      <c r="G28" s="68">
        <f t="shared" si="2"/>
        <v>33.41317365269461</v>
      </c>
      <c r="H28" s="54">
        <v>-82956</v>
      </c>
      <c r="I28" s="69">
        <f t="shared" si="3"/>
        <v>-2482.7333333333336</v>
      </c>
      <c r="K28" s="58">
        <v>82</v>
      </c>
      <c r="L28" s="68">
        <f t="shared" si="4"/>
        <v>30.326086956521738</v>
      </c>
      <c r="M28" s="54">
        <v>157735</v>
      </c>
      <c r="N28" s="69">
        <f t="shared" si="5"/>
        <v>5201.2974910394269</v>
      </c>
      <c r="P28" s="58">
        <v>79</v>
      </c>
      <c r="Q28" s="68">
        <f t="shared" si="6"/>
        <v>33.41317365269461</v>
      </c>
      <c r="R28" s="54">
        <v>-17472</v>
      </c>
      <c r="S28" s="69">
        <f t="shared" si="7"/>
        <v>-522.9075268817204</v>
      </c>
    </row>
    <row r="29" spans="1:20" x14ac:dyDescent="0.25">
      <c r="A29" s="58">
        <v>11</v>
      </c>
      <c r="B29" s="68">
        <f t="shared" si="0"/>
        <v>30.326086956521738</v>
      </c>
      <c r="C29" s="54">
        <v>-150180</v>
      </c>
      <c r="D29" s="69">
        <f t="shared" si="1"/>
        <v>-4952.1720430107525</v>
      </c>
      <c r="F29" s="58">
        <v>64</v>
      </c>
      <c r="G29" s="68">
        <f t="shared" si="2"/>
        <v>33.41317365269461</v>
      </c>
      <c r="H29" s="54">
        <v>-163863</v>
      </c>
      <c r="I29" s="69">
        <f t="shared" si="3"/>
        <v>-4904.1435483870973</v>
      </c>
      <c r="K29" s="50">
        <v>39</v>
      </c>
      <c r="L29" s="70">
        <f t="shared" si="4"/>
        <v>30.326086956521738</v>
      </c>
      <c r="M29" s="51">
        <v>75371</v>
      </c>
      <c r="N29" s="71">
        <f t="shared" si="5"/>
        <v>2485.3519713261649</v>
      </c>
      <c r="O29">
        <v>0</v>
      </c>
      <c r="P29" s="58">
        <v>30</v>
      </c>
      <c r="Q29" s="68">
        <f t="shared" si="6"/>
        <v>33.41317365269461</v>
      </c>
      <c r="R29" s="54">
        <v>-18899</v>
      </c>
      <c r="S29" s="69">
        <f t="shared" si="7"/>
        <v>-565.61523297491044</v>
      </c>
    </row>
    <row r="30" spans="1:20" x14ac:dyDescent="0.25">
      <c r="A30" s="58">
        <v>19</v>
      </c>
      <c r="B30" s="68">
        <f t="shared" si="0"/>
        <v>30.326086956521738</v>
      </c>
      <c r="C30" s="54">
        <v>-212225</v>
      </c>
      <c r="D30" s="69">
        <f t="shared" si="1"/>
        <v>-6998.1003584229393</v>
      </c>
      <c r="F30" s="58">
        <v>8</v>
      </c>
      <c r="G30" s="68">
        <f t="shared" si="2"/>
        <v>33.41317365269461</v>
      </c>
      <c r="H30" s="54">
        <v>-187009</v>
      </c>
      <c r="I30" s="69">
        <f t="shared" si="3"/>
        <v>-5596.8643369175625</v>
      </c>
      <c r="K30" s="58">
        <v>79</v>
      </c>
      <c r="L30" s="68">
        <f t="shared" si="4"/>
        <v>30.326086956521738</v>
      </c>
      <c r="M30" s="54">
        <v>42924</v>
      </c>
      <c r="N30" s="69">
        <f t="shared" si="5"/>
        <v>1415.4150537634409</v>
      </c>
      <c r="P30" s="50">
        <v>99</v>
      </c>
      <c r="Q30" s="70">
        <f t="shared" si="6"/>
        <v>33.41317365269461</v>
      </c>
      <c r="R30" s="51">
        <v>-53380</v>
      </c>
      <c r="S30" s="71">
        <f t="shared" si="7"/>
        <v>-1597.573476702509</v>
      </c>
    </row>
    <row r="31" spans="1:20" x14ac:dyDescent="0.25">
      <c r="A31" s="52">
        <v>7</v>
      </c>
      <c r="B31" s="72">
        <f t="shared" si="0"/>
        <v>30.326086956521738</v>
      </c>
      <c r="C31" s="53">
        <v>-425925</v>
      </c>
      <c r="D31" s="73">
        <f t="shared" si="1"/>
        <v>-14044.83870967742</v>
      </c>
      <c r="F31" s="50">
        <v>61</v>
      </c>
      <c r="G31" s="70">
        <f t="shared" si="2"/>
        <v>33.41317365269461</v>
      </c>
      <c r="H31" s="51">
        <v>-223907</v>
      </c>
      <c r="I31" s="71">
        <f t="shared" si="3"/>
        <v>-6701.159318996416</v>
      </c>
      <c r="J31">
        <v>0</v>
      </c>
      <c r="K31" s="58">
        <v>49</v>
      </c>
      <c r="L31" s="68">
        <f t="shared" si="4"/>
        <v>30.326086956521738</v>
      </c>
      <c r="M31" s="54">
        <v>-35135</v>
      </c>
      <c r="N31" s="69">
        <f t="shared" si="5"/>
        <v>-1158.573476702509</v>
      </c>
      <c r="P31" s="58">
        <v>76</v>
      </c>
      <c r="Q31" s="68">
        <f t="shared" si="6"/>
        <v>33.41317365269461</v>
      </c>
      <c r="R31" s="54">
        <v>-134133</v>
      </c>
      <c r="S31" s="69">
        <f t="shared" si="7"/>
        <v>-4014.3747311827956</v>
      </c>
    </row>
    <row r="32" spans="1:20" x14ac:dyDescent="0.25">
      <c r="A32" s="58">
        <v>88</v>
      </c>
      <c r="B32" s="68">
        <f t="shared" si="0"/>
        <v>30.326086956521738</v>
      </c>
      <c r="C32" s="54">
        <v>-426293</v>
      </c>
      <c r="D32" s="69">
        <f t="shared" si="1"/>
        <v>-14056.973476702509</v>
      </c>
      <c r="F32" s="58">
        <v>92</v>
      </c>
      <c r="G32" s="68">
        <f t="shared" si="2"/>
        <v>33.41317365269461</v>
      </c>
      <c r="H32" s="54">
        <v>-299484</v>
      </c>
      <c r="I32" s="69">
        <f t="shared" si="3"/>
        <v>-8963.0516129032258</v>
      </c>
      <c r="K32" s="50">
        <v>86</v>
      </c>
      <c r="L32" s="70">
        <f t="shared" si="4"/>
        <v>30.326086956521738</v>
      </c>
      <c r="M32" s="51">
        <v>-36114</v>
      </c>
      <c r="N32" s="71">
        <f t="shared" si="5"/>
        <v>-1190.8559139784948</v>
      </c>
      <c r="O32">
        <v>0</v>
      </c>
      <c r="P32" s="58">
        <v>27</v>
      </c>
      <c r="Q32" s="68">
        <f t="shared" si="6"/>
        <v>33.41317365269461</v>
      </c>
      <c r="R32" s="54">
        <v>-237585</v>
      </c>
      <c r="S32" s="69">
        <f t="shared" si="7"/>
        <v>-7110.5188172043008</v>
      </c>
    </row>
    <row r="33" spans="1:20" x14ac:dyDescent="0.25">
      <c r="A33" s="50">
        <v>1</v>
      </c>
      <c r="B33" s="70">
        <f t="shared" si="0"/>
        <v>30.326086956521738</v>
      </c>
      <c r="C33" s="51">
        <v>-436549</v>
      </c>
      <c r="D33" s="71">
        <f t="shared" si="1"/>
        <v>-14395.164157706093</v>
      </c>
      <c r="E33">
        <v>0</v>
      </c>
      <c r="F33" s="58">
        <v>93</v>
      </c>
      <c r="G33" s="68">
        <f t="shared" si="2"/>
        <v>33.41317365269461</v>
      </c>
      <c r="H33" s="54">
        <v>-392062</v>
      </c>
      <c r="I33" s="69">
        <f t="shared" si="3"/>
        <v>-11733.755197132617</v>
      </c>
      <c r="K33" s="50">
        <v>95</v>
      </c>
      <c r="L33" s="70">
        <f t="shared" si="4"/>
        <v>30.326086956521738</v>
      </c>
      <c r="M33" s="51">
        <v>-117870</v>
      </c>
      <c r="N33" s="71">
        <f t="shared" si="5"/>
        <v>-3886.7526881720432</v>
      </c>
      <c r="O33">
        <v>0</v>
      </c>
      <c r="P33" s="58">
        <v>49</v>
      </c>
      <c r="Q33" s="68">
        <f t="shared" si="6"/>
        <v>33.41317365269461</v>
      </c>
      <c r="R33" s="54">
        <v>-320509</v>
      </c>
      <c r="S33" s="69">
        <f t="shared" si="7"/>
        <v>-9592.2944444444438</v>
      </c>
    </row>
    <row r="34" spans="1:20" x14ac:dyDescent="0.25">
      <c r="A34" s="58">
        <v>16</v>
      </c>
      <c r="B34" s="68">
        <f t="shared" si="0"/>
        <v>30.326086956521738</v>
      </c>
      <c r="C34" s="54">
        <v>-516654</v>
      </c>
      <c r="D34" s="69">
        <f t="shared" si="1"/>
        <v>-17036.619354838709</v>
      </c>
      <c r="F34" s="58">
        <v>17</v>
      </c>
      <c r="G34" s="68">
        <f t="shared" si="2"/>
        <v>33.41317365269461</v>
      </c>
      <c r="H34" s="54">
        <v>-421127</v>
      </c>
      <c r="I34" s="69">
        <f t="shared" si="3"/>
        <v>-12603.621684587813</v>
      </c>
      <c r="K34" s="58">
        <v>42</v>
      </c>
      <c r="L34" s="68">
        <f t="shared" si="4"/>
        <v>30.326086956521738</v>
      </c>
      <c r="M34" s="54">
        <v>-137859</v>
      </c>
      <c r="N34" s="69">
        <f t="shared" si="5"/>
        <v>-4545.8881720430109</v>
      </c>
      <c r="P34" s="58">
        <v>47</v>
      </c>
      <c r="Q34" s="68">
        <f t="shared" si="6"/>
        <v>33.41317365269461</v>
      </c>
      <c r="R34" s="54">
        <v>-338573</v>
      </c>
      <c r="S34" s="69">
        <f t="shared" si="7"/>
        <v>-10132.919534050179</v>
      </c>
    </row>
    <row r="35" spans="1:20" x14ac:dyDescent="0.25">
      <c r="A35" s="58">
        <v>73</v>
      </c>
      <c r="B35" s="68">
        <f t="shared" si="0"/>
        <v>30.326086956521738</v>
      </c>
      <c r="C35" s="54">
        <v>-526062</v>
      </c>
      <c r="D35" s="69">
        <f t="shared" si="1"/>
        <v>-17346.847311827958</v>
      </c>
      <c r="F35" s="50">
        <v>5</v>
      </c>
      <c r="G35" s="70">
        <f t="shared" si="2"/>
        <v>33.41317365269461</v>
      </c>
      <c r="H35" s="51">
        <v>-473972</v>
      </c>
      <c r="I35" s="71">
        <f t="shared" si="3"/>
        <v>-14185.183512544803</v>
      </c>
      <c r="J35">
        <v>0</v>
      </c>
      <c r="K35" s="58">
        <v>50</v>
      </c>
      <c r="L35" s="68">
        <f t="shared" si="4"/>
        <v>30.326086956521738</v>
      </c>
      <c r="M35" s="54">
        <v>-141217</v>
      </c>
      <c r="N35" s="69">
        <f t="shared" si="5"/>
        <v>-4656.6179211469534</v>
      </c>
      <c r="P35" s="50">
        <v>34</v>
      </c>
      <c r="Q35" s="70">
        <f t="shared" si="6"/>
        <v>33.41317365269461</v>
      </c>
      <c r="R35" s="51">
        <v>-343537</v>
      </c>
      <c r="S35" s="71">
        <f t="shared" si="7"/>
        <v>-10281.483691756273</v>
      </c>
    </row>
    <row r="36" spans="1:20" x14ac:dyDescent="0.25">
      <c r="A36" s="58">
        <v>69</v>
      </c>
      <c r="B36" s="68">
        <f t="shared" si="0"/>
        <v>30.326086956521738</v>
      </c>
      <c r="C36" s="54">
        <v>-582190</v>
      </c>
      <c r="D36" s="69">
        <f t="shared" si="1"/>
        <v>-19197.663082437277</v>
      </c>
      <c r="F36" s="58">
        <v>67</v>
      </c>
      <c r="G36" s="68">
        <f t="shared" si="2"/>
        <v>33.41317365269461</v>
      </c>
      <c r="H36" s="54">
        <v>-479440</v>
      </c>
      <c r="I36" s="69">
        <f t="shared" si="3"/>
        <v>-14348.831541218638</v>
      </c>
      <c r="K36" s="58">
        <v>24</v>
      </c>
      <c r="L36" s="68">
        <f t="shared" si="4"/>
        <v>30.326086956521738</v>
      </c>
      <c r="M36" s="54">
        <v>-265494</v>
      </c>
      <c r="N36" s="69">
        <f t="shared" si="5"/>
        <v>-8754.6408602150532</v>
      </c>
      <c r="P36" s="58">
        <v>26</v>
      </c>
      <c r="Q36" s="68">
        <f t="shared" si="6"/>
        <v>33.41317365269461</v>
      </c>
      <c r="R36" s="54">
        <v>-410208</v>
      </c>
      <c r="S36" s="69">
        <f t="shared" si="7"/>
        <v>-12276.834408602152</v>
      </c>
    </row>
    <row r="37" spans="1:20" x14ac:dyDescent="0.25">
      <c r="A37" s="58">
        <v>17</v>
      </c>
      <c r="B37" s="68">
        <f t="shared" si="0"/>
        <v>30.326086956521738</v>
      </c>
      <c r="C37" s="54">
        <v>-710390</v>
      </c>
      <c r="D37" s="69">
        <f t="shared" si="1"/>
        <v>-23425.046594982079</v>
      </c>
      <c r="F37" s="58">
        <v>65</v>
      </c>
      <c r="G37" s="68">
        <f t="shared" si="2"/>
        <v>33.41317365269461</v>
      </c>
      <c r="H37" s="54">
        <v>-681880</v>
      </c>
      <c r="I37" s="69">
        <f t="shared" si="3"/>
        <v>-20407.519713261649</v>
      </c>
      <c r="K37" s="50">
        <v>44</v>
      </c>
      <c r="L37" s="70">
        <f t="shared" si="4"/>
        <v>30.326086956521738</v>
      </c>
      <c r="M37" s="51">
        <v>-279807</v>
      </c>
      <c r="N37" s="71">
        <f t="shared" si="5"/>
        <v>-9226.6107526881715</v>
      </c>
      <c r="O37">
        <v>0</v>
      </c>
      <c r="P37" s="58">
        <v>55</v>
      </c>
      <c r="Q37" s="68">
        <f t="shared" si="6"/>
        <v>33.41317365269461</v>
      </c>
      <c r="R37" s="54">
        <v>-412943</v>
      </c>
      <c r="S37" s="69">
        <f t="shared" si="7"/>
        <v>-12358.688351254481</v>
      </c>
    </row>
    <row r="38" spans="1:20" x14ac:dyDescent="0.25">
      <c r="A38" s="58">
        <v>12</v>
      </c>
      <c r="B38" s="68">
        <f t="shared" si="0"/>
        <v>30.326086956521738</v>
      </c>
      <c r="C38" s="54">
        <v>-753136</v>
      </c>
      <c r="D38" s="69">
        <f t="shared" si="1"/>
        <v>-24834.592114695341</v>
      </c>
      <c r="F38" s="50">
        <v>15</v>
      </c>
      <c r="G38" s="70">
        <f t="shared" si="2"/>
        <v>33.41317365269461</v>
      </c>
      <c r="H38" s="51">
        <v>-737370</v>
      </c>
      <c r="I38" s="71">
        <f t="shared" si="3"/>
        <v>-22068.241935483871</v>
      </c>
      <c r="J38">
        <v>0</v>
      </c>
      <c r="K38" s="58">
        <v>78</v>
      </c>
      <c r="L38" s="68">
        <f t="shared" si="4"/>
        <v>30.326086956521738</v>
      </c>
      <c r="M38" s="54">
        <v>-450754</v>
      </c>
      <c r="N38" s="69">
        <f t="shared" si="5"/>
        <v>-14863.572759856632</v>
      </c>
      <c r="P38" s="50">
        <v>22</v>
      </c>
      <c r="Q38" s="70">
        <f t="shared" si="6"/>
        <v>33.41317365269461</v>
      </c>
      <c r="R38" s="51">
        <v>-443480</v>
      </c>
      <c r="S38" s="71">
        <f t="shared" si="7"/>
        <v>-13272.609318996416</v>
      </c>
    </row>
    <row r="39" spans="1:20" x14ac:dyDescent="0.25">
      <c r="A39" s="58">
        <v>58</v>
      </c>
      <c r="B39" s="68">
        <f t="shared" si="0"/>
        <v>30.326086956521738</v>
      </c>
      <c r="C39" s="54">
        <v>-793953</v>
      </c>
      <c r="D39" s="69">
        <f t="shared" si="1"/>
        <v>-26180.529032258066</v>
      </c>
      <c r="F39" s="50">
        <v>6</v>
      </c>
      <c r="G39" s="70">
        <f t="shared" si="2"/>
        <v>33.41317365269461</v>
      </c>
      <c r="H39" s="51">
        <v>-760719</v>
      </c>
      <c r="I39" s="71">
        <f t="shared" si="3"/>
        <v>-22767.038172043012</v>
      </c>
      <c r="J39">
        <v>0</v>
      </c>
      <c r="K39" s="58">
        <v>81</v>
      </c>
      <c r="L39" s="68">
        <f t="shared" si="4"/>
        <v>30.326086956521738</v>
      </c>
      <c r="M39" s="54">
        <v>-460974</v>
      </c>
      <c r="N39" s="69">
        <f t="shared" si="5"/>
        <v>-15200.576344086023</v>
      </c>
      <c r="P39" s="58">
        <v>97</v>
      </c>
      <c r="Q39" s="68">
        <f t="shared" si="6"/>
        <v>33.41317365269461</v>
      </c>
      <c r="R39" s="54">
        <v>-474669</v>
      </c>
      <c r="S39" s="69">
        <f t="shared" si="7"/>
        <v>-14206.043548387097</v>
      </c>
    </row>
    <row r="40" spans="1:20" x14ac:dyDescent="0.25">
      <c r="A40" s="58">
        <v>68</v>
      </c>
      <c r="B40" s="68">
        <f t="shared" si="0"/>
        <v>30.326086956521738</v>
      </c>
      <c r="C40" s="54">
        <v>-803861</v>
      </c>
      <c r="D40" s="69">
        <f t="shared" si="1"/>
        <v>-26507.244444444445</v>
      </c>
      <c r="F40" s="58">
        <v>18</v>
      </c>
      <c r="G40" s="68">
        <f t="shared" si="2"/>
        <v>33.41317365269461</v>
      </c>
      <c r="H40" s="54">
        <v>-824942</v>
      </c>
      <c r="I40" s="69">
        <f t="shared" si="3"/>
        <v>-24689.124372759856</v>
      </c>
      <c r="K40" s="58">
        <v>48</v>
      </c>
      <c r="L40" s="68">
        <f t="shared" si="4"/>
        <v>30.326086956521738</v>
      </c>
      <c r="M40" s="54">
        <v>-522318</v>
      </c>
      <c r="N40" s="69">
        <f t="shared" si="5"/>
        <v>-17223.389247311829</v>
      </c>
      <c r="P40" s="50">
        <v>57</v>
      </c>
      <c r="Q40" s="70">
        <f t="shared" si="6"/>
        <v>33.41317365269461</v>
      </c>
      <c r="R40" s="51">
        <v>-519769</v>
      </c>
      <c r="S40" s="71">
        <f t="shared" si="7"/>
        <v>-15555.810573476703</v>
      </c>
    </row>
    <row r="41" spans="1:20" x14ac:dyDescent="0.25">
      <c r="A41" s="58">
        <v>60</v>
      </c>
      <c r="B41" s="68">
        <f t="shared" si="0"/>
        <v>30.326086956521738</v>
      </c>
      <c r="C41" s="54">
        <v>-850901</v>
      </c>
      <c r="D41" s="69">
        <f t="shared" si="1"/>
        <v>-28058.384229390682</v>
      </c>
      <c r="F41" s="58">
        <v>11</v>
      </c>
      <c r="G41" s="68">
        <f t="shared" si="2"/>
        <v>33.41317365269461</v>
      </c>
      <c r="H41" s="54">
        <v>-906527</v>
      </c>
      <c r="I41" s="69">
        <f t="shared" si="3"/>
        <v>-27130.825985663083</v>
      </c>
      <c r="K41" s="58">
        <v>87</v>
      </c>
      <c r="L41" s="68">
        <f t="shared" si="4"/>
        <v>30.326086956521738</v>
      </c>
      <c r="M41" s="54">
        <v>-542332</v>
      </c>
      <c r="N41" s="69">
        <f t="shared" si="5"/>
        <v>-17883.349103942652</v>
      </c>
      <c r="P41" s="50">
        <v>35</v>
      </c>
      <c r="Q41" s="70">
        <f t="shared" si="6"/>
        <v>33.41317365269461</v>
      </c>
      <c r="R41" s="51">
        <v>-552149</v>
      </c>
      <c r="S41" s="71">
        <f t="shared" si="7"/>
        <v>-16524.889426523299</v>
      </c>
      <c r="T41">
        <v>0</v>
      </c>
    </row>
    <row r="42" spans="1:20" x14ac:dyDescent="0.25">
      <c r="A42" s="50">
        <v>74</v>
      </c>
      <c r="B42" s="70">
        <f t="shared" si="0"/>
        <v>30.326086956521738</v>
      </c>
      <c r="C42" s="51">
        <v>-871942</v>
      </c>
      <c r="D42" s="71">
        <f t="shared" si="1"/>
        <v>-28752.209318996418</v>
      </c>
      <c r="E42">
        <v>0</v>
      </c>
      <c r="F42" s="58">
        <v>14</v>
      </c>
      <c r="G42" s="68">
        <f t="shared" si="2"/>
        <v>33.41317365269461</v>
      </c>
      <c r="H42" s="54">
        <v>-923878</v>
      </c>
      <c r="I42" s="69">
        <f t="shared" si="3"/>
        <v>-27650.112186379931</v>
      </c>
      <c r="K42" s="58">
        <v>41</v>
      </c>
      <c r="L42" s="68">
        <f t="shared" si="4"/>
        <v>30.326086956521738</v>
      </c>
      <c r="M42" s="54">
        <v>-545075</v>
      </c>
      <c r="N42" s="69">
        <f t="shared" si="5"/>
        <v>-17973.799283154123</v>
      </c>
      <c r="P42" s="58">
        <v>81</v>
      </c>
      <c r="Q42" s="68">
        <f t="shared" si="6"/>
        <v>33.41317365269461</v>
      </c>
      <c r="R42" s="54">
        <v>-553719</v>
      </c>
      <c r="S42" s="69">
        <f t="shared" si="7"/>
        <v>-16571.876881720429</v>
      </c>
    </row>
    <row r="43" spans="1:20" x14ac:dyDescent="0.25">
      <c r="A43" s="58">
        <v>71</v>
      </c>
      <c r="B43" s="68">
        <f t="shared" si="0"/>
        <v>30.326086956521738</v>
      </c>
      <c r="C43" s="54">
        <v>-879757</v>
      </c>
      <c r="D43" s="69">
        <f t="shared" si="1"/>
        <v>-29009.908243727601</v>
      </c>
      <c r="F43" s="50">
        <v>90</v>
      </c>
      <c r="G43" s="70">
        <f t="shared" si="2"/>
        <v>33.41317365269461</v>
      </c>
      <c r="H43" s="51">
        <v>-944796</v>
      </c>
      <c r="I43" s="71">
        <f t="shared" si="3"/>
        <v>-28276.152688172042</v>
      </c>
      <c r="J43">
        <v>0</v>
      </c>
      <c r="K43" s="58">
        <v>23</v>
      </c>
      <c r="L43" s="68">
        <f t="shared" si="4"/>
        <v>30.326086956521738</v>
      </c>
      <c r="M43" s="54">
        <v>-550483</v>
      </c>
      <c r="N43" s="69">
        <f t="shared" si="5"/>
        <v>-18152.127598566309</v>
      </c>
      <c r="P43" s="58">
        <v>25</v>
      </c>
      <c r="Q43" s="68">
        <f t="shared" si="6"/>
        <v>33.41317365269461</v>
      </c>
      <c r="R43" s="54">
        <v>-602771</v>
      </c>
      <c r="S43" s="69">
        <f t="shared" si="7"/>
        <v>-18039.920609318997</v>
      </c>
    </row>
    <row r="44" spans="1:20" x14ac:dyDescent="0.25">
      <c r="A44" s="58">
        <v>13</v>
      </c>
      <c r="B44" s="68">
        <f t="shared" si="0"/>
        <v>30.326086956521738</v>
      </c>
      <c r="C44" s="54">
        <v>-1072053</v>
      </c>
      <c r="D44" s="69">
        <f t="shared" si="1"/>
        <v>-35350.851612903229</v>
      </c>
      <c r="F44" s="58">
        <v>88</v>
      </c>
      <c r="G44" s="68">
        <f t="shared" si="2"/>
        <v>33.41317365269461</v>
      </c>
      <c r="H44" s="54">
        <v>-964689</v>
      </c>
      <c r="I44" s="69">
        <f t="shared" si="3"/>
        <v>-28871.516666666666</v>
      </c>
      <c r="K44" s="58">
        <v>55</v>
      </c>
      <c r="L44" s="68">
        <f t="shared" si="4"/>
        <v>30.326086956521738</v>
      </c>
      <c r="M44" s="54">
        <v>-592287</v>
      </c>
      <c r="N44" s="69">
        <f t="shared" si="5"/>
        <v>-19530.610752688171</v>
      </c>
      <c r="P44" s="58">
        <v>23</v>
      </c>
      <c r="Q44" s="68">
        <f t="shared" si="6"/>
        <v>33.41317365269461</v>
      </c>
      <c r="R44" s="54">
        <v>-625997</v>
      </c>
      <c r="S44" s="69">
        <f t="shared" si="7"/>
        <v>-18735.035663082439</v>
      </c>
    </row>
    <row r="45" spans="1:20" x14ac:dyDescent="0.25">
      <c r="A45" s="58">
        <v>92</v>
      </c>
      <c r="B45" s="68">
        <f t="shared" si="0"/>
        <v>30.326086956521738</v>
      </c>
      <c r="C45" s="54">
        <v>-1105120</v>
      </c>
      <c r="D45" s="69">
        <f t="shared" si="1"/>
        <v>-36441.232974910396</v>
      </c>
      <c r="F45" s="50">
        <v>10</v>
      </c>
      <c r="G45" s="70">
        <f t="shared" si="2"/>
        <v>33.41317365269461</v>
      </c>
      <c r="H45" s="51">
        <v>-1019506</v>
      </c>
      <c r="I45" s="71">
        <f t="shared" si="3"/>
        <v>-30512.097132616487</v>
      </c>
      <c r="J45">
        <v>0</v>
      </c>
      <c r="K45" s="50">
        <v>31</v>
      </c>
      <c r="L45" s="70">
        <f t="shared" si="4"/>
        <v>30.326086956521738</v>
      </c>
      <c r="M45" s="51">
        <v>-620072</v>
      </c>
      <c r="N45" s="71">
        <f t="shared" si="5"/>
        <v>-20446.818637992834</v>
      </c>
      <c r="O45">
        <v>0</v>
      </c>
      <c r="P45" s="58">
        <v>78</v>
      </c>
      <c r="Q45" s="68">
        <f t="shared" si="6"/>
        <v>33.41317365269461</v>
      </c>
      <c r="R45" s="54">
        <v>-732192</v>
      </c>
      <c r="S45" s="69">
        <f t="shared" si="7"/>
        <v>-21913.273118279569</v>
      </c>
    </row>
    <row r="46" spans="1:20" x14ac:dyDescent="0.25">
      <c r="A46" s="58">
        <v>21</v>
      </c>
      <c r="B46" s="68">
        <f t="shared" si="0"/>
        <v>30.326086956521738</v>
      </c>
      <c r="C46" s="54">
        <v>-1124143</v>
      </c>
      <c r="D46" s="69">
        <f t="shared" si="1"/>
        <v>-37068.514695340506</v>
      </c>
      <c r="F46" s="50">
        <v>2</v>
      </c>
      <c r="G46" s="70">
        <f t="shared" si="2"/>
        <v>33.41317365269461</v>
      </c>
      <c r="H46" s="51">
        <v>-1048073</v>
      </c>
      <c r="I46" s="71">
        <f t="shared" si="3"/>
        <v>-31367.059318996417</v>
      </c>
      <c r="J46">
        <v>0</v>
      </c>
      <c r="K46" s="58">
        <v>40</v>
      </c>
      <c r="L46" s="68">
        <f t="shared" si="4"/>
        <v>30.326086956521738</v>
      </c>
      <c r="M46" s="54">
        <v>-658386</v>
      </c>
      <c r="N46" s="69">
        <f t="shared" si="5"/>
        <v>-21710.219354838711</v>
      </c>
      <c r="P46" s="58">
        <v>41</v>
      </c>
      <c r="Q46" s="68">
        <f t="shared" si="6"/>
        <v>33.41317365269461</v>
      </c>
      <c r="R46" s="54">
        <v>-890843</v>
      </c>
      <c r="S46" s="69">
        <f t="shared" si="7"/>
        <v>-26661.430286738352</v>
      </c>
    </row>
    <row r="47" spans="1:20" x14ac:dyDescent="0.25">
      <c r="A47" s="58">
        <v>64</v>
      </c>
      <c r="B47" s="68">
        <f t="shared" si="0"/>
        <v>30.326086956521738</v>
      </c>
      <c r="C47" s="54">
        <v>-1198677</v>
      </c>
      <c r="D47" s="69">
        <f t="shared" si="1"/>
        <v>-39526.26666666667</v>
      </c>
      <c r="F47" s="58">
        <v>12</v>
      </c>
      <c r="G47" s="68">
        <f t="shared" si="2"/>
        <v>33.41317365269461</v>
      </c>
      <c r="H47" s="54">
        <v>-1098022</v>
      </c>
      <c r="I47" s="69">
        <f t="shared" si="3"/>
        <v>-32861.948745519716</v>
      </c>
      <c r="K47" s="58">
        <v>97</v>
      </c>
      <c r="L47" s="68">
        <f t="shared" si="4"/>
        <v>30.326086956521738</v>
      </c>
      <c r="M47" s="54">
        <v>-661431</v>
      </c>
      <c r="N47" s="69">
        <f t="shared" si="5"/>
        <v>-21810.627956989247</v>
      </c>
      <c r="P47" s="58">
        <v>48</v>
      </c>
      <c r="Q47" s="68">
        <f t="shared" si="6"/>
        <v>33.41317365269461</v>
      </c>
      <c r="R47" s="54">
        <v>-914243</v>
      </c>
      <c r="S47" s="69">
        <f t="shared" si="7"/>
        <v>-27361.752867383515</v>
      </c>
    </row>
    <row r="48" spans="1:20" x14ac:dyDescent="0.25">
      <c r="A48" s="50">
        <v>3</v>
      </c>
      <c r="B48" s="70">
        <f t="shared" si="0"/>
        <v>30.326086956521738</v>
      </c>
      <c r="C48" s="51">
        <v>-1231829</v>
      </c>
      <c r="D48" s="71">
        <f t="shared" si="1"/>
        <v>-40619.450896057351</v>
      </c>
      <c r="E48">
        <v>0</v>
      </c>
      <c r="F48" s="50">
        <v>72</v>
      </c>
      <c r="G48" s="70">
        <f t="shared" si="2"/>
        <v>33.41317365269461</v>
      </c>
      <c r="H48" s="51">
        <v>-1168137</v>
      </c>
      <c r="I48" s="71">
        <f t="shared" si="3"/>
        <v>-34960.372580645162</v>
      </c>
      <c r="J48">
        <v>0</v>
      </c>
      <c r="K48" s="58">
        <v>56</v>
      </c>
      <c r="L48" s="68">
        <f t="shared" si="4"/>
        <v>30.326086956521738</v>
      </c>
      <c r="M48" s="54">
        <v>-736742</v>
      </c>
      <c r="N48" s="69">
        <f t="shared" si="5"/>
        <v>-24294.001433691756</v>
      </c>
      <c r="P48" s="58">
        <v>96</v>
      </c>
      <c r="Q48" s="68">
        <f t="shared" si="6"/>
        <v>33.41317365269461</v>
      </c>
      <c r="R48" s="54">
        <v>-944950</v>
      </c>
      <c r="S48" s="69">
        <f t="shared" si="7"/>
        <v>-28280.76164874552</v>
      </c>
    </row>
    <row r="49" spans="1:20" x14ac:dyDescent="0.25">
      <c r="A49" s="58">
        <v>70</v>
      </c>
      <c r="B49" s="68">
        <f t="shared" si="0"/>
        <v>30.326086956521738</v>
      </c>
      <c r="C49" s="54">
        <v>-1290356</v>
      </c>
      <c r="D49" s="69">
        <f t="shared" si="1"/>
        <v>-42549.373476702509</v>
      </c>
      <c r="F49" s="58">
        <v>62</v>
      </c>
      <c r="G49" s="68">
        <f t="shared" si="2"/>
        <v>33.41317365269461</v>
      </c>
      <c r="H49" s="54">
        <v>-1177761</v>
      </c>
      <c r="I49" s="69">
        <f t="shared" si="3"/>
        <v>-35248.402688172042</v>
      </c>
      <c r="K49" s="50">
        <v>85</v>
      </c>
      <c r="L49" s="70">
        <f t="shared" si="4"/>
        <v>30.326086956521738</v>
      </c>
      <c r="M49" s="51">
        <v>-789944</v>
      </c>
      <c r="N49" s="71">
        <f t="shared" si="5"/>
        <v>-26048.332616487456</v>
      </c>
      <c r="O49">
        <v>0</v>
      </c>
      <c r="P49" s="58">
        <v>82</v>
      </c>
      <c r="Q49" s="68">
        <f t="shared" si="6"/>
        <v>33.41317365269461</v>
      </c>
      <c r="R49" s="54">
        <v>-954865</v>
      </c>
      <c r="S49" s="69">
        <f t="shared" si="7"/>
        <v>-28577.500896057347</v>
      </c>
    </row>
    <row r="50" spans="1:20" x14ac:dyDescent="0.25">
      <c r="A50" s="58">
        <v>65</v>
      </c>
      <c r="B50" s="68">
        <f t="shared" si="0"/>
        <v>30.326086956521738</v>
      </c>
      <c r="C50" s="54">
        <v>-1335361</v>
      </c>
      <c r="D50" s="69">
        <f t="shared" si="1"/>
        <v>-44033.409318996419</v>
      </c>
      <c r="F50" s="58">
        <v>19</v>
      </c>
      <c r="G50" s="68">
        <f t="shared" si="2"/>
        <v>33.41317365269461</v>
      </c>
      <c r="H50" s="54">
        <v>-1251057</v>
      </c>
      <c r="I50" s="69">
        <f t="shared" si="3"/>
        <v>-37442.028494623657</v>
      </c>
      <c r="K50" s="58">
        <v>26</v>
      </c>
      <c r="L50" s="68">
        <f t="shared" si="4"/>
        <v>30.326086956521738</v>
      </c>
      <c r="M50" s="54">
        <v>-946136</v>
      </c>
      <c r="N50" s="69">
        <f t="shared" si="5"/>
        <v>-31198.749820788533</v>
      </c>
      <c r="P50" s="58">
        <v>50</v>
      </c>
      <c r="Q50" s="68">
        <f t="shared" si="6"/>
        <v>33.41317365269461</v>
      </c>
      <c r="R50" s="54">
        <v>-1011749</v>
      </c>
      <c r="S50" s="69">
        <f t="shared" si="7"/>
        <v>-30279.943189964157</v>
      </c>
    </row>
    <row r="51" spans="1:20" x14ac:dyDescent="0.25">
      <c r="A51" s="58">
        <v>18</v>
      </c>
      <c r="B51" s="68">
        <f t="shared" si="0"/>
        <v>30.326086956521738</v>
      </c>
      <c r="C51" s="54">
        <v>-1388548</v>
      </c>
      <c r="D51" s="69">
        <f t="shared" si="1"/>
        <v>-45787.2458781362</v>
      </c>
      <c r="F51" s="58">
        <v>68</v>
      </c>
      <c r="G51" s="68">
        <f t="shared" si="2"/>
        <v>33.41317365269461</v>
      </c>
      <c r="H51" s="54">
        <v>-1292553</v>
      </c>
      <c r="I51" s="69">
        <f t="shared" si="3"/>
        <v>-38683.933870967739</v>
      </c>
      <c r="K51" s="50">
        <v>84</v>
      </c>
      <c r="L51" s="70">
        <f t="shared" si="4"/>
        <v>30.326086956521738</v>
      </c>
      <c r="M51" s="51">
        <v>-948146</v>
      </c>
      <c r="N51" s="71">
        <f t="shared" si="5"/>
        <v>-31265.029390681004</v>
      </c>
      <c r="O51">
        <v>0</v>
      </c>
      <c r="P51" s="58">
        <v>40</v>
      </c>
      <c r="Q51" s="68">
        <f t="shared" si="6"/>
        <v>33.41317365269461</v>
      </c>
      <c r="R51" s="54">
        <v>-1028317</v>
      </c>
      <c r="S51" s="69">
        <f t="shared" si="7"/>
        <v>-30775.795519713261</v>
      </c>
    </row>
    <row r="52" spans="1:20" x14ac:dyDescent="0.25">
      <c r="A52" s="58">
        <v>91</v>
      </c>
      <c r="B52" s="68">
        <f t="shared" si="0"/>
        <v>30.326086956521738</v>
      </c>
      <c r="C52" s="54">
        <v>-1477388</v>
      </c>
      <c r="D52" s="69">
        <f t="shared" si="1"/>
        <v>-48716.736917562725</v>
      </c>
      <c r="F52" s="58">
        <v>60</v>
      </c>
      <c r="G52" s="68">
        <f t="shared" si="2"/>
        <v>33.41317365269461</v>
      </c>
      <c r="H52" s="54">
        <v>-1363928</v>
      </c>
      <c r="I52" s="69">
        <f t="shared" si="3"/>
        <v>-40820.067383512549</v>
      </c>
      <c r="K52" s="58">
        <v>37</v>
      </c>
      <c r="L52" s="68">
        <f t="shared" si="4"/>
        <v>30.326086956521738</v>
      </c>
      <c r="M52" s="54">
        <v>-1123636</v>
      </c>
      <c r="N52" s="69">
        <f t="shared" si="5"/>
        <v>-37051.796415770608</v>
      </c>
      <c r="P52" s="58">
        <v>45</v>
      </c>
      <c r="Q52" s="68">
        <f t="shared" si="6"/>
        <v>33.41317365269461</v>
      </c>
      <c r="R52" s="54">
        <v>-1108132</v>
      </c>
      <c r="S52" s="69">
        <f t="shared" si="7"/>
        <v>-33164.524014336916</v>
      </c>
    </row>
    <row r="53" spans="1:20" x14ac:dyDescent="0.25">
      <c r="A53" s="58">
        <v>67</v>
      </c>
      <c r="B53" s="68">
        <f t="shared" si="0"/>
        <v>30.326086956521738</v>
      </c>
      <c r="C53" s="54">
        <v>-1558535</v>
      </c>
      <c r="D53" s="69">
        <f t="shared" si="1"/>
        <v>-51392.551971326167</v>
      </c>
      <c r="F53" s="50">
        <v>66</v>
      </c>
      <c r="G53" s="70">
        <f t="shared" si="2"/>
        <v>33.41317365269461</v>
      </c>
      <c r="H53" s="51">
        <v>-1541082</v>
      </c>
      <c r="I53" s="71">
        <f t="shared" si="3"/>
        <v>-46121.988172043013</v>
      </c>
      <c r="J53">
        <v>0</v>
      </c>
      <c r="K53" s="58">
        <v>77</v>
      </c>
      <c r="L53" s="68">
        <f t="shared" si="4"/>
        <v>30.326086956521738</v>
      </c>
      <c r="M53" s="54">
        <v>-1136517</v>
      </c>
      <c r="N53" s="69">
        <f t="shared" si="5"/>
        <v>-37476.546236559137</v>
      </c>
      <c r="P53" s="58">
        <v>37</v>
      </c>
      <c r="Q53" s="68">
        <f t="shared" si="6"/>
        <v>33.41317365269461</v>
      </c>
      <c r="R53" s="54">
        <v>-1231599</v>
      </c>
      <c r="S53" s="69">
        <f t="shared" si="7"/>
        <v>-36859.683333333334</v>
      </c>
    </row>
    <row r="54" spans="1:20" x14ac:dyDescent="0.25">
      <c r="A54" s="58">
        <v>93</v>
      </c>
      <c r="B54" s="68">
        <f t="shared" si="0"/>
        <v>30.326086956521738</v>
      </c>
      <c r="C54" s="54">
        <v>-1560391</v>
      </c>
      <c r="D54" s="69">
        <f t="shared" si="1"/>
        <v>-51453.753405017924</v>
      </c>
      <c r="F54" s="58">
        <v>13</v>
      </c>
      <c r="G54" s="68">
        <f t="shared" si="2"/>
        <v>33.41317365269461</v>
      </c>
      <c r="H54" s="54">
        <v>-1570807</v>
      </c>
      <c r="I54" s="69">
        <f t="shared" si="3"/>
        <v>-47011.607347670251</v>
      </c>
      <c r="K54" s="58">
        <v>94</v>
      </c>
      <c r="L54" s="68">
        <f t="shared" si="4"/>
        <v>30.326086956521738</v>
      </c>
      <c r="M54" s="54">
        <v>-1189690</v>
      </c>
      <c r="N54" s="69">
        <f t="shared" si="5"/>
        <v>-39229.921146953406</v>
      </c>
      <c r="P54" s="58">
        <v>80</v>
      </c>
      <c r="Q54" s="68">
        <f t="shared" si="6"/>
        <v>33.41317365269461</v>
      </c>
      <c r="R54" s="54">
        <v>-1261366</v>
      </c>
      <c r="S54" s="69">
        <f t="shared" si="7"/>
        <v>-37750.559498207884</v>
      </c>
    </row>
    <row r="55" spans="1:20" x14ac:dyDescent="0.25">
      <c r="A55" s="58"/>
      <c r="B55" s="59"/>
      <c r="C55" s="54"/>
      <c r="D55" s="55"/>
      <c r="F55" s="58"/>
      <c r="G55" s="59"/>
      <c r="H55" s="54"/>
      <c r="I55" s="55"/>
      <c r="K55" s="50">
        <v>32</v>
      </c>
      <c r="L55" s="70">
        <f t="shared" si="4"/>
        <v>30.326086956521738</v>
      </c>
      <c r="M55" s="51">
        <v>-1238968</v>
      </c>
      <c r="N55" s="71">
        <f t="shared" si="5"/>
        <v>-40854.858781362011</v>
      </c>
      <c r="O55">
        <v>0</v>
      </c>
      <c r="P55" s="58">
        <v>52</v>
      </c>
      <c r="Q55" s="68">
        <f t="shared" si="6"/>
        <v>33.41317365269461</v>
      </c>
      <c r="R55" s="54">
        <v>-1306284</v>
      </c>
      <c r="S55" s="69">
        <f t="shared" si="7"/>
        <v>-39094.879569892473</v>
      </c>
    </row>
    <row r="56" spans="1:20" x14ac:dyDescent="0.25">
      <c r="A56" s="58"/>
      <c r="B56" s="59"/>
      <c r="C56" s="54"/>
      <c r="D56" s="55"/>
      <c r="F56" s="58"/>
      <c r="G56" s="59"/>
      <c r="H56" s="54"/>
      <c r="I56" s="55"/>
      <c r="K56" s="58">
        <v>36</v>
      </c>
      <c r="L56" s="68">
        <f t="shared" si="4"/>
        <v>30.326086956521738</v>
      </c>
      <c r="M56" s="54">
        <v>-1281241</v>
      </c>
      <c r="N56" s="69">
        <f t="shared" si="5"/>
        <v>-42248.807168458785</v>
      </c>
      <c r="P56" s="58">
        <v>38</v>
      </c>
      <c r="Q56" s="68">
        <f t="shared" si="6"/>
        <v>33.41317365269461</v>
      </c>
      <c r="R56" s="54">
        <v>-1308829</v>
      </c>
      <c r="S56" s="69">
        <f t="shared" si="7"/>
        <v>-39171.047132616492</v>
      </c>
    </row>
    <row r="57" spans="1:20" x14ac:dyDescent="0.25">
      <c r="A57" s="58"/>
      <c r="B57" s="59"/>
      <c r="C57" s="54"/>
      <c r="D57" s="55"/>
      <c r="F57" s="58"/>
      <c r="G57" s="59"/>
      <c r="H57" s="54"/>
      <c r="I57" s="55"/>
      <c r="K57" s="50">
        <v>29</v>
      </c>
      <c r="L57" s="70">
        <f t="shared" si="4"/>
        <v>30.326086956521738</v>
      </c>
      <c r="M57" s="51">
        <v>-1329121</v>
      </c>
      <c r="N57" s="71">
        <f t="shared" si="5"/>
        <v>-43827.645878136202</v>
      </c>
      <c r="O57">
        <v>0</v>
      </c>
      <c r="P57" s="50">
        <v>46</v>
      </c>
      <c r="Q57" s="70">
        <f t="shared" si="6"/>
        <v>33.41317365269461</v>
      </c>
      <c r="R57" s="51">
        <v>-1311822</v>
      </c>
      <c r="S57" s="71">
        <f t="shared" si="7"/>
        <v>-39260.622580645162</v>
      </c>
      <c r="T57">
        <v>0</v>
      </c>
    </row>
    <row r="58" spans="1:20" x14ac:dyDescent="0.25">
      <c r="A58" s="58"/>
      <c r="B58" s="59"/>
      <c r="C58" s="54"/>
      <c r="D58" s="55"/>
      <c r="F58" s="58"/>
      <c r="G58" s="59"/>
      <c r="H58" s="54"/>
      <c r="I58" s="55"/>
      <c r="K58" s="58">
        <v>80</v>
      </c>
      <c r="L58" s="68">
        <f t="shared" si="4"/>
        <v>30.326086956521738</v>
      </c>
      <c r="M58" s="54">
        <v>-1382584</v>
      </c>
      <c r="N58" s="69">
        <f t="shared" si="5"/>
        <v>-45590.583512544807</v>
      </c>
      <c r="P58" s="58">
        <v>53</v>
      </c>
      <c r="Q58" s="68">
        <f t="shared" si="6"/>
        <v>33.41317365269461</v>
      </c>
      <c r="R58" s="54">
        <v>-1316172</v>
      </c>
      <c r="S58" s="69">
        <f t="shared" si="7"/>
        <v>-39390.810752688172</v>
      </c>
    </row>
    <row r="59" spans="1:20" x14ac:dyDescent="0.25">
      <c r="A59" s="58"/>
      <c r="B59" s="59"/>
      <c r="C59" s="54"/>
      <c r="D59" s="55"/>
      <c r="F59" s="58"/>
      <c r="G59" s="59"/>
      <c r="H59" s="54"/>
      <c r="I59" s="55"/>
      <c r="K59" s="58">
        <v>38</v>
      </c>
      <c r="L59" s="68">
        <f t="shared" si="4"/>
        <v>30.326086956521738</v>
      </c>
      <c r="M59" s="54">
        <v>-1454904</v>
      </c>
      <c r="N59" s="69">
        <f t="shared" si="5"/>
        <v>-47975.329032258065</v>
      </c>
      <c r="P59" s="58">
        <v>87</v>
      </c>
      <c r="Q59" s="68">
        <f t="shared" si="6"/>
        <v>33.41317365269461</v>
      </c>
      <c r="R59" s="54">
        <v>-1394051</v>
      </c>
      <c r="S59" s="69">
        <f t="shared" si="7"/>
        <v>-41721.598028673834</v>
      </c>
    </row>
    <row r="60" spans="1:20" x14ac:dyDescent="0.25">
      <c r="A60" s="58"/>
      <c r="B60" s="59"/>
      <c r="C60" s="54"/>
      <c r="D60" s="55"/>
      <c r="F60" s="58"/>
      <c r="G60" s="59"/>
      <c r="H60" s="54"/>
      <c r="I60" s="55"/>
      <c r="K60" s="58">
        <v>96</v>
      </c>
      <c r="L60" s="68">
        <f t="shared" si="4"/>
        <v>30.326086956521738</v>
      </c>
      <c r="M60" s="54">
        <v>-1495940</v>
      </c>
      <c r="N60" s="69">
        <f t="shared" si="5"/>
        <v>-49328.487455197137</v>
      </c>
      <c r="P60" s="58">
        <v>36</v>
      </c>
      <c r="Q60" s="68">
        <f t="shared" si="6"/>
        <v>33.41317365269461</v>
      </c>
      <c r="R60" s="54">
        <v>-1395762</v>
      </c>
      <c r="S60" s="69">
        <f t="shared" si="7"/>
        <v>-41772.805376344084</v>
      </c>
    </row>
    <row r="61" spans="1:20" x14ac:dyDescent="0.25">
      <c r="A61" s="58"/>
      <c r="B61" s="59"/>
      <c r="C61" s="54"/>
      <c r="D61" s="55"/>
      <c r="F61" s="58"/>
      <c r="G61" s="59"/>
      <c r="H61" s="54"/>
      <c r="I61" s="55"/>
      <c r="K61" s="58">
        <v>76</v>
      </c>
      <c r="L61" s="68">
        <f t="shared" si="4"/>
        <v>30.326086956521738</v>
      </c>
      <c r="M61" s="54">
        <v>-1505954</v>
      </c>
      <c r="N61" s="69">
        <f t="shared" si="5"/>
        <v>-49658.698207885303</v>
      </c>
      <c r="P61" s="58">
        <v>42</v>
      </c>
      <c r="Q61" s="68">
        <f t="shared" si="6"/>
        <v>33.41317365269461</v>
      </c>
      <c r="R61" s="54">
        <v>-1449513</v>
      </c>
      <c r="S61" s="69">
        <f t="shared" si="7"/>
        <v>-43381.48225806452</v>
      </c>
    </row>
    <row r="62" spans="1:20" x14ac:dyDescent="0.25">
      <c r="A62" s="58"/>
      <c r="B62" s="59"/>
      <c r="C62" s="54"/>
      <c r="D62" s="55"/>
      <c r="F62" s="58"/>
      <c r="G62" s="59"/>
      <c r="H62" s="54"/>
      <c r="I62" s="55"/>
      <c r="K62" s="58">
        <v>52</v>
      </c>
      <c r="L62" s="68">
        <f t="shared" si="4"/>
        <v>30.326086956521738</v>
      </c>
      <c r="M62" s="54">
        <v>-1572435</v>
      </c>
      <c r="N62" s="69">
        <f t="shared" si="5"/>
        <v>-51850.903225806454</v>
      </c>
      <c r="P62" s="52">
        <v>28</v>
      </c>
      <c r="Q62" s="72">
        <f t="shared" si="6"/>
        <v>33.41317365269461</v>
      </c>
      <c r="R62" s="53">
        <v>-1475625</v>
      </c>
      <c r="S62" s="73">
        <f t="shared" si="7"/>
        <v>-44162.970430107525</v>
      </c>
      <c r="T62">
        <v>0</v>
      </c>
    </row>
    <row r="63" spans="1:20" x14ac:dyDescent="0.25">
      <c r="A63" s="58"/>
      <c r="B63" s="59"/>
      <c r="C63" s="54"/>
      <c r="D63" s="55"/>
      <c r="F63" s="58"/>
      <c r="G63" s="59"/>
      <c r="H63" s="54"/>
      <c r="I63" s="55"/>
      <c r="K63" s="50">
        <v>100</v>
      </c>
      <c r="L63" s="70">
        <f t="shared" si="4"/>
        <v>30.326086956521738</v>
      </c>
      <c r="M63" s="51">
        <v>-1597710</v>
      </c>
      <c r="N63" s="71">
        <f t="shared" si="5"/>
        <v>-52684.344086021505</v>
      </c>
      <c r="O63">
        <v>0</v>
      </c>
      <c r="P63" s="50">
        <v>83</v>
      </c>
      <c r="Q63" s="70">
        <f t="shared" si="6"/>
        <v>33.41317365269461</v>
      </c>
      <c r="R63" s="51">
        <v>-1533913</v>
      </c>
      <c r="S63" s="71">
        <f t="shared" si="7"/>
        <v>-45907.432078853046</v>
      </c>
    </row>
    <row r="64" spans="1:20" x14ac:dyDescent="0.25">
      <c r="A64" s="58"/>
      <c r="B64" s="59"/>
      <c r="C64" s="54"/>
      <c r="D64" s="55"/>
      <c r="F64" s="58"/>
      <c r="G64" s="59"/>
      <c r="H64" s="54"/>
      <c r="I64" s="55"/>
      <c r="K64" s="50">
        <v>51</v>
      </c>
      <c r="L64" s="70">
        <f t="shared" si="4"/>
        <v>30.326086956521738</v>
      </c>
      <c r="M64" s="51">
        <v>-1602000</v>
      </c>
      <c r="N64" s="71">
        <f t="shared" si="5"/>
        <v>-52825.806451612902</v>
      </c>
      <c r="O64">
        <v>0</v>
      </c>
      <c r="P64" s="58">
        <v>77</v>
      </c>
      <c r="Q64" s="68">
        <f t="shared" si="6"/>
        <v>33.41317365269461</v>
      </c>
      <c r="R64" s="54">
        <v>-1545855</v>
      </c>
      <c r="S64" s="69">
        <f t="shared" si="7"/>
        <v>-46264.836021505376</v>
      </c>
    </row>
    <row r="65" spans="1:19" x14ac:dyDescent="0.25">
      <c r="A65" s="58"/>
      <c r="B65" s="59"/>
      <c r="C65" s="54"/>
      <c r="D65" s="55"/>
      <c r="F65" s="58"/>
      <c r="G65" s="59"/>
      <c r="H65" s="54"/>
      <c r="I65" s="55"/>
      <c r="K65" s="58"/>
      <c r="L65" s="59"/>
      <c r="M65" s="54"/>
      <c r="N65" s="55"/>
      <c r="P65" s="58"/>
      <c r="Q65" s="59"/>
      <c r="R65" s="54"/>
      <c r="S65" s="55"/>
    </row>
    <row r="66" spans="1:19" x14ac:dyDescent="0.25">
      <c r="A66" s="58"/>
      <c r="B66" s="59"/>
      <c r="C66" s="54"/>
      <c r="D66" s="55"/>
      <c r="F66" s="58"/>
      <c r="G66" s="59"/>
      <c r="H66" s="54"/>
      <c r="I66" s="55"/>
      <c r="K66" s="58"/>
      <c r="L66" s="59"/>
      <c r="M66" s="54"/>
      <c r="N66" s="55"/>
      <c r="P66" s="58"/>
      <c r="Q66" s="59"/>
      <c r="R66" s="54"/>
      <c r="S66" s="55"/>
    </row>
    <row r="67" spans="1:19" x14ac:dyDescent="0.25">
      <c r="A67" s="58"/>
      <c r="B67" s="59"/>
      <c r="C67" s="54"/>
      <c r="D67" s="55"/>
      <c r="F67" s="58"/>
      <c r="G67" s="59"/>
      <c r="H67" s="54"/>
      <c r="I67" s="55"/>
      <c r="K67" s="58"/>
      <c r="L67" s="59"/>
      <c r="M67" s="54"/>
      <c r="N67" s="55"/>
      <c r="P67" s="58"/>
      <c r="Q67" s="59"/>
      <c r="R67" s="54"/>
      <c r="S67" s="55"/>
    </row>
    <row r="68" spans="1:19" x14ac:dyDescent="0.25">
      <c r="A68" s="58"/>
      <c r="B68" s="59"/>
      <c r="C68" s="54"/>
      <c r="D68" s="55"/>
      <c r="F68" s="58"/>
      <c r="G68" s="59"/>
      <c r="H68" s="54"/>
      <c r="I68" s="55"/>
      <c r="K68" s="58"/>
      <c r="L68" s="59"/>
      <c r="M68" s="54"/>
      <c r="N68" s="55"/>
      <c r="P68" s="58"/>
      <c r="Q68" s="59"/>
      <c r="R68" s="54"/>
      <c r="S68" s="55"/>
    </row>
    <row r="69" spans="1:19" x14ac:dyDescent="0.25">
      <c r="A69" s="58"/>
      <c r="B69" s="59"/>
      <c r="C69" s="54"/>
      <c r="D69" s="55"/>
      <c r="F69" s="58"/>
      <c r="G69" s="59"/>
      <c r="H69" s="54"/>
      <c r="I69" s="55"/>
      <c r="K69" s="58"/>
      <c r="L69" s="59"/>
      <c r="M69" s="54"/>
      <c r="N69" s="55"/>
      <c r="P69" s="58"/>
      <c r="Q69" s="59"/>
      <c r="R69" s="54"/>
      <c r="S69" s="55"/>
    </row>
    <row r="70" spans="1:19" x14ac:dyDescent="0.25">
      <c r="A70" s="58"/>
      <c r="B70" s="59"/>
      <c r="C70" s="54"/>
      <c r="D70" s="55"/>
      <c r="F70" s="58"/>
      <c r="G70" s="59"/>
      <c r="H70" s="54"/>
      <c r="I70" s="55"/>
      <c r="K70" s="58"/>
      <c r="L70" s="59"/>
      <c r="M70" s="54"/>
      <c r="N70" s="55"/>
      <c r="P70" s="58"/>
      <c r="Q70" s="59"/>
      <c r="R70" s="54"/>
      <c r="S70" s="55"/>
    </row>
    <row r="71" spans="1:19" x14ac:dyDescent="0.25">
      <c r="A71" s="58"/>
      <c r="B71" s="59"/>
      <c r="C71" s="54"/>
      <c r="D71" s="55"/>
      <c r="F71" s="58"/>
      <c r="G71" s="59"/>
      <c r="H71" s="54"/>
      <c r="I71" s="55"/>
      <c r="K71" s="58"/>
      <c r="L71" s="59"/>
      <c r="M71" s="54"/>
      <c r="N71" s="55"/>
      <c r="P71" s="58"/>
      <c r="Q71" s="59"/>
      <c r="R71" s="54"/>
      <c r="S71" s="55"/>
    </row>
    <row r="72" spans="1:19" x14ac:dyDescent="0.25">
      <c r="A72" s="58"/>
      <c r="B72" s="59"/>
      <c r="C72" s="54"/>
      <c r="D72" s="55"/>
      <c r="F72" s="58"/>
      <c r="G72" s="59"/>
      <c r="H72" s="54"/>
      <c r="I72" s="55"/>
      <c r="K72" s="58"/>
      <c r="L72" s="59"/>
      <c r="M72" s="54"/>
      <c r="N72" s="55"/>
      <c r="P72" s="58"/>
      <c r="Q72" s="59"/>
      <c r="R72" s="54"/>
      <c r="S72" s="55"/>
    </row>
    <row r="73" spans="1:19" x14ac:dyDescent="0.25">
      <c r="A73" s="58"/>
      <c r="B73" s="59"/>
      <c r="C73" s="54"/>
      <c r="D73" s="55"/>
      <c r="F73" s="58"/>
      <c r="G73" s="59"/>
      <c r="H73" s="54"/>
      <c r="I73" s="55"/>
      <c r="K73" s="58"/>
      <c r="L73" s="59"/>
      <c r="M73" s="54"/>
      <c r="N73" s="55"/>
      <c r="P73" s="58"/>
      <c r="Q73" s="59"/>
      <c r="R73" s="54"/>
      <c r="S73" s="55"/>
    </row>
    <row r="74" spans="1:19" x14ac:dyDescent="0.25">
      <c r="A74" s="58"/>
      <c r="B74" s="59"/>
      <c r="C74" s="54"/>
      <c r="D74" s="55"/>
      <c r="F74" s="58"/>
      <c r="G74" s="59"/>
      <c r="H74" s="54"/>
      <c r="I74" s="55"/>
      <c r="K74" s="58"/>
      <c r="L74" s="59"/>
      <c r="M74" s="54"/>
      <c r="N74" s="55"/>
      <c r="P74" s="58"/>
      <c r="Q74" s="59"/>
      <c r="R74" s="54"/>
      <c r="S74" s="55"/>
    </row>
    <row r="75" spans="1:19" x14ac:dyDescent="0.25">
      <c r="A75" s="58"/>
      <c r="B75" s="59"/>
      <c r="C75" s="54"/>
      <c r="D75" s="55"/>
      <c r="F75" s="58"/>
      <c r="G75" s="59"/>
      <c r="H75" s="54"/>
      <c r="I75" s="55"/>
      <c r="K75" s="58"/>
      <c r="L75" s="59"/>
      <c r="M75" s="54"/>
      <c r="N75" s="55"/>
      <c r="P75" s="58"/>
      <c r="Q75" s="59"/>
      <c r="R75" s="54"/>
      <c r="S75" s="55"/>
    </row>
    <row r="76" spans="1:19" x14ac:dyDescent="0.25">
      <c r="A76" s="58"/>
      <c r="B76" s="59"/>
      <c r="C76" s="54"/>
      <c r="D76" s="55"/>
      <c r="F76" s="58"/>
      <c r="G76" s="59"/>
      <c r="H76" s="54"/>
      <c r="I76" s="55"/>
      <c r="K76" s="58"/>
      <c r="L76" s="59"/>
      <c r="M76" s="54"/>
      <c r="N76" s="55"/>
      <c r="P76" s="58"/>
      <c r="Q76" s="59"/>
      <c r="R76" s="54"/>
      <c r="S76" s="55"/>
    </row>
    <row r="77" spans="1:19" x14ac:dyDescent="0.25">
      <c r="A77" s="58"/>
      <c r="B77" s="59"/>
      <c r="C77" s="54"/>
      <c r="D77" s="55"/>
      <c r="F77" s="58"/>
      <c r="G77" s="59"/>
      <c r="H77" s="54"/>
      <c r="I77" s="55"/>
      <c r="K77" s="58"/>
      <c r="L77" s="59"/>
      <c r="M77" s="54"/>
      <c r="N77" s="55"/>
      <c r="P77" s="58"/>
      <c r="Q77" s="59"/>
      <c r="R77" s="54"/>
      <c r="S77" s="55"/>
    </row>
    <row r="78" spans="1:19" x14ac:dyDescent="0.25">
      <c r="A78" s="58"/>
      <c r="B78" s="59"/>
      <c r="C78" s="54"/>
      <c r="D78" s="55"/>
      <c r="F78" s="58"/>
      <c r="G78" s="59"/>
      <c r="H78" s="54"/>
      <c r="I78" s="55"/>
      <c r="K78" s="58"/>
      <c r="L78" s="59"/>
      <c r="M78" s="54"/>
      <c r="N78" s="55"/>
      <c r="P78" s="58"/>
      <c r="Q78" s="59"/>
      <c r="R78" s="54"/>
      <c r="S78" s="55"/>
    </row>
    <row r="79" spans="1:19" x14ac:dyDescent="0.25">
      <c r="A79" s="58"/>
      <c r="B79" s="59"/>
      <c r="C79" s="54"/>
      <c r="D79" s="55"/>
      <c r="F79" s="58"/>
      <c r="G79" s="59"/>
      <c r="H79" s="54"/>
      <c r="I79" s="55"/>
      <c r="K79" s="58"/>
      <c r="L79" s="59"/>
      <c r="M79" s="54"/>
      <c r="N79" s="55"/>
      <c r="P79" s="58"/>
      <c r="Q79" s="59"/>
      <c r="R79" s="54"/>
      <c r="S79" s="55"/>
    </row>
    <row r="80" spans="1:19" x14ac:dyDescent="0.25">
      <c r="A80" s="58"/>
      <c r="B80" s="59"/>
      <c r="C80" s="54"/>
      <c r="D80" s="55"/>
      <c r="F80" s="58"/>
      <c r="G80" s="59"/>
      <c r="H80" s="54"/>
      <c r="I80" s="55"/>
      <c r="K80" s="58"/>
      <c r="L80" s="59"/>
      <c r="M80" s="54"/>
      <c r="N80" s="55"/>
      <c r="P80" s="58"/>
      <c r="Q80" s="59"/>
      <c r="R80" s="54"/>
      <c r="S80" s="55"/>
    </row>
    <row r="81" spans="1:19" x14ac:dyDescent="0.25">
      <c r="A81" s="58"/>
      <c r="B81" s="59"/>
      <c r="C81" s="54"/>
      <c r="D81" s="55"/>
      <c r="F81" s="58"/>
      <c r="G81" s="59"/>
      <c r="H81" s="54"/>
      <c r="I81" s="55"/>
      <c r="K81" s="58"/>
      <c r="L81" s="59"/>
      <c r="M81" s="54"/>
      <c r="N81" s="55"/>
      <c r="P81" s="58"/>
      <c r="Q81" s="59"/>
      <c r="R81" s="54"/>
      <c r="S81" s="55"/>
    </row>
    <row r="82" spans="1:19" x14ac:dyDescent="0.25">
      <c r="A82" s="58"/>
      <c r="B82" s="59"/>
      <c r="C82" s="54"/>
      <c r="D82" s="55"/>
      <c r="F82" s="58"/>
      <c r="G82" s="59"/>
      <c r="H82" s="54"/>
      <c r="I82" s="55"/>
      <c r="K82" s="58"/>
      <c r="L82" s="59"/>
      <c r="M82" s="54"/>
      <c r="N82" s="55"/>
      <c r="P82" s="58"/>
      <c r="Q82" s="59"/>
      <c r="R82" s="54"/>
      <c r="S82" s="55"/>
    </row>
    <row r="83" spans="1:19" x14ac:dyDescent="0.25">
      <c r="A83" s="58"/>
      <c r="B83" s="59"/>
      <c r="C83" s="54"/>
      <c r="D83" s="55"/>
      <c r="F83" s="58"/>
      <c r="G83" s="59"/>
      <c r="H83" s="54"/>
      <c r="I83" s="55"/>
      <c r="K83" s="58"/>
      <c r="L83" s="59"/>
      <c r="M83" s="54"/>
      <c r="N83" s="55"/>
      <c r="P83" s="58"/>
      <c r="Q83" s="59"/>
      <c r="R83" s="54"/>
      <c r="S83" s="55"/>
    </row>
    <row r="84" spans="1:19" x14ac:dyDescent="0.25">
      <c r="A84" s="58"/>
      <c r="B84" s="59"/>
      <c r="C84" s="54"/>
      <c r="D84" s="55"/>
      <c r="F84" s="58"/>
      <c r="G84" s="59"/>
      <c r="H84" s="54"/>
      <c r="I84" s="55"/>
      <c r="K84" s="58"/>
      <c r="L84" s="59"/>
      <c r="M84" s="54"/>
      <c r="N84" s="55"/>
      <c r="P84" s="58"/>
      <c r="Q84" s="59"/>
      <c r="R84" s="54"/>
      <c r="S84" s="55"/>
    </row>
    <row r="85" spans="1:19" x14ac:dyDescent="0.25">
      <c r="A85" s="58"/>
      <c r="B85" s="59"/>
      <c r="C85" s="54"/>
      <c r="D85" s="55"/>
      <c r="F85" s="58"/>
      <c r="G85" s="59"/>
      <c r="H85" s="54"/>
      <c r="I85" s="55"/>
      <c r="K85" s="58"/>
      <c r="L85" s="59"/>
      <c r="M85" s="54"/>
      <c r="N85" s="55"/>
      <c r="P85" s="58"/>
      <c r="Q85" s="59"/>
      <c r="R85" s="54"/>
      <c r="S85" s="55"/>
    </row>
    <row r="86" spans="1:19" x14ac:dyDescent="0.25">
      <c r="A86" s="58"/>
      <c r="B86" s="59"/>
      <c r="C86" s="54"/>
      <c r="D86" s="55"/>
      <c r="F86" s="58"/>
      <c r="G86" s="59"/>
      <c r="H86" s="54"/>
      <c r="I86" s="55"/>
      <c r="K86" s="58"/>
      <c r="L86" s="59"/>
      <c r="M86" s="54"/>
      <c r="N86" s="55"/>
      <c r="P86" s="58"/>
      <c r="Q86" s="59"/>
      <c r="R86" s="54"/>
      <c r="S86" s="55"/>
    </row>
    <row r="87" spans="1:19" x14ac:dyDescent="0.25">
      <c r="A87" s="58"/>
      <c r="B87" s="59"/>
      <c r="C87" s="54"/>
      <c r="D87" s="55"/>
      <c r="F87" s="58"/>
      <c r="G87" s="59"/>
      <c r="H87" s="54"/>
      <c r="I87" s="55"/>
      <c r="K87" s="58"/>
      <c r="L87" s="59"/>
      <c r="M87" s="54"/>
      <c r="N87" s="55"/>
      <c r="P87" s="58"/>
      <c r="Q87" s="59"/>
      <c r="R87" s="54"/>
      <c r="S87" s="55"/>
    </row>
    <row r="88" spans="1:19" x14ac:dyDescent="0.25">
      <c r="A88" s="58"/>
      <c r="B88" s="59"/>
      <c r="C88" s="54"/>
      <c r="D88" s="55"/>
      <c r="F88" s="58"/>
      <c r="G88" s="59"/>
      <c r="H88" s="54"/>
      <c r="I88" s="55"/>
      <c r="K88" s="58"/>
      <c r="L88" s="59"/>
      <c r="M88" s="54"/>
      <c r="N88" s="55"/>
      <c r="P88" s="58"/>
      <c r="Q88" s="59"/>
      <c r="R88" s="54"/>
      <c r="S88" s="55"/>
    </row>
    <row r="89" spans="1:19" x14ac:dyDescent="0.25">
      <c r="A89" s="58"/>
      <c r="B89" s="59"/>
      <c r="C89" s="54"/>
      <c r="D89" s="55"/>
      <c r="F89" s="58"/>
      <c r="G89" s="59"/>
      <c r="H89" s="54"/>
      <c r="I89" s="55"/>
      <c r="K89" s="58"/>
      <c r="L89" s="59"/>
      <c r="M89" s="54"/>
      <c r="N89" s="55"/>
      <c r="P89" s="58"/>
      <c r="Q89" s="59"/>
      <c r="R89" s="54"/>
      <c r="S89" s="55"/>
    </row>
    <row r="90" spans="1:19" x14ac:dyDescent="0.25">
      <c r="A90" s="58"/>
      <c r="B90" s="59"/>
      <c r="C90" s="54"/>
      <c r="D90" s="55"/>
      <c r="F90" s="58"/>
      <c r="G90" s="59"/>
      <c r="H90" s="54"/>
      <c r="I90" s="55"/>
      <c r="K90" s="58"/>
      <c r="L90" s="59"/>
      <c r="M90" s="54"/>
      <c r="N90" s="55"/>
      <c r="P90" s="58"/>
      <c r="Q90" s="59"/>
      <c r="R90" s="54"/>
      <c r="S90" s="55"/>
    </row>
    <row r="91" spans="1:19" x14ac:dyDescent="0.25">
      <c r="A91" s="58"/>
      <c r="B91" s="59"/>
      <c r="C91" s="54"/>
      <c r="D91" s="55"/>
      <c r="F91" s="58"/>
      <c r="G91" s="59"/>
      <c r="H91" s="54"/>
      <c r="I91" s="55"/>
      <c r="K91" s="58"/>
      <c r="L91" s="59"/>
      <c r="M91" s="54"/>
      <c r="N91" s="55"/>
      <c r="P91" s="58"/>
      <c r="Q91" s="59"/>
      <c r="R91" s="54"/>
      <c r="S91" s="55"/>
    </row>
    <row r="92" spans="1:19" x14ac:dyDescent="0.25">
      <c r="A92" s="58"/>
      <c r="B92" s="59"/>
      <c r="C92" s="54"/>
      <c r="D92" s="55"/>
      <c r="F92" s="58"/>
      <c r="G92" s="59"/>
      <c r="H92" s="54"/>
      <c r="I92" s="55"/>
      <c r="K92" s="58"/>
      <c r="L92" s="59"/>
      <c r="M92" s="54"/>
      <c r="N92" s="55"/>
      <c r="P92" s="58"/>
      <c r="Q92" s="59"/>
      <c r="R92" s="54"/>
      <c r="S92" s="55"/>
    </row>
    <row r="93" spans="1:19" x14ac:dyDescent="0.25">
      <c r="A93" s="58"/>
      <c r="B93" s="59"/>
      <c r="C93" s="54"/>
      <c r="D93" s="55"/>
      <c r="F93" s="58"/>
      <c r="G93" s="59"/>
      <c r="H93" s="54"/>
      <c r="I93" s="55"/>
      <c r="K93" s="58"/>
      <c r="L93" s="59"/>
      <c r="M93" s="54"/>
      <c r="N93" s="55"/>
      <c r="P93" s="58"/>
      <c r="Q93" s="59"/>
      <c r="R93" s="54"/>
      <c r="S93" s="55"/>
    </row>
    <row r="94" spans="1:19" x14ac:dyDescent="0.25">
      <c r="A94" s="58"/>
      <c r="B94" s="59"/>
      <c r="C94" s="54"/>
      <c r="D94" s="55"/>
      <c r="F94" s="58"/>
      <c r="G94" s="59"/>
      <c r="H94" s="54"/>
      <c r="I94" s="55"/>
      <c r="K94" s="58"/>
      <c r="L94" s="59"/>
      <c r="M94" s="54"/>
      <c r="N94" s="55"/>
      <c r="P94" s="58"/>
      <c r="Q94" s="59"/>
      <c r="R94" s="54"/>
      <c r="S94" s="55"/>
    </row>
    <row r="95" spans="1:19" x14ac:dyDescent="0.25">
      <c r="A95" s="58"/>
      <c r="B95" s="59"/>
      <c r="C95" s="54"/>
      <c r="D95" s="55"/>
      <c r="F95" s="58"/>
      <c r="G95" s="59"/>
      <c r="H95" s="54"/>
      <c r="I95" s="55"/>
      <c r="K95" s="58"/>
      <c r="L95" s="59"/>
      <c r="M95" s="54"/>
      <c r="N95" s="55"/>
      <c r="P95" s="58"/>
      <c r="Q95" s="59"/>
      <c r="R95" s="54"/>
      <c r="S95" s="55"/>
    </row>
    <row r="96" spans="1:19" x14ac:dyDescent="0.25">
      <c r="A96" s="58"/>
      <c r="B96" s="59"/>
      <c r="C96" s="54"/>
      <c r="D96" s="55"/>
      <c r="F96" s="58"/>
      <c r="G96" s="59"/>
      <c r="H96" s="54"/>
      <c r="I96" s="55"/>
      <c r="K96" s="58"/>
      <c r="L96" s="59"/>
      <c r="M96" s="54"/>
      <c r="N96" s="55"/>
      <c r="P96" s="58"/>
      <c r="Q96" s="59"/>
      <c r="R96" s="54"/>
      <c r="S96" s="55"/>
    </row>
    <row r="97" spans="1:19" x14ac:dyDescent="0.25">
      <c r="A97" s="58"/>
      <c r="B97" s="59"/>
      <c r="C97" s="54"/>
      <c r="D97" s="55"/>
      <c r="F97" s="58"/>
      <c r="G97" s="59"/>
      <c r="H97" s="54"/>
      <c r="I97" s="55"/>
      <c r="K97" s="58"/>
      <c r="L97" s="59"/>
      <c r="M97" s="54"/>
      <c r="N97" s="55"/>
      <c r="P97" s="58"/>
      <c r="Q97" s="59"/>
      <c r="R97" s="54"/>
      <c r="S97" s="55"/>
    </row>
    <row r="98" spans="1:19" x14ac:dyDescent="0.25">
      <c r="A98" s="58"/>
      <c r="B98" s="59"/>
      <c r="C98" s="54"/>
      <c r="D98" s="55"/>
      <c r="F98" s="58"/>
      <c r="G98" s="59"/>
      <c r="H98" s="54"/>
      <c r="I98" s="55"/>
      <c r="K98" s="58"/>
      <c r="L98" s="59"/>
      <c r="M98" s="54"/>
      <c r="N98" s="55"/>
      <c r="P98" s="58"/>
      <c r="Q98" s="59"/>
      <c r="R98" s="54"/>
      <c r="S98" s="55"/>
    </row>
    <row r="99" spans="1:19" x14ac:dyDescent="0.25">
      <c r="A99" s="58"/>
      <c r="B99" s="59"/>
      <c r="C99" s="54"/>
      <c r="D99" s="55"/>
      <c r="F99" s="58"/>
      <c r="G99" s="59"/>
      <c r="H99" s="54"/>
      <c r="I99" s="55"/>
      <c r="K99" s="58"/>
      <c r="L99" s="59"/>
      <c r="M99" s="54"/>
      <c r="N99" s="55"/>
      <c r="P99" s="58"/>
      <c r="Q99" s="59"/>
      <c r="R99" s="54"/>
      <c r="S99" s="55"/>
    </row>
    <row r="100" spans="1:19" x14ac:dyDescent="0.25">
      <c r="A100" s="58"/>
      <c r="B100" s="59"/>
      <c r="C100" s="54"/>
      <c r="D100" s="55"/>
      <c r="F100" s="58"/>
      <c r="G100" s="59"/>
      <c r="H100" s="54"/>
      <c r="I100" s="55"/>
      <c r="K100" s="58"/>
      <c r="L100" s="59"/>
      <c r="M100" s="54"/>
      <c r="N100" s="55"/>
      <c r="P100" s="58"/>
      <c r="Q100" s="59"/>
      <c r="R100" s="54"/>
      <c r="S100" s="55"/>
    </row>
    <row r="101" spans="1:19" x14ac:dyDescent="0.25">
      <c r="A101" s="58"/>
      <c r="B101" s="59"/>
      <c r="C101" s="54"/>
      <c r="D101" s="55"/>
      <c r="F101" s="58"/>
      <c r="G101" s="59"/>
      <c r="H101" s="54"/>
      <c r="I101" s="55"/>
      <c r="K101" s="58"/>
      <c r="L101" s="59"/>
      <c r="M101" s="54"/>
      <c r="N101" s="55"/>
      <c r="P101" s="58"/>
      <c r="Q101" s="59"/>
      <c r="R101" s="54"/>
      <c r="S101" s="55"/>
    </row>
    <row r="102" spans="1:19" x14ac:dyDescent="0.25">
      <c r="A102" s="58"/>
      <c r="B102" s="59"/>
      <c r="C102" s="54"/>
      <c r="D102" s="55"/>
      <c r="F102" s="58"/>
      <c r="G102" s="59"/>
      <c r="H102" s="54"/>
      <c r="I102" s="55"/>
      <c r="K102" s="58"/>
      <c r="L102" s="59"/>
      <c r="M102" s="54"/>
      <c r="N102" s="55"/>
      <c r="P102" s="58"/>
      <c r="Q102" s="59"/>
      <c r="R102" s="54"/>
      <c r="S102" s="55"/>
    </row>
    <row r="103" spans="1:19" x14ac:dyDescent="0.25">
      <c r="A103" s="58"/>
      <c r="B103" s="59"/>
      <c r="C103" s="54"/>
      <c r="D103" s="55"/>
      <c r="F103" s="58"/>
      <c r="G103" s="59"/>
      <c r="H103" s="54"/>
      <c r="I103" s="55"/>
      <c r="K103" s="58"/>
      <c r="L103" s="59"/>
      <c r="M103" s="54"/>
      <c r="N103" s="55"/>
      <c r="P103" s="58"/>
      <c r="Q103" s="59"/>
      <c r="R103" s="54"/>
      <c r="S103" s="55"/>
    </row>
    <row r="104" spans="1:19" x14ac:dyDescent="0.25">
      <c r="A104" s="58"/>
      <c r="B104" s="59"/>
      <c r="C104" s="54"/>
      <c r="D104" s="55"/>
      <c r="F104" s="58"/>
      <c r="G104" s="59"/>
      <c r="H104" s="54"/>
      <c r="I104" s="55"/>
      <c r="K104" s="58"/>
      <c r="L104" s="59"/>
      <c r="M104" s="54"/>
      <c r="N104" s="55"/>
      <c r="P104" s="58"/>
      <c r="Q104" s="59"/>
      <c r="R104" s="54"/>
      <c r="S104" s="55"/>
    </row>
    <row r="105" spans="1:19" x14ac:dyDescent="0.25">
      <c r="A105" s="58"/>
      <c r="B105" s="59"/>
      <c r="C105" s="54"/>
      <c r="D105" s="55"/>
      <c r="F105" s="58"/>
      <c r="G105" s="59"/>
      <c r="H105" s="54"/>
      <c r="I105" s="55"/>
      <c r="K105" s="58"/>
      <c r="L105" s="59"/>
      <c r="M105" s="54"/>
      <c r="N105" s="55"/>
      <c r="P105" s="58"/>
      <c r="Q105" s="59"/>
      <c r="R105" s="54"/>
      <c r="S105" s="55"/>
    </row>
    <row r="106" spans="1:19" x14ac:dyDescent="0.25">
      <c r="A106" s="58"/>
      <c r="B106" s="59"/>
      <c r="C106" s="54"/>
      <c r="D106" s="55"/>
      <c r="F106" s="58"/>
      <c r="G106" s="59"/>
      <c r="H106" s="54"/>
      <c r="I106" s="55"/>
      <c r="K106" s="58"/>
      <c r="L106" s="59"/>
      <c r="M106" s="54"/>
      <c r="N106" s="55"/>
      <c r="P106" s="58"/>
      <c r="Q106" s="59"/>
      <c r="R106" s="54"/>
      <c r="S106" s="55"/>
    </row>
    <row r="107" spans="1:19" x14ac:dyDescent="0.25">
      <c r="A107" s="58"/>
      <c r="B107" s="59"/>
      <c r="C107" s="54"/>
      <c r="D107" s="55"/>
      <c r="F107" s="58"/>
      <c r="G107" s="59"/>
      <c r="H107" s="54"/>
      <c r="I107" s="55"/>
      <c r="K107" s="58"/>
      <c r="L107" s="59"/>
      <c r="M107" s="54"/>
      <c r="N107" s="55"/>
      <c r="P107" s="58"/>
      <c r="Q107" s="59"/>
      <c r="R107" s="54"/>
      <c r="S107" s="55"/>
    </row>
    <row r="108" spans="1:19" x14ac:dyDescent="0.25">
      <c r="A108" s="58"/>
      <c r="B108" s="59"/>
      <c r="C108" s="54"/>
      <c r="D108" s="55"/>
      <c r="F108" s="58"/>
      <c r="G108" s="59"/>
      <c r="H108" s="54"/>
      <c r="I108" s="55"/>
      <c r="K108" s="58"/>
      <c r="L108" s="59"/>
      <c r="M108" s="54"/>
      <c r="N108" s="55"/>
      <c r="P108" s="58"/>
      <c r="Q108" s="59"/>
      <c r="R108" s="54"/>
      <c r="S108" s="55"/>
    </row>
    <row r="109" spans="1:19" x14ac:dyDescent="0.25">
      <c r="A109" s="58"/>
      <c r="B109" s="59"/>
      <c r="C109" s="54"/>
      <c r="D109" s="55"/>
      <c r="F109" s="58"/>
      <c r="G109" s="59"/>
      <c r="H109" s="54"/>
      <c r="I109" s="55"/>
      <c r="K109" s="58"/>
      <c r="L109" s="59"/>
      <c r="M109" s="54"/>
      <c r="N109" s="55"/>
      <c r="P109" s="58"/>
      <c r="Q109" s="59"/>
      <c r="R109" s="54"/>
      <c r="S109" s="55"/>
    </row>
    <row r="110" spans="1:19" x14ac:dyDescent="0.25">
      <c r="A110" s="58"/>
      <c r="B110" s="59"/>
      <c r="C110" s="54"/>
      <c r="D110" s="55"/>
      <c r="F110" s="58"/>
      <c r="G110" s="59"/>
      <c r="H110" s="54"/>
      <c r="I110" s="55"/>
      <c r="K110" s="58"/>
      <c r="L110" s="59"/>
      <c r="M110" s="54"/>
      <c r="N110" s="55"/>
      <c r="P110" s="58"/>
      <c r="Q110" s="59"/>
      <c r="R110" s="54"/>
      <c r="S110" s="55"/>
    </row>
    <row r="111" spans="1:19" x14ac:dyDescent="0.25">
      <c r="A111" s="58"/>
      <c r="B111" s="59"/>
      <c r="C111" s="54"/>
      <c r="D111" s="55"/>
      <c r="F111" s="58"/>
      <c r="G111" s="59"/>
      <c r="H111" s="54"/>
      <c r="I111" s="55"/>
      <c r="K111" s="58"/>
      <c r="L111" s="59"/>
      <c r="M111" s="54"/>
      <c r="N111" s="55"/>
      <c r="P111" s="58"/>
      <c r="Q111" s="59"/>
      <c r="R111" s="54"/>
      <c r="S111" s="55"/>
    </row>
    <row r="112" spans="1:19" x14ac:dyDescent="0.25">
      <c r="A112" s="58"/>
      <c r="B112" s="59"/>
      <c r="C112" s="54"/>
      <c r="D112" s="55"/>
      <c r="F112" s="58"/>
      <c r="G112" s="59"/>
      <c r="H112" s="54"/>
      <c r="I112" s="55"/>
      <c r="K112" s="58"/>
      <c r="L112" s="59"/>
      <c r="M112" s="54"/>
      <c r="N112" s="55"/>
      <c r="P112" s="58"/>
      <c r="Q112" s="59"/>
      <c r="R112" s="54"/>
      <c r="S112" s="55"/>
    </row>
    <row r="113" spans="1:19" x14ac:dyDescent="0.25">
      <c r="A113" s="58"/>
      <c r="B113" s="59"/>
      <c r="C113" s="54"/>
      <c r="D113" s="55"/>
      <c r="F113" s="58"/>
      <c r="G113" s="59"/>
      <c r="H113" s="54"/>
      <c r="I113" s="55"/>
      <c r="K113" s="58"/>
      <c r="L113" s="59"/>
      <c r="M113" s="54"/>
      <c r="N113" s="55"/>
      <c r="P113" s="58"/>
      <c r="Q113" s="59"/>
      <c r="R113" s="54"/>
      <c r="S113" s="55"/>
    </row>
    <row r="114" spans="1:19" x14ac:dyDescent="0.25">
      <c r="A114" s="58"/>
      <c r="B114" s="59"/>
      <c r="C114" s="54"/>
      <c r="D114" s="55"/>
      <c r="F114" s="58"/>
      <c r="G114" s="59"/>
      <c r="H114" s="54"/>
      <c r="I114" s="55"/>
      <c r="K114" s="58"/>
      <c r="L114" s="59"/>
      <c r="M114" s="54"/>
      <c r="N114" s="55"/>
      <c r="P114" s="58"/>
      <c r="Q114" s="59"/>
      <c r="R114" s="54"/>
      <c r="S114" s="55"/>
    </row>
    <row r="115" spans="1:19" x14ac:dyDescent="0.25">
      <c r="A115" s="58"/>
      <c r="B115" s="59"/>
      <c r="C115" s="54"/>
      <c r="D115" s="55"/>
      <c r="F115" s="58"/>
      <c r="G115" s="59"/>
      <c r="H115" s="54"/>
      <c r="I115" s="55"/>
      <c r="K115" s="58"/>
      <c r="L115" s="59"/>
      <c r="M115" s="54"/>
      <c r="N115" s="55"/>
      <c r="P115" s="58"/>
      <c r="Q115" s="59"/>
      <c r="R115" s="54"/>
      <c r="S115" s="55"/>
    </row>
    <row r="116" spans="1:19" x14ac:dyDescent="0.25">
      <c r="A116" s="58"/>
      <c r="B116" s="59"/>
      <c r="C116" s="54"/>
      <c r="D116" s="55"/>
      <c r="F116" s="58"/>
      <c r="G116" s="59"/>
      <c r="H116" s="54"/>
      <c r="I116" s="55"/>
      <c r="K116" s="58"/>
      <c r="L116" s="59"/>
      <c r="M116" s="54"/>
      <c r="N116" s="55"/>
      <c r="P116" s="58"/>
      <c r="Q116" s="59"/>
      <c r="R116" s="54"/>
      <c r="S116" s="55"/>
    </row>
    <row r="117" spans="1:19" x14ac:dyDescent="0.25">
      <c r="A117" s="58"/>
      <c r="B117" s="59"/>
      <c r="C117" s="54"/>
      <c r="D117" s="55"/>
      <c r="F117" s="58"/>
      <c r="G117" s="59"/>
      <c r="H117" s="54"/>
      <c r="I117" s="55"/>
      <c r="K117" s="58"/>
      <c r="L117" s="59"/>
      <c r="M117" s="54"/>
      <c r="N117" s="55"/>
      <c r="P117" s="58"/>
      <c r="Q117" s="59"/>
      <c r="R117" s="54"/>
      <c r="S117" s="55"/>
    </row>
    <row r="118" spans="1:19" ht="15.75" thickBot="1" x14ac:dyDescent="0.3">
      <c r="A118" s="60"/>
      <c r="B118" s="61"/>
      <c r="C118" s="56"/>
      <c r="D118" s="57"/>
      <c r="F118" s="60"/>
      <c r="G118" s="61"/>
      <c r="H118" s="56"/>
      <c r="I118" s="57"/>
      <c r="K118" s="58"/>
      <c r="L118" s="59"/>
      <c r="M118" s="54"/>
      <c r="N118" s="55"/>
      <c r="P118" s="58"/>
      <c r="Q118" s="59"/>
      <c r="R118" s="54"/>
      <c r="S118" s="55"/>
    </row>
    <row r="119" spans="1:19" x14ac:dyDescent="0.25">
      <c r="K119" s="58"/>
      <c r="L119" s="59"/>
      <c r="M119" s="54"/>
      <c r="N119" s="55"/>
      <c r="P119" s="58"/>
      <c r="Q119" s="59"/>
      <c r="R119" s="54"/>
      <c r="S119" s="55"/>
    </row>
    <row r="120" spans="1:19" x14ac:dyDescent="0.25">
      <c r="K120" s="58"/>
      <c r="L120" s="59"/>
      <c r="M120" s="54"/>
      <c r="N120" s="55"/>
      <c r="P120" s="58"/>
      <c r="Q120" s="59"/>
      <c r="R120" s="54"/>
      <c r="S120" s="55"/>
    </row>
    <row r="121" spans="1:19" x14ac:dyDescent="0.25">
      <c r="K121" s="58"/>
      <c r="L121" s="59"/>
      <c r="M121" s="54"/>
      <c r="N121" s="55"/>
      <c r="P121" s="58"/>
      <c r="Q121" s="59"/>
      <c r="R121" s="54"/>
      <c r="S121" s="55"/>
    </row>
    <row r="122" spans="1:19" x14ac:dyDescent="0.25">
      <c r="K122" s="58"/>
      <c r="L122" s="59"/>
      <c r="M122" s="54"/>
      <c r="N122" s="55"/>
      <c r="P122" s="58"/>
      <c r="Q122" s="59"/>
      <c r="R122" s="54"/>
      <c r="S122" s="55"/>
    </row>
    <row r="123" spans="1:19" x14ac:dyDescent="0.25">
      <c r="K123" s="58"/>
      <c r="L123" s="59"/>
      <c r="M123" s="54"/>
      <c r="N123" s="55"/>
      <c r="P123" s="58"/>
      <c r="Q123" s="59"/>
      <c r="R123" s="54"/>
      <c r="S123" s="55"/>
    </row>
    <row r="124" spans="1:19" x14ac:dyDescent="0.25">
      <c r="K124" s="58"/>
      <c r="L124" s="59"/>
      <c r="M124" s="54"/>
      <c r="N124" s="55"/>
      <c r="P124" s="58"/>
      <c r="Q124" s="59"/>
      <c r="R124" s="54"/>
      <c r="S124" s="55"/>
    </row>
    <row r="125" spans="1:19" x14ac:dyDescent="0.25">
      <c r="K125" s="58"/>
      <c r="L125" s="59"/>
      <c r="M125" s="54"/>
      <c r="N125" s="55"/>
      <c r="P125" s="58"/>
      <c r="Q125" s="59"/>
      <c r="R125" s="54"/>
      <c r="S125" s="55"/>
    </row>
    <row r="126" spans="1:19" x14ac:dyDescent="0.25">
      <c r="K126" s="58"/>
      <c r="L126" s="59"/>
      <c r="M126" s="54"/>
      <c r="N126" s="55"/>
      <c r="P126" s="58"/>
      <c r="Q126" s="59"/>
      <c r="R126" s="54"/>
      <c r="S126" s="55"/>
    </row>
    <row r="127" spans="1:19" x14ac:dyDescent="0.25">
      <c r="K127" s="58"/>
      <c r="L127" s="59"/>
      <c r="M127" s="54"/>
      <c r="N127" s="55"/>
      <c r="P127" s="58"/>
      <c r="Q127" s="59"/>
      <c r="R127" s="54"/>
      <c r="S127" s="55"/>
    </row>
    <row r="128" spans="1:19" x14ac:dyDescent="0.25">
      <c r="K128" s="58"/>
      <c r="L128" s="59"/>
      <c r="M128" s="54"/>
      <c r="N128" s="55"/>
      <c r="P128" s="58"/>
      <c r="Q128" s="59"/>
      <c r="R128" s="54"/>
      <c r="S128" s="55"/>
    </row>
    <row r="129" spans="11:19" x14ac:dyDescent="0.25">
      <c r="K129" s="58"/>
      <c r="L129" s="59"/>
      <c r="M129" s="54"/>
      <c r="N129" s="55"/>
      <c r="P129" s="58"/>
      <c r="Q129" s="59"/>
      <c r="R129" s="54"/>
      <c r="S129" s="55"/>
    </row>
    <row r="130" spans="11:19" x14ac:dyDescent="0.25">
      <c r="K130" s="58"/>
      <c r="L130" s="59"/>
      <c r="M130" s="54"/>
      <c r="N130" s="55"/>
      <c r="P130" s="58"/>
      <c r="Q130" s="59"/>
      <c r="R130" s="54"/>
      <c r="S130" s="55"/>
    </row>
    <row r="131" spans="11:19" x14ac:dyDescent="0.25">
      <c r="K131" s="58"/>
      <c r="L131" s="59"/>
      <c r="M131" s="54"/>
      <c r="N131" s="55"/>
      <c r="P131" s="58"/>
      <c r="Q131" s="59"/>
      <c r="R131" s="54"/>
      <c r="S131" s="55"/>
    </row>
    <row r="132" spans="11:19" x14ac:dyDescent="0.25">
      <c r="K132" s="58"/>
      <c r="L132" s="59"/>
      <c r="M132" s="54"/>
      <c r="N132" s="55"/>
      <c r="P132" s="58"/>
      <c r="Q132" s="59"/>
      <c r="R132" s="54"/>
      <c r="S132" s="55"/>
    </row>
    <row r="133" spans="11:19" x14ac:dyDescent="0.25">
      <c r="K133" s="58"/>
      <c r="L133" s="59"/>
      <c r="M133" s="54"/>
      <c r="N133" s="55"/>
      <c r="P133" s="58"/>
      <c r="Q133" s="59"/>
      <c r="R133" s="54"/>
      <c r="S133" s="55"/>
    </row>
    <row r="134" spans="11:19" x14ac:dyDescent="0.25">
      <c r="K134" s="58"/>
      <c r="L134" s="59"/>
      <c r="M134" s="54"/>
      <c r="N134" s="55"/>
      <c r="P134" s="58"/>
      <c r="Q134" s="59"/>
      <c r="R134" s="54"/>
      <c r="S134" s="55"/>
    </row>
    <row r="135" spans="11:19" x14ac:dyDescent="0.25">
      <c r="K135" s="58"/>
      <c r="L135" s="59"/>
      <c r="M135" s="54"/>
      <c r="N135" s="55"/>
      <c r="P135" s="58"/>
      <c r="Q135" s="59"/>
      <c r="R135" s="54"/>
      <c r="S135" s="55"/>
    </row>
    <row r="136" spans="11:19" x14ac:dyDescent="0.25">
      <c r="K136" s="58"/>
      <c r="L136" s="59"/>
      <c r="M136" s="54"/>
      <c r="N136" s="55"/>
      <c r="P136" s="58"/>
      <c r="Q136" s="59"/>
      <c r="R136" s="54"/>
      <c r="S136" s="55"/>
    </row>
    <row r="137" spans="11:19" x14ac:dyDescent="0.25">
      <c r="K137" s="58"/>
      <c r="L137" s="59"/>
      <c r="M137" s="54"/>
      <c r="N137" s="55"/>
      <c r="P137" s="58"/>
      <c r="Q137" s="59"/>
      <c r="R137" s="54"/>
      <c r="S137" s="55"/>
    </row>
    <row r="138" spans="11:19" x14ac:dyDescent="0.25">
      <c r="K138" s="58"/>
      <c r="L138" s="59"/>
      <c r="M138" s="54"/>
      <c r="N138" s="55"/>
      <c r="P138" s="58"/>
      <c r="Q138" s="59"/>
      <c r="R138" s="54"/>
      <c r="S138" s="55"/>
    </row>
    <row r="139" spans="11:19" x14ac:dyDescent="0.25">
      <c r="K139" s="58"/>
      <c r="L139" s="59"/>
      <c r="M139" s="54"/>
      <c r="N139" s="55"/>
      <c r="P139" s="58"/>
      <c r="Q139" s="59"/>
      <c r="R139" s="54"/>
      <c r="S139" s="55"/>
    </row>
    <row r="140" spans="11:19" x14ac:dyDescent="0.25">
      <c r="K140" s="58"/>
      <c r="L140" s="59"/>
      <c r="M140" s="54"/>
      <c r="N140" s="55"/>
      <c r="P140" s="58"/>
      <c r="Q140" s="59"/>
      <c r="R140" s="54"/>
      <c r="S140" s="55"/>
    </row>
    <row r="141" spans="11:19" x14ac:dyDescent="0.25">
      <c r="K141" s="58"/>
      <c r="L141" s="59"/>
      <c r="M141" s="54"/>
      <c r="N141" s="55"/>
      <c r="P141" s="58"/>
      <c r="Q141" s="59"/>
      <c r="R141" s="54"/>
      <c r="S141" s="55"/>
    </row>
    <row r="142" spans="11:19" x14ac:dyDescent="0.25">
      <c r="K142" s="58"/>
      <c r="L142" s="59"/>
      <c r="M142" s="54"/>
      <c r="N142" s="55"/>
      <c r="P142" s="58"/>
      <c r="Q142" s="59"/>
      <c r="R142" s="54"/>
      <c r="S142" s="55"/>
    </row>
    <row r="143" spans="11:19" x14ac:dyDescent="0.25">
      <c r="K143" s="58"/>
      <c r="L143" s="59"/>
      <c r="M143" s="54"/>
      <c r="N143" s="55"/>
      <c r="P143" s="58"/>
      <c r="Q143" s="59"/>
      <c r="R143" s="54"/>
      <c r="S143" s="55"/>
    </row>
    <row r="144" spans="11:19" x14ac:dyDescent="0.25">
      <c r="K144" s="58"/>
      <c r="L144" s="59"/>
      <c r="M144" s="54"/>
      <c r="N144" s="55"/>
      <c r="P144" s="58"/>
      <c r="Q144" s="59"/>
      <c r="R144" s="54"/>
      <c r="S144" s="55"/>
    </row>
    <row r="145" spans="11:19" x14ac:dyDescent="0.25">
      <c r="K145" s="58"/>
      <c r="L145" s="59"/>
      <c r="M145" s="54"/>
      <c r="N145" s="55"/>
      <c r="P145" s="58"/>
      <c r="Q145" s="59"/>
      <c r="R145" s="54"/>
      <c r="S145" s="55"/>
    </row>
    <row r="146" spans="11:19" x14ac:dyDescent="0.25">
      <c r="K146" s="58"/>
      <c r="L146" s="59"/>
      <c r="M146" s="54"/>
      <c r="N146" s="55"/>
      <c r="P146" s="58"/>
      <c r="Q146" s="59"/>
      <c r="R146" s="54"/>
      <c r="S146" s="55"/>
    </row>
    <row r="147" spans="11:19" x14ac:dyDescent="0.25">
      <c r="K147" s="58"/>
      <c r="L147" s="59"/>
      <c r="M147" s="54"/>
      <c r="N147" s="55"/>
      <c r="P147" s="58"/>
      <c r="Q147" s="59"/>
      <c r="R147" s="54"/>
      <c r="S147" s="55"/>
    </row>
    <row r="148" spans="11:19" x14ac:dyDescent="0.25">
      <c r="K148" s="58"/>
      <c r="L148" s="59"/>
      <c r="M148" s="54"/>
      <c r="N148" s="55"/>
      <c r="P148" s="58"/>
      <c r="Q148" s="59"/>
      <c r="R148" s="54"/>
      <c r="S148" s="55"/>
    </row>
    <row r="149" spans="11:19" x14ac:dyDescent="0.25">
      <c r="K149" s="58"/>
      <c r="L149" s="59"/>
      <c r="M149" s="54"/>
      <c r="N149" s="55"/>
      <c r="P149" s="58"/>
      <c r="Q149" s="59"/>
      <c r="R149" s="54"/>
      <c r="S149" s="55"/>
    </row>
    <row r="150" spans="11:19" x14ac:dyDescent="0.25">
      <c r="K150" s="58"/>
      <c r="L150" s="59"/>
      <c r="M150" s="54"/>
      <c r="N150" s="55"/>
      <c r="P150" s="58"/>
      <c r="Q150" s="59"/>
      <c r="R150" s="54"/>
      <c r="S150" s="55"/>
    </row>
    <row r="151" spans="11:19" x14ac:dyDescent="0.25">
      <c r="K151" s="58"/>
      <c r="L151" s="59"/>
      <c r="M151" s="54"/>
      <c r="N151" s="55"/>
      <c r="P151" s="58"/>
      <c r="Q151" s="59"/>
      <c r="R151" s="54"/>
      <c r="S151" s="55"/>
    </row>
    <row r="152" spans="11:19" x14ac:dyDescent="0.25">
      <c r="K152" s="58"/>
      <c r="L152" s="59"/>
      <c r="M152" s="54"/>
      <c r="N152" s="55"/>
      <c r="P152" s="58"/>
      <c r="Q152" s="59"/>
      <c r="R152" s="54"/>
      <c r="S152" s="55"/>
    </row>
    <row r="153" spans="11:19" x14ac:dyDescent="0.25">
      <c r="K153" s="58"/>
      <c r="L153" s="59"/>
      <c r="M153" s="54"/>
      <c r="N153" s="55"/>
      <c r="P153" s="58"/>
      <c r="Q153" s="59"/>
      <c r="R153" s="54"/>
      <c r="S153" s="55"/>
    </row>
    <row r="154" spans="11:19" x14ac:dyDescent="0.25">
      <c r="K154" s="58"/>
      <c r="L154" s="59"/>
      <c r="M154" s="54"/>
      <c r="N154" s="55"/>
      <c r="P154" s="58"/>
      <c r="Q154" s="59"/>
      <c r="R154" s="54"/>
      <c r="S154" s="55"/>
    </row>
    <row r="155" spans="11:19" x14ac:dyDescent="0.25">
      <c r="K155" s="58"/>
      <c r="L155" s="59"/>
      <c r="M155" s="54"/>
      <c r="N155" s="55"/>
      <c r="P155" s="58"/>
      <c r="Q155" s="59"/>
      <c r="R155" s="54"/>
      <c r="S155" s="55"/>
    </row>
    <row r="156" spans="11:19" x14ac:dyDescent="0.25">
      <c r="K156" s="58"/>
      <c r="L156" s="59"/>
      <c r="M156" s="54"/>
      <c r="N156" s="55"/>
      <c r="P156" s="58"/>
      <c r="Q156" s="59"/>
      <c r="R156" s="54"/>
      <c r="S156" s="55"/>
    </row>
    <row r="157" spans="11:19" x14ac:dyDescent="0.25">
      <c r="K157" s="58"/>
      <c r="L157" s="59"/>
      <c r="M157" s="54"/>
      <c r="N157" s="55"/>
      <c r="P157" s="58"/>
      <c r="Q157" s="59"/>
      <c r="R157" s="54"/>
      <c r="S157" s="55"/>
    </row>
    <row r="158" spans="11:19" x14ac:dyDescent="0.25">
      <c r="K158" s="58"/>
      <c r="L158" s="59"/>
      <c r="M158" s="54"/>
      <c r="N158" s="55"/>
      <c r="P158" s="58"/>
      <c r="Q158" s="59"/>
      <c r="R158" s="54"/>
      <c r="S158" s="55"/>
    </row>
    <row r="159" spans="11:19" x14ac:dyDescent="0.25">
      <c r="K159" s="58"/>
      <c r="L159" s="59"/>
      <c r="M159" s="54"/>
      <c r="N159" s="55"/>
      <c r="P159" s="58"/>
      <c r="Q159" s="59"/>
      <c r="R159" s="54"/>
      <c r="S159" s="55"/>
    </row>
    <row r="160" spans="11:19" x14ac:dyDescent="0.25">
      <c r="K160" s="58"/>
      <c r="L160" s="59"/>
      <c r="M160" s="54"/>
      <c r="N160" s="55"/>
      <c r="P160" s="58"/>
      <c r="Q160" s="59"/>
      <c r="R160" s="54"/>
      <c r="S160" s="55"/>
    </row>
    <row r="161" spans="11:19" x14ac:dyDescent="0.25">
      <c r="K161" s="58"/>
      <c r="L161" s="59"/>
      <c r="M161" s="54"/>
      <c r="N161" s="55"/>
      <c r="P161" s="58"/>
      <c r="Q161" s="59"/>
      <c r="R161" s="54"/>
      <c r="S161" s="55"/>
    </row>
    <row r="162" spans="11:19" x14ac:dyDescent="0.25">
      <c r="K162" s="58"/>
      <c r="L162" s="59"/>
      <c r="M162" s="54"/>
      <c r="N162" s="55"/>
      <c r="P162" s="58"/>
      <c r="Q162" s="59"/>
      <c r="R162" s="54"/>
      <c r="S162" s="55"/>
    </row>
    <row r="163" spans="11:19" x14ac:dyDescent="0.25">
      <c r="K163" s="58"/>
      <c r="L163" s="59"/>
      <c r="M163" s="54"/>
      <c r="N163" s="55"/>
      <c r="P163" s="58"/>
      <c r="Q163" s="59"/>
      <c r="R163" s="54"/>
      <c r="S163" s="55"/>
    </row>
    <row r="164" spans="11:19" x14ac:dyDescent="0.25">
      <c r="K164" s="58"/>
      <c r="L164" s="59"/>
      <c r="M164" s="54"/>
      <c r="N164" s="55"/>
      <c r="P164" s="58"/>
      <c r="Q164" s="59"/>
      <c r="R164" s="54"/>
      <c r="S164" s="55"/>
    </row>
    <row r="165" spans="11:19" x14ac:dyDescent="0.25">
      <c r="K165" s="58"/>
      <c r="L165" s="59"/>
      <c r="M165" s="54"/>
      <c r="N165" s="55"/>
      <c r="P165" s="58"/>
      <c r="Q165" s="59"/>
      <c r="R165" s="54"/>
      <c r="S165" s="55"/>
    </row>
    <row r="166" spans="11:19" x14ac:dyDescent="0.25">
      <c r="K166" s="58"/>
      <c r="L166" s="59"/>
      <c r="M166" s="54"/>
      <c r="N166" s="55"/>
      <c r="P166" s="58"/>
      <c r="Q166" s="59"/>
      <c r="R166" s="54"/>
      <c r="S166" s="55"/>
    </row>
    <row r="167" spans="11:19" x14ac:dyDescent="0.25">
      <c r="K167" s="58"/>
      <c r="L167" s="59"/>
      <c r="M167" s="54"/>
      <c r="N167" s="55"/>
      <c r="P167" s="58"/>
      <c r="Q167" s="59"/>
      <c r="R167" s="54"/>
      <c r="S167" s="55"/>
    </row>
    <row r="168" spans="11:19" x14ac:dyDescent="0.25">
      <c r="K168" s="58"/>
      <c r="L168" s="59"/>
      <c r="M168" s="54"/>
      <c r="N168" s="55"/>
      <c r="P168" s="58"/>
      <c r="Q168" s="59"/>
      <c r="R168" s="54"/>
      <c r="S168" s="55"/>
    </row>
    <row r="169" spans="11:19" x14ac:dyDescent="0.25">
      <c r="K169" s="58"/>
      <c r="L169" s="59"/>
      <c r="M169" s="54"/>
      <c r="N169" s="55"/>
      <c r="P169" s="58"/>
      <c r="Q169" s="59"/>
      <c r="R169" s="54"/>
      <c r="S169" s="55"/>
    </row>
    <row r="170" spans="11:19" x14ac:dyDescent="0.25">
      <c r="K170" s="58"/>
      <c r="L170" s="59"/>
      <c r="M170" s="54"/>
      <c r="N170" s="55"/>
      <c r="P170" s="58"/>
      <c r="Q170" s="59"/>
      <c r="R170" s="54"/>
      <c r="S170" s="55"/>
    </row>
    <row r="171" spans="11:19" x14ac:dyDescent="0.25">
      <c r="K171" s="58"/>
      <c r="L171" s="59"/>
      <c r="M171" s="54"/>
      <c r="N171" s="55"/>
      <c r="P171" s="58"/>
      <c r="Q171" s="59"/>
      <c r="R171" s="54"/>
      <c r="S171" s="55"/>
    </row>
    <row r="172" spans="11:19" x14ac:dyDescent="0.25">
      <c r="K172" s="58"/>
      <c r="L172" s="59"/>
      <c r="M172" s="54"/>
      <c r="N172" s="55"/>
      <c r="P172" s="58"/>
      <c r="Q172" s="59"/>
      <c r="R172" s="54"/>
      <c r="S172" s="55"/>
    </row>
    <row r="173" spans="11:19" x14ac:dyDescent="0.25">
      <c r="K173" s="58"/>
      <c r="L173" s="59"/>
      <c r="M173" s="54"/>
      <c r="N173" s="55"/>
      <c r="P173" s="58"/>
      <c r="Q173" s="59"/>
      <c r="R173" s="54"/>
      <c r="S173" s="55"/>
    </row>
    <row r="174" spans="11:19" x14ac:dyDescent="0.25">
      <c r="K174" s="58"/>
      <c r="L174" s="59"/>
      <c r="M174" s="54"/>
      <c r="N174" s="55"/>
      <c r="P174" s="58"/>
      <c r="Q174" s="59"/>
      <c r="R174" s="54"/>
      <c r="S174" s="55"/>
    </row>
    <row r="175" spans="11:19" x14ac:dyDescent="0.25">
      <c r="K175" s="58"/>
      <c r="L175" s="59"/>
      <c r="M175" s="54"/>
      <c r="N175" s="55"/>
      <c r="P175" s="58"/>
      <c r="Q175" s="59"/>
      <c r="R175" s="54"/>
      <c r="S175" s="55"/>
    </row>
    <row r="176" spans="11:19" x14ac:dyDescent="0.25">
      <c r="K176" s="58"/>
      <c r="L176" s="59"/>
      <c r="M176" s="54"/>
      <c r="N176" s="55"/>
      <c r="P176" s="58"/>
      <c r="Q176" s="59"/>
      <c r="R176" s="54"/>
      <c r="S176" s="55"/>
    </row>
    <row r="177" spans="11:19" x14ac:dyDescent="0.25">
      <c r="K177" s="58"/>
      <c r="L177" s="59"/>
      <c r="M177" s="54"/>
      <c r="N177" s="55"/>
      <c r="P177" s="58"/>
      <c r="Q177" s="59"/>
      <c r="R177" s="54"/>
      <c r="S177" s="55"/>
    </row>
    <row r="178" spans="11:19" x14ac:dyDescent="0.25">
      <c r="K178" s="58"/>
      <c r="L178" s="59"/>
      <c r="M178" s="54"/>
      <c r="N178" s="55"/>
      <c r="P178" s="58"/>
      <c r="Q178" s="59"/>
      <c r="R178" s="54"/>
      <c r="S178" s="55"/>
    </row>
    <row r="179" spans="11:19" x14ac:dyDescent="0.25">
      <c r="K179" s="58"/>
      <c r="L179" s="59"/>
      <c r="M179" s="54"/>
      <c r="N179" s="55"/>
      <c r="P179" s="58"/>
      <c r="Q179" s="59"/>
      <c r="R179" s="54"/>
      <c r="S179" s="55"/>
    </row>
    <row r="180" spans="11:19" x14ac:dyDescent="0.25">
      <c r="K180" s="58"/>
      <c r="L180" s="59"/>
      <c r="M180" s="54"/>
      <c r="N180" s="55"/>
      <c r="P180" s="58"/>
      <c r="Q180" s="59"/>
      <c r="R180" s="54"/>
      <c r="S180" s="55"/>
    </row>
    <row r="181" spans="11:19" x14ac:dyDescent="0.25">
      <c r="K181" s="58"/>
      <c r="L181" s="59"/>
      <c r="M181" s="54"/>
      <c r="N181" s="55"/>
      <c r="P181" s="58"/>
      <c r="Q181" s="59"/>
      <c r="R181" s="54"/>
      <c r="S181" s="55"/>
    </row>
    <row r="182" spans="11:19" x14ac:dyDescent="0.25">
      <c r="K182" s="58"/>
      <c r="L182" s="59"/>
      <c r="M182" s="54"/>
      <c r="N182" s="55"/>
      <c r="P182" s="58"/>
      <c r="Q182" s="59"/>
      <c r="R182" s="54"/>
      <c r="S182" s="55"/>
    </row>
    <row r="183" spans="11:19" x14ac:dyDescent="0.25">
      <c r="K183" s="58"/>
      <c r="L183" s="59"/>
      <c r="M183" s="54"/>
      <c r="N183" s="55"/>
      <c r="P183" s="58"/>
      <c r="Q183" s="59"/>
      <c r="R183" s="54"/>
      <c r="S183" s="55"/>
    </row>
    <row r="184" spans="11:19" x14ac:dyDescent="0.25">
      <c r="K184" s="58"/>
      <c r="L184" s="59"/>
      <c r="M184" s="54"/>
      <c r="N184" s="55"/>
      <c r="P184" s="58"/>
      <c r="Q184" s="59"/>
      <c r="R184" s="54"/>
      <c r="S184" s="55"/>
    </row>
    <row r="185" spans="11:19" x14ac:dyDescent="0.25">
      <c r="K185" s="58"/>
      <c r="L185" s="59"/>
      <c r="M185" s="54"/>
      <c r="N185" s="55"/>
      <c r="P185" s="58"/>
      <c r="Q185" s="59"/>
      <c r="R185" s="54"/>
      <c r="S185" s="55"/>
    </row>
    <row r="186" spans="11:19" x14ac:dyDescent="0.25">
      <c r="K186" s="58"/>
      <c r="L186" s="59"/>
      <c r="M186" s="54"/>
      <c r="N186" s="55"/>
      <c r="P186" s="58"/>
      <c r="Q186" s="59"/>
      <c r="R186" s="54"/>
      <c r="S186" s="55"/>
    </row>
    <row r="187" spans="11:19" x14ac:dyDescent="0.25">
      <c r="K187" s="58"/>
      <c r="L187" s="59"/>
      <c r="M187" s="54"/>
      <c r="N187" s="55"/>
      <c r="P187" s="58"/>
      <c r="Q187" s="59"/>
      <c r="R187" s="54"/>
      <c r="S187" s="55"/>
    </row>
    <row r="188" spans="11:19" x14ac:dyDescent="0.25">
      <c r="K188" s="58"/>
      <c r="L188" s="59"/>
      <c r="M188" s="54"/>
      <c r="N188" s="55"/>
      <c r="P188" s="58"/>
      <c r="Q188" s="59"/>
      <c r="R188" s="54"/>
      <c r="S188" s="55"/>
    </row>
    <row r="189" spans="11:19" x14ac:dyDescent="0.25">
      <c r="K189" s="58"/>
      <c r="L189" s="59"/>
      <c r="M189" s="54"/>
      <c r="N189" s="55"/>
      <c r="P189" s="58"/>
      <c r="Q189" s="59"/>
      <c r="R189" s="54"/>
      <c r="S189" s="55"/>
    </row>
    <row r="190" spans="11:19" x14ac:dyDescent="0.25">
      <c r="K190" s="58"/>
      <c r="L190" s="59"/>
      <c r="M190" s="54"/>
      <c r="N190" s="55"/>
      <c r="P190" s="58"/>
      <c r="Q190" s="59"/>
      <c r="R190" s="54"/>
      <c r="S190" s="55"/>
    </row>
    <row r="191" spans="11:19" x14ac:dyDescent="0.25">
      <c r="K191" s="58"/>
      <c r="L191" s="59"/>
      <c r="M191" s="54"/>
      <c r="N191" s="55"/>
      <c r="P191" s="58"/>
      <c r="Q191" s="59"/>
      <c r="R191" s="54"/>
      <c r="S191" s="55"/>
    </row>
    <row r="192" spans="11:19" x14ac:dyDescent="0.25">
      <c r="K192" s="58"/>
      <c r="L192" s="59"/>
      <c r="M192" s="54"/>
      <c r="N192" s="55"/>
      <c r="P192" s="58"/>
      <c r="Q192" s="59"/>
      <c r="R192" s="54"/>
      <c r="S192" s="55"/>
    </row>
    <row r="193" spans="11:19" x14ac:dyDescent="0.25">
      <c r="K193" s="58"/>
      <c r="L193" s="59"/>
      <c r="M193" s="54"/>
      <c r="N193" s="55"/>
      <c r="P193" s="58"/>
      <c r="Q193" s="59"/>
      <c r="R193" s="54"/>
      <c r="S193" s="55"/>
    </row>
    <row r="194" spans="11:19" x14ac:dyDescent="0.25">
      <c r="K194" s="58"/>
      <c r="L194" s="59"/>
      <c r="M194" s="54"/>
      <c r="N194" s="55"/>
      <c r="P194" s="58"/>
      <c r="Q194" s="59"/>
      <c r="R194" s="54"/>
      <c r="S194" s="55"/>
    </row>
    <row r="195" spans="11:19" x14ac:dyDescent="0.25">
      <c r="K195" s="58"/>
      <c r="L195" s="59"/>
      <c r="M195" s="54"/>
      <c r="N195" s="55"/>
      <c r="P195" s="58"/>
      <c r="Q195" s="59"/>
      <c r="R195" s="54"/>
      <c r="S195" s="55"/>
    </row>
    <row r="196" spans="11:19" x14ac:dyDescent="0.25">
      <c r="K196" s="58"/>
      <c r="L196" s="59"/>
      <c r="M196" s="54"/>
      <c r="N196" s="55"/>
      <c r="P196" s="58"/>
      <c r="Q196" s="59"/>
      <c r="R196" s="54"/>
      <c r="S196" s="55"/>
    </row>
    <row r="197" spans="11:19" x14ac:dyDescent="0.25">
      <c r="K197" s="58"/>
      <c r="L197" s="59"/>
      <c r="M197" s="54"/>
      <c r="N197" s="55"/>
      <c r="P197" s="58"/>
      <c r="Q197" s="59"/>
      <c r="R197" s="54"/>
      <c r="S197" s="55"/>
    </row>
    <row r="198" spans="11:19" x14ac:dyDescent="0.25">
      <c r="K198" s="58"/>
      <c r="L198" s="59"/>
      <c r="M198" s="54"/>
      <c r="N198" s="55"/>
      <c r="P198" s="58"/>
      <c r="Q198" s="59"/>
      <c r="R198" s="54"/>
      <c r="S198" s="55"/>
    </row>
    <row r="199" spans="11:19" x14ac:dyDescent="0.25">
      <c r="K199" s="58"/>
      <c r="L199" s="59"/>
      <c r="M199" s="54"/>
      <c r="N199" s="55"/>
      <c r="P199" s="58"/>
      <c r="Q199" s="59"/>
      <c r="R199" s="54"/>
      <c r="S199" s="55"/>
    </row>
    <row r="200" spans="11:19" x14ac:dyDescent="0.25">
      <c r="K200" s="58"/>
      <c r="L200" s="59"/>
      <c r="M200" s="54"/>
      <c r="N200" s="55"/>
      <c r="P200" s="58"/>
      <c r="Q200" s="59"/>
      <c r="R200" s="54"/>
      <c r="S200" s="55"/>
    </row>
    <row r="201" spans="11:19" x14ac:dyDescent="0.25">
      <c r="K201" s="58"/>
      <c r="L201" s="59"/>
      <c r="M201" s="54"/>
      <c r="N201" s="55"/>
      <c r="P201" s="58"/>
      <c r="Q201" s="59"/>
      <c r="R201" s="54"/>
      <c r="S201" s="55"/>
    </row>
    <row r="202" spans="11:19" x14ac:dyDescent="0.25">
      <c r="K202" s="58"/>
      <c r="L202" s="59"/>
      <c r="M202" s="54"/>
      <c r="N202" s="55"/>
      <c r="P202" s="58"/>
      <c r="Q202" s="59"/>
      <c r="R202" s="54"/>
      <c r="S202" s="55"/>
    </row>
    <row r="203" spans="11:19" x14ac:dyDescent="0.25">
      <c r="K203" s="58"/>
      <c r="L203" s="59"/>
      <c r="M203" s="54"/>
      <c r="N203" s="55"/>
      <c r="P203" s="58"/>
      <c r="Q203" s="59"/>
      <c r="R203" s="54"/>
      <c r="S203" s="55"/>
    </row>
    <row r="204" spans="11:19" x14ac:dyDescent="0.25">
      <c r="K204" s="58"/>
      <c r="L204" s="59"/>
      <c r="M204" s="54"/>
      <c r="N204" s="55"/>
      <c r="P204" s="58"/>
      <c r="Q204" s="59"/>
      <c r="R204" s="54"/>
      <c r="S204" s="55"/>
    </row>
    <row r="205" spans="11:19" x14ac:dyDescent="0.25">
      <c r="K205" s="58"/>
      <c r="L205" s="59"/>
      <c r="M205" s="54"/>
      <c r="N205" s="55"/>
      <c r="P205" s="58"/>
      <c r="Q205" s="59"/>
      <c r="R205" s="54"/>
      <c r="S205" s="55"/>
    </row>
    <row r="206" spans="11:19" x14ac:dyDescent="0.25">
      <c r="K206" s="58"/>
      <c r="L206" s="59"/>
      <c r="M206" s="54"/>
      <c r="N206" s="55"/>
      <c r="P206" s="58"/>
      <c r="Q206" s="59"/>
      <c r="R206" s="54"/>
      <c r="S206" s="55"/>
    </row>
    <row r="207" spans="11:19" x14ac:dyDescent="0.25">
      <c r="K207" s="58"/>
      <c r="L207" s="59"/>
      <c r="M207" s="54"/>
      <c r="N207" s="55"/>
      <c r="P207" s="58"/>
      <c r="Q207" s="59"/>
      <c r="R207" s="54"/>
      <c r="S207" s="55"/>
    </row>
    <row r="208" spans="11:19" x14ac:dyDescent="0.25">
      <c r="K208" s="58"/>
      <c r="L208" s="59"/>
      <c r="M208" s="54"/>
      <c r="N208" s="55"/>
      <c r="P208" s="58"/>
      <c r="Q208" s="59"/>
      <c r="R208" s="54"/>
      <c r="S208" s="55"/>
    </row>
    <row r="209" spans="11:19" x14ac:dyDescent="0.25">
      <c r="K209" s="58"/>
      <c r="L209" s="59"/>
      <c r="M209" s="54"/>
      <c r="N209" s="55"/>
      <c r="P209" s="58"/>
      <c r="Q209" s="59"/>
      <c r="R209" s="54"/>
      <c r="S209" s="55"/>
    </row>
    <row r="210" spans="11:19" x14ac:dyDescent="0.25">
      <c r="K210" s="58"/>
      <c r="L210" s="59"/>
      <c r="M210" s="54"/>
      <c r="N210" s="55"/>
      <c r="P210" s="58"/>
      <c r="Q210" s="59"/>
      <c r="R210" s="54"/>
      <c r="S210" s="55"/>
    </row>
    <row r="211" spans="11:19" x14ac:dyDescent="0.25">
      <c r="K211" s="58"/>
      <c r="L211" s="59"/>
      <c r="M211" s="54"/>
      <c r="N211" s="55"/>
      <c r="P211" s="58"/>
      <c r="Q211" s="59"/>
      <c r="R211" s="54"/>
      <c r="S211" s="55"/>
    </row>
    <row r="212" spans="11:19" x14ac:dyDescent="0.25">
      <c r="K212" s="58"/>
      <c r="L212" s="59"/>
      <c r="M212" s="54"/>
      <c r="N212" s="55"/>
      <c r="P212" s="58"/>
      <c r="Q212" s="59"/>
      <c r="R212" s="54"/>
      <c r="S212" s="55"/>
    </row>
    <row r="213" spans="11:19" x14ac:dyDescent="0.25">
      <c r="K213" s="58"/>
      <c r="L213" s="59"/>
      <c r="M213" s="54"/>
      <c r="N213" s="55"/>
      <c r="P213" s="58"/>
      <c r="Q213" s="59"/>
      <c r="R213" s="54"/>
      <c r="S213" s="55"/>
    </row>
    <row r="214" spans="11:19" x14ac:dyDescent="0.25">
      <c r="K214" s="58"/>
      <c r="L214" s="59"/>
      <c r="M214" s="54"/>
      <c r="N214" s="55"/>
      <c r="P214" s="58"/>
      <c r="Q214" s="59"/>
      <c r="R214" s="54"/>
      <c r="S214" s="55"/>
    </row>
    <row r="215" spans="11:19" x14ac:dyDescent="0.25">
      <c r="K215" s="58"/>
      <c r="L215" s="59"/>
      <c r="M215" s="54"/>
      <c r="N215" s="55"/>
      <c r="P215" s="58"/>
      <c r="Q215" s="59"/>
      <c r="R215" s="54"/>
      <c r="S215" s="55"/>
    </row>
    <row r="216" spans="11:19" x14ac:dyDescent="0.25">
      <c r="K216" s="58"/>
      <c r="L216" s="59"/>
      <c r="M216" s="54"/>
      <c r="N216" s="55"/>
      <c r="P216" s="58"/>
      <c r="Q216" s="59"/>
      <c r="R216" s="54"/>
      <c r="S216" s="55"/>
    </row>
    <row r="217" spans="11:19" x14ac:dyDescent="0.25">
      <c r="K217" s="58"/>
      <c r="L217" s="59"/>
      <c r="M217" s="54"/>
      <c r="N217" s="55"/>
      <c r="P217" s="58"/>
      <c r="Q217" s="59"/>
      <c r="R217" s="54"/>
      <c r="S217" s="55"/>
    </row>
    <row r="218" spans="11:19" x14ac:dyDescent="0.25">
      <c r="K218" s="58"/>
      <c r="L218" s="59"/>
      <c r="M218" s="54"/>
      <c r="N218" s="55"/>
      <c r="P218" s="58"/>
      <c r="Q218" s="59"/>
      <c r="R218" s="54"/>
      <c r="S218" s="55"/>
    </row>
    <row r="219" spans="11:19" x14ac:dyDescent="0.25">
      <c r="K219" s="58"/>
      <c r="L219" s="59"/>
      <c r="M219" s="54"/>
      <c r="N219" s="55"/>
      <c r="P219" s="58"/>
      <c r="Q219" s="59"/>
      <c r="R219" s="54"/>
      <c r="S219" s="55"/>
    </row>
    <row r="220" spans="11:19" x14ac:dyDescent="0.25">
      <c r="K220" s="58"/>
      <c r="L220" s="59"/>
      <c r="M220" s="54"/>
      <c r="N220" s="55"/>
      <c r="P220" s="58"/>
      <c r="Q220" s="59"/>
      <c r="R220" s="54"/>
      <c r="S220" s="55"/>
    </row>
    <row r="221" spans="11:19" x14ac:dyDescent="0.25">
      <c r="K221" s="58"/>
      <c r="L221" s="59"/>
      <c r="M221" s="54"/>
      <c r="N221" s="55"/>
      <c r="P221" s="58"/>
      <c r="Q221" s="59"/>
      <c r="R221" s="54"/>
      <c r="S221" s="55"/>
    </row>
    <row r="222" spans="11:19" x14ac:dyDescent="0.25">
      <c r="K222" s="58"/>
      <c r="L222" s="59"/>
      <c r="M222" s="54"/>
      <c r="N222" s="55"/>
      <c r="P222" s="58"/>
      <c r="Q222" s="59"/>
      <c r="R222" s="54"/>
      <c r="S222" s="55"/>
    </row>
    <row r="223" spans="11:19" x14ac:dyDescent="0.25">
      <c r="K223" s="58"/>
      <c r="L223" s="59"/>
      <c r="M223" s="54"/>
      <c r="N223" s="55"/>
      <c r="P223" s="58"/>
      <c r="Q223" s="59"/>
      <c r="R223" s="54"/>
      <c r="S223" s="55"/>
    </row>
    <row r="224" spans="11:19" x14ac:dyDescent="0.25">
      <c r="K224" s="58"/>
      <c r="L224" s="59"/>
      <c r="M224" s="54"/>
      <c r="N224" s="55"/>
      <c r="P224" s="58"/>
      <c r="Q224" s="59"/>
      <c r="R224" s="54"/>
      <c r="S224" s="55"/>
    </row>
    <row r="225" spans="11:19" x14ac:dyDescent="0.25">
      <c r="K225" s="58"/>
      <c r="L225" s="59"/>
      <c r="M225" s="54"/>
      <c r="N225" s="55"/>
      <c r="P225" s="58"/>
      <c r="Q225" s="59"/>
      <c r="R225" s="54"/>
      <c r="S225" s="55"/>
    </row>
    <row r="226" spans="11:19" x14ac:dyDescent="0.25">
      <c r="K226" s="58"/>
      <c r="L226" s="59"/>
      <c r="M226" s="54"/>
      <c r="N226" s="55"/>
      <c r="P226" s="58"/>
      <c r="Q226" s="59"/>
      <c r="R226" s="54"/>
      <c r="S226" s="55"/>
    </row>
    <row r="227" spans="11:19" x14ac:dyDescent="0.25">
      <c r="K227" s="58"/>
      <c r="L227" s="59"/>
      <c r="M227" s="54"/>
      <c r="N227" s="55"/>
      <c r="P227" s="58"/>
      <c r="Q227" s="59"/>
      <c r="R227" s="54"/>
      <c r="S227" s="55"/>
    </row>
    <row r="228" spans="11:19" x14ac:dyDescent="0.25">
      <c r="K228" s="58"/>
      <c r="L228" s="59"/>
      <c r="M228" s="54"/>
      <c r="N228" s="55"/>
      <c r="P228" s="58"/>
      <c r="Q228" s="59"/>
      <c r="R228" s="54"/>
      <c r="S228" s="55"/>
    </row>
    <row r="229" spans="11:19" x14ac:dyDescent="0.25">
      <c r="K229" s="58"/>
      <c r="L229" s="59"/>
      <c r="M229" s="54"/>
      <c r="N229" s="55"/>
      <c r="P229" s="58"/>
      <c r="Q229" s="59"/>
      <c r="R229" s="54"/>
      <c r="S229" s="55"/>
    </row>
    <row r="230" spans="11:19" x14ac:dyDescent="0.25">
      <c r="K230" s="58"/>
      <c r="L230" s="59"/>
      <c r="M230" s="54"/>
      <c r="N230" s="55"/>
      <c r="P230" s="58"/>
      <c r="Q230" s="59"/>
      <c r="R230" s="54"/>
      <c r="S230" s="55"/>
    </row>
    <row r="231" spans="11:19" x14ac:dyDescent="0.25">
      <c r="K231" s="58"/>
      <c r="L231" s="59"/>
      <c r="M231" s="54"/>
      <c r="N231" s="55"/>
      <c r="P231" s="58"/>
      <c r="Q231" s="59"/>
      <c r="R231" s="54"/>
      <c r="S231" s="55"/>
    </row>
    <row r="232" spans="11:19" x14ac:dyDescent="0.25">
      <c r="K232" s="58"/>
      <c r="L232" s="59"/>
      <c r="M232" s="54"/>
      <c r="N232" s="55"/>
      <c r="P232" s="58"/>
      <c r="Q232" s="59"/>
      <c r="R232" s="54"/>
      <c r="S232" s="55"/>
    </row>
    <row r="233" spans="11:19" x14ac:dyDescent="0.25">
      <c r="K233" s="58"/>
      <c r="L233" s="59"/>
      <c r="M233" s="54"/>
      <c r="N233" s="55"/>
      <c r="P233" s="58"/>
      <c r="Q233" s="59"/>
      <c r="R233" s="54"/>
      <c r="S233" s="55"/>
    </row>
    <row r="234" spans="11:19" x14ac:dyDescent="0.25">
      <c r="K234" s="58"/>
      <c r="L234" s="59"/>
      <c r="M234" s="54"/>
      <c r="N234" s="55"/>
      <c r="P234" s="58"/>
      <c r="Q234" s="59"/>
      <c r="R234" s="54"/>
      <c r="S234" s="55"/>
    </row>
    <row r="235" spans="11:19" x14ac:dyDescent="0.25">
      <c r="K235" s="58"/>
      <c r="L235" s="59"/>
      <c r="M235" s="54"/>
      <c r="N235" s="55"/>
      <c r="P235" s="58"/>
      <c r="Q235" s="59"/>
      <c r="R235" s="54"/>
      <c r="S235" s="55"/>
    </row>
    <row r="236" spans="11:19" x14ac:dyDescent="0.25">
      <c r="K236" s="58"/>
      <c r="L236" s="59"/>
      <c r="M236" s="54"/>
      <c r="N236" s="55"/>
      <c r="P236" s="58"/>
      <c r="Q236" s="59"/>
      <c r="R236" s="54"/>
      <c r="S236" s="55"/>
    </row>
    <row r="237" spans="11:19" x14ac:dyDescent="0.25">
      <c r="K237" s="58"/>
      <c r="L237" s="59"/>
      <c r="M237" s="54"/>
      <c r="N237" s="55"/>
      <c r="P237" s="58"/>
      <c r="Q237" s="59"/>
      <c r="R237" s="54"/>
      <c r="S237" s="55"/>
    </row>
    <row r="238" spans="11:19" x14ac:dyDescent="0.25">
      <c r="K238" s="58"/>
      <c r="L238" s="59"/>
      <c r="M238" s="54"/>
      <c r="N238" s="55"/>
      <c r="P238" s="58"/>
      <c r="Q238" s="59"/>
      <c r="R238" s="54"/>
      <c r="S238" s="55"/>
    </row>
    <row r="239" spans="11:19" x14ac:dyDescent="0.25">
      <c r="K239" s="58"/>
      <c r="L239" s="59"/>
      <c r="M239" s="54"/>
      <c r="N239" s="55"/>
      <c r="P239" s="58"/>
      <c r="Q239" s="59"/>
      <c r="R239" s="54"/>
      <c r="S239" s="55"/>
    </row>
    <row r="240" spans="11:19" x14ac:dyDescent="0.25">
      <c r="K240" s="58"/>
      <c r="L240" s="59"/>
      <c r="M240" s="54"/>
      <c r="N240" s="55"/>
      <c r="P240" s="58"/>
      <c r="Q240" s="59"/>
      <c r="R240" s="54"/>
      <c r="S240" s="55"/>
    </row>
    <row r="241" spans="11:19" x14ac:dyDescent="0.25">
      <c r="K241" s="58"/>
      <c r="L241" s="59"/>
      <c r="M241" s="54"/>
      <c r="N241" s="55"/>
      <c r="P241" s="58"/>
      <c r="Q241" s="59"/>
      <c r="R241" s="54"/>
      <c r="S241" s="55"/>
    </row>
    <row r="242" spans="11:19" x14ac:dyDescent="0.25">
      <c r="K242" s="58"/>
      <c r="L242" s="59"/>
      <c r="M242" s="54"/>
      <c r="N242" s="55"/>
      <c r="P242" s="58"/>
      <c r="Q242" s="59"/>
      <c r="R242" s="54"/>
      <c r="S242" s="55"/>
    </row>
    <row r="243" spans="11:19" x14ac:dyDescent="0.25">
      <c r="K243" s="58"/>
      <c r="L243" s="59"/>
      <c r="M243" s="54"/>
      <c r="N243" s="55"/>
      <c r="P243" s="58"/>
      <c r="Q243" s="59"/>
      <c r="R243" s="54"/>
      <c r="S243" s="55"/>
    </row>
    <row r="244" spans="11:19" x14ac:dyDescent="0.25">
      <c r="K244" s="58"/>
      <c r="L244" s="59"/>
      <c r="M244" s="54"/>
      <c r="N244" s="55"/>
      <c r="P244" s="58"/>
      <c r="Q244" s="59"/>
      <c r="R244" s="54"/>
      <c r="S244" s="55"/>
    </row>
    <row r="245" spans="11:19" x14ac:dyDescent="0.25">
      <c r="K245" s="58"/>
      <c r="L245" s="59"/>
      <c r="M245" s="54"/>
      <c r="N245" s="55"/>
      <c r="P245" s="58"/>
      <c r="Q245" s="59"/>
      <c r="R245" s="54"/>
      <c r="S245" s="55"/>
    </row>
    <row r="246" spans="11:19" x14ac:dyDescent="0.25">
      <c r="K246" s="58"/>
      <c r="L246" s="59"/>
      <c r="M246" s="54"/>
      <c r="N246" s="55"/>
      <c r="P246" s="58"/>
      <c r="Q246" s="59"/>
      <c r="R246" s="54"/>
      <c r="S246" s="55"/>
    </row>
    <row r="247" spans="11:19" x14ac:dyDescent="0.25">
      <c r="K247" s="58"/>
      <c r="L247" s="59"/>
      <c r="M247" s="54"/>
      <c r="N247" s="55"/>
      <c r="P247" s="58"/>
      <c r="Q247" s="59"/>
      <c r="R247" s="54"/>
      <c r="S247" s="55"/>
    </row>
    <row r="248" spans="11:19" x14ac:dyDescent="0.25">
      <c r="K248" s="58"/>
      <c r="L248" s="59"/>
      <c r="M248" s="54"/>
      <c r="N248" s="55"/>
      <c r="P248" s="58"/>
      <c r="Q248" s="59"/>
      <c r="R248" s="54"/>
      <c r="S248" s="55"/>
    </row>
    <row r="249" spans="11:19" x14ac:dyDescent="0.25">
      <c r="K249" s="58"/>
      <c r="L249" s="59"/>
      <c r="M249" s="54"/>
      <c r="N249" s="55"/>
      <c r="P249" s="58"/>
      <c r="Q249" s="59"/>
      <c r="R249" s="54"/>
      <c r="S249" s="55"/>
    </row>
    <row r="250" spans="11:19" x14ac:dyDescent="0.25">
      <c r="K250" s="58"/>
      <c r="L250" s="59"/>
      <c r="M250" s="54"/>
      <c r="N250" s="55"/>
      <c r="P250" s="58"/>
      <c r="Q250" s="59"/>
      <c r="R250" s="54"/>
      <c r="S250" s="55"/>
    </row>
    <row r="251" spans="11:19" x14ac:dyDescent="0.25">
      <c r="K251" s="58"/>
      <c r="L251" s="59"/>
      <c r="M251" s="54"/>
      <c r="N251" s="55"/>
      <c r="P251" s="58"/>
      <c r="Q251" s="59"/>
      <c r="R251" s="54"/>
      <c r="S251" s="55"/>
    </row>
    <row r="252" spans="11:19" x14ac:dyDescent="0.25">
      <c r="K252" s="58"/>
      <c r="L252" s="59"/>
      <c r="M252" s="54"/>
      <c r="N252" s="55"/>
      <c r="P252" s="58"/>
      <c r="Q252" s="59"/>
      <c r="R252" s="54"/>
      <c r="S252" s="55"/>
    </row>
    <row r="253" spans="11:19" x14ac:dyDescent="0.25">
      <c r="K253" s="58"/>
      <c r="L253" s="59"/>
      <c r="M253" s="54"/>
      <c r="N253" s="55"/>
      <c r="P253" s="58"/>
      <c r="Q253" s="59"/>
      <c r="R253" s="54"/>
      <c r="S253" s="55"/>
    </row>
    <row r="254" spans="11:19" x14ac:dyDescent="0.25">
      <c r="K254" s="58"/>
      <c r="L254" s="59"/>
      <c r="M254" s="54"/>
      <c r="N254" s="55"/>
      <c r="P254" s="58"/>
      <c r="Q254" s="59"/>
      <c r="R254" s="54"/>
      <c r="S254" s="55"/>
    </row>
    <row r="255" spans="11:19" x14ac:dyDescent="0.25">
      <c r="K255" s="58"/>
      <c r="L255" s="59"/>
      <c r="M255" s="54"/>
      <c r="N255" s="55"/>
      <c r="P255" s="58"/>
      <c r="Q255" s="59"/>
      <c r="R255" s="54"/>
      <c r="S255" s="55"/>
    </row>
    <row r="256" spans="11:19" x14ac:dyDescent="0.25">
      <c r="K256" s="58"/>
      <c r="L256" s="59"/>
      <c r="M256" s="54"/>
      <c r="N256" s="55"/>
      <c r="P256" s="58"/>
      <c r="Q256" s="59"/>
      <c r="R256" s="54"/>
      <c r="S256" s="55"/>
    </row>
    <row r="257" spans="11:19" x14ac:dyDescent="0.25">
      <c r="K257" s="58"/>
      <c r="L257" s="59"/>
      <c r="M257" s="54"/>
      <c r="N257" s="55"/>
      <c r="P257" s="58"/>
      <c r="Q257" s="59"/>
      <c r="R257" s="54"/>
      <c r="S257" s="55"/>
    </row>
    <row r="258" spans="11:19" x14ac:dyDescent="0.25">
      <c r="K258" s="58"/>
      <c r="L258" s="59"/>
      <c r="M258" s="54"/>
      <c r="N258" s="55"/>
      <c r="P258" s="58"/>
      <c r="Q258" s="59"/>
      <c r="R258" s="54"/>
      <c r="S258" s="55"/>
    </row>
    <row r="259" spans="11:19" x14ac:dyDescent="0.25">
      <c r="K259" s="58"/>
      <c r="L259" s="59"/>
      <c r="M259" s="54"/>
      <c r="N259" s="55"/>
      <c r="P259" s="58"/>
      <c r="Q259" s="59"/>
      <c r="R259" s="54"/>
      <c r="S259" s="55"/>
    </row>
    <row r="260" spans="11:19" x14ac:dyDescent="0.25">
      <c r="K260" s="58"/>
      <c r="L260" s="59"/>
      <c r="M260" s="54"/>
      <c r="N260" s="55"/>
      <c r="P260" s="58"/>
      <c r="Q260" s="59"/>
      <c r="R260" s="54"/>
      <c r="S260" s="55"/>
    </row>
    <row r="261" spans="11:19" x14ac:dyDescent="0.25">
      <c r="K261" s="58"/>
      <c r="L261" s="59"/>
      <c r="M261" s="54"/>
      <c r="N261" s="55"/>
      <c r="P261" s="58"/>
      <c r="Q261" s="59"/>
      <c r="R261" s="54"/>
      <c r="S261" s="55"/>
    </row>
    <row r="262" spans="11:19" x14ac:dyDescent="0.25">
      <c r="K262" s="58"/>
      <c r="L262" s="59"/>
      <c r="M262" s="54"/>
      <c r="N262" s="55"/>
      <c r="P262" s="58"/>
      <c r="Q262" s="59"/>
      <c r="R262" s="54"/>
      <c r="S262" s="55"/>
    </row>
    <row r="263" spans="11:19" x14ac:dyDescent="0.25">
      <c r="K263" s="58"/>
      <c r="L263" s="59"/>
      <c r="M263" s="54"/>
      <c r="N263" s="55"/>
      <c r="P263" s="58"/>
      <c r="Q263" s="59"/>
      <c r="R263" s="54"/>
      <c r="S263" s="55"/>
    </row>
    <row r="264" spans="11:19" x14ac:dyDescent="0.25">
      <c r="K264" s="58"/>
      <c r="L264" s="59"/>
      <c r="M264" s="54"/>
      <c r="N264" s="55"/>
      <c r="P264" s="58"/>
      <c r="Q264" s="59"/>
      <c r="R264" s="54"/>
      <c r="S264" s="55"/>
    </row>
    <row r="265" spans="11:19" x14ac:dyDescent="0.25">
      <c r="K265" s="58"/>
      <c r="L265" s="59"/>
      <c r="M265" s="54"/>
      <c r="N265" s="55"/>
      <c r="P265" s="58"/>
      <c r="Q265" s="59"/>
      <c r="R265" s="54"/>
      <c r="S265" s="55"/>
    </row>
    <row r="266" spans="11:19" x14ac:dyDescent="0.25">
      <c r="K266" s="58"/>
      <c r="L266" s="59"/>
      <c r="M266" s="54"/>
      <c r="N266" s="55"/>
      <c r="P266" s="58"/>
      <c r="Q266" s="59"/>
      <c r="R266" s="54"/>
      <c r="S266" s="55"/>
    </row>
    <row r="267" spans="11:19" x14ac:dyDescent="0.25">
      <c r="K267" s="58"/>
      <c r="L267" s="59"/>
      <c r="M267" s="54"/>
      <c r="N267" s="55"/>
      <c r="P267" s="58"/>
      <c r="Q267" s="59"/>
      <c r="R267" s="54"/>
      <c r="S267" s="55"/>
    </row>
    <row r="268" spans="11:19" x14ac:dyDescent="0.25">
      <c r="K268" s="58"/>
      <c r="L268" s="59"/>
      <c r="M268" s="54"/>
      <c r="N268" s="55"/>
      <c r="P268" s="58"/>
      <c r="Q268" s="59"/>
      <c r="R268" s="54"/>
      <c r="S268" s="55"/>
    </row>
    <row r="269" spans="11:19" x14ac:dyDescent="0.25">
      <c r="K269" s="58"/>
      <c r="L269" s="59"/>
      <c r="M269" s="54"/>
      <c r="N269" s="55"/>
      <c r="P269" s="58"/>
      <c r="Q269" s="59"/>
      <c r="R269" s="54"/>
      <c r="S269" s="55"/>
    </row>
    <row r="270" spans="11:19" x14ac:dyDescent="0.25">
      <c r="K270" s="58"/>
      <c r="L270" s="59"/>
      <c r="M270" s="54"/>
      <c r="N270" s="55"/>
      <c r="P270" s="58"/>
      <c r="Q270" s="59"/>
      <c r="R270" s="54"/>
      <c r="S270" s="55"/>
    </row>
    <row r="271" spans="11:19" x14ac:dyDescent="0.25">
      <c r="K271" s="58"/>
      <c r="L271" s="59"/>
      <c r="M271" s="54"/>
      <c r="N271" s="55"/>
      <c r="P271" s="58"/>
      <c r="Q271" s="59"/>
      <c r="R271" s="54"/>
      <c r="S271" s="55"/>
    </row>
    <row r="272" spans="11:19" x14ac:dyDescent="0.25">
      <c r="K272" s="58"/>
      <c r="L272" s="59"/>
      <c r="M272" s="54"/>
      <c r="N272" s="55"/>
      <c r="P272" s="58"/>
      <c r="Q272" s="59"/>
      <c r="R272" s="54"/>
      <c r="S272" s="55"/>
    </row>
    <row r="273" spans="11:19" x14ac:dyDescent="0.25">
      <c r="K273" s="58"/>
      <c r="L273" s="59"/>
      <c r="M273" s="54"/>
      <c r="N273" s="55"/>
      <c r="P273" s="58"/>
      <c r="Q273" s="59"/>
      <c r="R273" s="54"/>
      <c r="S273" s="55"/>
    </row>
    <row r="274" spans="11:19" x14ac:dyDescent="0.25">
      <c r="K274" s="58"/>
      <c r="L274" s="59"/>
      <c r="M274" s="54"/>
      <c r="N274" s="55"/>
      <c r="P274" s="58"/>
      <c r="Q274" s="59"/>
      <c r="R274" s="54"/>
      <c r="S274" s="55"/>
    </row>
    <row r="275" spans="11:19" x14ac:dyDescent="0.25">
      <c r="K275" s="58"/>
      <c r="L275" s="59"/>
      <c r="M275" s="54"/>
      <c r="N275" s="55"/>
      <c r="P275" s="58"/>
      <c r="Q275" s="59"/>
      <c r="R275" s="54"/>
      <c r="S275" s="55"/>
    </row>
    <row r="276" spans="11:19" x14ac:dyDescent="0.25">
      <c r="K276" s="58"/>
      <c r="L276" s="59"/>
      <c r="M276" s="54"/>
      <c r="N276" s="55"/>
      <c r="P276" s="58"/>
      <c r="Q276" s="59"/>
      <c r="R276" s="54"/>
      <c r="S276" s="55"/>
    </row>
    <row r="277" spans="11:19" x14ac:dyDescent="0.25">
      <c r="K277" s="58"/>
      <c r="L277" s="59"/>
      <c r="M277" s="54"/>
      <c r="N277" s="55"/>
      <c r="P277" s="58"/>
      <c r="Q277" s="59"/>
      <c r="R277" s="54"/>
      <c r="S277" s="55"/>
    </row>
    <row r="278" spans="11:19" x14ac:dyDescent="0.25">
      <c r="K278" s="58"/>
      <c r="L278" s="59"/>
      <c r="M278" s="54"/>
      <c r="N278" s="55"/>
      <c r="P278" s="58"/>
      <c r="Q278" s="59"/>
      <c r="R278" s="54"/>
      <c r="S278" s="55"/>
    </row>
    <row r="279" spans="11:19" x14ac:dyDescent="0.25">
      <c r="K279" s="58"/>
      <c r="L279" s="59"/>
      <c r="M279" s="54"/>
      <c r="N279" s="55"/>
      <c r="P279" s="58"/>
      <c r="Q279" s="59"/>
      <c r="R279" s="54"/>
      <c r="S279" s="55"/>
    </row>
    <row r="280" spans="11:19" x14ac:dyDescent="0.25">
      <c r="K280" s="58"/>
      <c r="L280" s="59"/>
      <c r="M280" s="54"/>
      <c r="N280" s="55"/>
      <c r="P280" s="58"/>
      <c r="Q280" s="59"/>
      <c r="R280" s="54"/>
      <c r="S280" s="55"/>
    </row>
    <row r="281" spans="11:19" x14ac:dyDescent="0.25">
      <c r="K281" s="58"/>
      <c r="L281" s="59"/>
      <c r="M281" s="54"/>
      <c r="N281" s="55"/>
      <c r="P281" s="58"/>
      <c r="Q281" s="59"/>
      <c r="R281" s="54"/>
      <c r="S281" s="55"/>
    </row>
    <row r="282" spans="11:19" x14ac:dyDescent="0.25">
      <c r="K282" s="58"/>
      <c r="L282" s="59"/>
      <c r="M282" s="54"/>
      <c r="N282" s="55"/>
      <c r="P282" s="58"/>
      <c r="Q282" s="59"/>
      <c r="R282" s="54"/>
      <c r="S282" s="55"/>
    </row>
    <row r="283" spans="11:19" x14ac:dyDescent="0.25">
      <c r="K283" s="58"/>
      <c r="L283" s="59"/>
      <c r="M283" s="54"/>
      <c r="N283" s="55"/>
      <c r="P283" s="58"/>
      <c r="Q283" s="59"/>
      <c r="R283" s="54"/>
      <c r="S283" s="55"/>
    </row>
    <row r="284" spans="11:19" x14ac:dyDescent="0.25">
      <c r="K284" s="58"/>
      <c r="L284" s="59"/>
      <c r="M284" s="54"/>
      <c r="N284" s="55"/>
      <c r="P284" s="58"/>
      <c r="Q284" s="59"/>
      <c r="R284" s="54"/>
      <c r="S284" s="55"/>
    </row>
    <row r="285" spans="11:19" x14ac:dyDescent="0.25">
      <c r="K285" s="58"/>
      <c r="L285" s="59"/>
      <c r="M285" s="54"/>
      <c r="N285" s="55"/>
      <c r="P285" s="58"/>
      <c r="Q285" s="59"/>
      <c r="R285" s="54"/>
      <c r="S285" s="55"/>
    </row>
    <row r="286" spans="11:19" x14ac:dyDescent="0.25">
      <c r="K286" s="58"/>
      <c r="L286" s="59"/>
      <c r="M286" s="54"/>
      <c r="N286" s="55"/>
      <c r="P286" s="58"/>
      <c r="Q286" s="59"/>
      <c r="R286" s="54"/>
      <c r="S286" s="55"/>
    </row>
    <row r="287" spans="11:19" x14ac:dyDescent="0.25">
      <c r="K287" s="58"/>
      <c r="L287" s="59"/>
      <c r="M287" s="54"/>
      <c r="N287" s="55"/>
      <c r="P287" s="58"/>
      <c r="Q287" s="59"/>
      <c r="R287" s="54"/>
      <c r="S287" s="55"/>
    </row>
    <row r="288" spans="11:19" x14ac:dyDescent="0.25">
      <c r="K288" s="58"/>
      <c r="L288" s="59"/>
      <c r="M288" s="54"/>
      <c r="N288" s="55"/>
      <c r="P288" s="58"/>
      <c r="Q288" s="59"/>
      <c r="R288" s="54"/>
      <c r="S288" s="55"/>
    </row>
    <row r="289" spans="11:19" x14ac:dyDescent="0.25">
      <c r="K289" s="58"/>
      <c r="L289" s="59"/>
      <c r="M289" s="54"/>
      <c r="N289" s="55"/>
      <c r="P289" s="58"/>
      <c r="Q289" s="59"/>
      <c r="R289" s="54"/>
      <c r="S289" s="55"/>
    </row>
    <row r="290" spans="11:19" x14ac:dyDescent="0.25">
      <c r="K290" s="58"/>
      <c r="L290" s="59"/>
      <c r="M290" s="54"/>
      <c r="N290" s="55"/>
      <c r="P290" s="58"/>
      <c r="Q290" s="59"/>
      <c r="R290" s="54"/>
      <c r="S290" s="55"/>
    </row>
    <row r="291" spans="11:19" x14ac:dyDescent="0.25">
      <c r="K291" s="58"/>
      <c r="L291" s="59"/>
      <c r="M291" s="54"/>
      <c r="N291" s="55"/>
      <c r="P291" s="58"/>
      <c r="Q291" s="59"/>
      <c r="R291" s="54"/>
      <c r="S291" s="55"/>
    </row>
    <row r="292" spans="11:19" x14ac:dyDescent="0.25">
      <c r="K292" s="58"/>
      <c r="L292" s="59"/>
      <c r="M292" s="54"/>
      <c r="N292" s="55"/>
      <c r="P292" s="58"/>
      <c r="Q292" s="59"/>
      <c r="R292" s="54"/>
      <c r="S292" s="55"/>
    </row>
    <row r="293" spans="11:19" x14ac:dyDescent="0.25">
      <c r="K293" s="58"/>
      <c r="L293" s="59"/>
      <c r="M293" s="54"/>
      <c r="N293" s="55"/>
      <c r="P293" s="58"/>
      <c r="Q293" s="59"/>
      <c r="R293" s="54"/>
      <c r="S293" s="55"/>
    </row>
    <row r="294" spans="11:19" x14ac:dyDescent="0.25">
      <c r="K294" s="58"/>
      <c r="L294" s="59"/>
      <c r="M294" s="54"/>
      <c r="N294" s="55"/>
      <c r="P294" s="58"/>
      <c r="Q294" s="59"/>
      <c r="R294" s="54"/>
      <c r="S294" s="55"/>
    </row>
    <row r="295" spans="11:19" x14ac:dyDescent="0.25">
      <c r="K295" s="58"/>
      <c r="L295" s="59"/>
      <c r="M295" s="54"/>
      <c r="N295" s="55"/>
      <c r="P295" s="58"/>
      <c r="Q295" s="59"/>
      <c r="R295" s="54"/>
      <c r="S295" s="55"/>
    </row>
    <row r="296" spans="11:19" x14ac:dyDescent="0.25">
      <c r="K296" s="58"/>
      <c r="L296" s="59"/>
      <c r="M296" s="54"/>
      <c r="N296" s="55"/>
      <c r="P296" s="58"/>
      <c r="Q296" s="59"/>
      <c r="R296" s="54"/>
      <c r="S296" s="55"/>
    </row>
    <row r="297" spans="11:19" x14ac:dyDescent="0.25">
      <c r="K297" s="58"/>
      <c r="L297" s="59"/>
      <c r="M297" s="54"/>
      <c r="N297" s="55"/>
      <c r="P297" s="58"/>
      <c r="Q297" s="59"/>
      <c r="R297" s="54"/>
      <c r="S297" s="55"/>
    </row>
    <row r="298" spans="11:19" x14ac:dyDescent="0.25">
      <c r="K298" s="58"/>
      <c r="L298" s="59"/>
      <c r="M298" s="54"/>
      <c r="N298" s="55"/>
      <c r="P298" s="58"/>
      <c r="Q298" s="59"/>
      <c r="R298" s="54"/>
      <c r="S298" s="55"/>
    </row>
    <row r="299" spans="11:19" x14ac:dyDescent="0.25">
      <c r="K299" s="58"/>
      <c r="L299" s="59"/>
      <c r="M299" s="54"/>
      <c r="N299" s="55"/>
      <c r="P299" s="58"/>
      <c r="Q299" s="59"/>
      <c r="R299" s="54"/>
      <c r="S299" s="55"/>
    </row>
    <row r="300" spans="11:19" x14ac:dyDescent="0.25">
      <c r="K300" s="58"/>
      <c r="L300" s="59"/>
      <c r="M300" s="54"/>
      <c r="N300" s="55"/>
      <c r="P300" s="58"/>
      <c r="Q300" s="59"/>
      <c r="R300" s="54"/>
      <c r="S300" s="55"/>
    </row>
    <row r="301" spans="11:19" x14ac:dyDescent="0.25">
      <c r="K301" s="58"/>
      <c r="L301" s="59"/>
      <c r="M301" s="54"/>
      <c r="N301" s="55"/>
      <c r="P301" s="58"/>
      <c r="Q301" s="59"/>
      <c r="R301" s="54"/>
      <c r="S301" s="55"/>
    </row>
    <row r="302" spans="11:19" x14ac:dyDescent="0.25">
      <c r="K302" s="58"/>
      <c r="L302" s="59"/>
      <c r="M302" s="54"/>
      <c r="N302" s="55"/>
      <c r="P302" s="58"/>
      <c r="Q302" s="59"/>
      <c r="R302" s="54"/>
      <c r="S302" s="55"/>
    </row>
    <row r="303" spans="11:19" x14ac:dyDescent="0.25">
      <c r="K303" s="58"/>
      <c r="L303" s="59"/>
      <c r="M303" s="54"/>
      <c r="N303" s="55"/>
      <c r="P303" s="58"/>
      <c r="Q303" s="59"/>
      <c r="R303" s="54"/>
      <c r="S303" s="55"/>
    </row>
    <row r="304" spans="11:19" x14ac:dyDescent="0.25">
      <c r="K304" s="58"/>
      <c r="L304" s="59"/>
      <c r="M304" s="54"/>
      <c r="N304" s="55"/>
      <c r="P304" s="58"/>
      <c r="Q304" s="59"/>
      <c r="R304" s="54"/>
      <c r="S304" s="55"/>
    </row>
    <row r="305" spans="11:19" x14ac:dyDescent="0.25">
      <c r="K305" s="58"/>
      <c r="L305" s="59"/>
      <c r="M305" s="54"/>
      <c r="N305" s="55"/>
      <c r="P305" s="58"/>
      <c r="Q305" s="59"/>
      <c r="R305" s="54"/>
      <c r="S305" s="55"/>
    </row>
    <row r="306" spans="11:19" x14ac:dyDescent="0.25">
      <c r="K306" s="58"/>
      <c r="L306" s="59"/>
      <c r="M306" s="54"/>
      <c r="N306" s="55"/>
      <c r="P306" s="58"/>
      <c r="Q306" s="59"/>
      <c r="R306" s="54"/>
      <c r="S306" s="55"/>
    </row>
    <row r="307" spans="11:19" x14ac:dyDescent="0.25">
      <c r="K307" s="58"/>
      <c r="L307" s="59"/>
      <c r="M307" s="54"/>
      <c r="N307" s="55"/>
      <c r="P307" s="58"/>
      <c r="Q307" s="59"/>
      <c r="R307" s="54"/>
      <c r="S307" s="55"/>
    </row>
    <row r="308" spans="11:19" x14ac:dyDescent="0.25">
      <c r="K308" s="58"/>
      <c r="L308" s="59"/>
      <c r="M308" s="54"/>
      <c r="N308" s="55"/>
      <c r="P308" s="58"/>
      <c r="Q308" s="59"/>
      <c r="R308" s="54"/>
      <c r="S308" s="55"/>
    </row>
    <row r="309" spans="11:19" x14ac:dyDescent="0.25">
      <c r="K309" s="58"/>
      <c r="L309" s="59"/>
      <c r="M309" s="54"/>
      <c r="N309" s="55"/>
      <c r="P309" s="58"/>
      <c r="Q309" s="59"/>
      <c r="R309" s="54"/>
      <c r="S309" s="55"/>
    </row>
    <row r="310" spans="11:19" x14ac:dyDescent="0.25">
      <c r="K310" s="58"/>
      <c r="L310" s="59"/>
      <c r="M310" s="54"/>
      <c r="N310" s="55"/>
      <c r="P310" s="58"/>
      <c r="Q310" s="59"/>
      <c r="R310" s="54"/>
      <c r="S310" s="55"/>
    </row>
    <row r="311" spans="11:19" x14ac:dyDescent="0.25">
      <c r="K311" s="58"/>
      <c r="L311" s="59"/>
      <c r="M311" s="54"/>
      <c r="N311" s="55"/>
      <c r="P311" s="58"/>
      <c r="Q311" s="59"/>
      <c r="R311" s="54"/>
      <c r="S311" s="55"/>
    </row>
    <row r="312" spans="11:19" x14ac:dyDescent="0.25">
      <c r="K312" s="58"/>
      <c r="L312" s="59"/>
      <c r="M312" s="54"/>
      <c r="N312" s="55"/>
      <c r="P312" s="58"/>
      <c r="Q312" s="59"/>
      <c r="R312" s="54"/>
      <c r="S312" s="55"/>
    </row>
    <row r="313" spans="11:19" x14ac:dyDescent="0.25">
      <c r="K313" s="58"/>
      <c r="L313" s="59"/>
      <c r="M313" s="54"/>
      <c r="N313" s="55"/>
      <c r="P313" s="58"/>
      <c r="Q313" s="59"/>
      <c r="R313" s="54"/>
      <c r="S313" s="55"/>
    </row>
    <row r="314" spans="11:19" x14ac:dyDescent="0.25">
      <c r="K314" s="58"/>
      <c r="L314" s="59"/>
      <c r="M314" s="54"/>
      <c r="N314" s="55"/>
      <c r="P314" s="58"/>
      <c r="Q314" s="59"/>
      <c r="R314" s="54"/>
      <c r="S314" s="55"/>
    </row>
    <row r="315" spans="11:19" x14ac:dyDescent="0.25">
      <c r="K315" s="58"/>
      <c r="L315" s="59"/>
      <c r="M315" s="54"/>
      <c r="N315" s="55"/>
      <c r="P315" s="58"/>
      <c r="Q315" s="59"/>
      <c r="R315" s="54"/>
      <c r="S315" s="55"/>
    </row>
    <row r="316" spans="11:19" x14ac:dyDescent="0.25">
      <c r="K316" s="58"/>
      <c r="L316" s="59"/>
      <c r="M316" s="54"/>
      <c r="N316" s="55"/>
      <c r="P316" s="58"/>
      <c r="Q316" s="59"/>
      <c r="R316" s="54"/>
      <c r="S316" s="55"/>
    </row>
    <row r="317" spans="11:19" x14ac:dyDescent="0.25">
      <c r="K317" s="58"/>
      <c r="L317" s="59"/>
      <c r="M317" s="54"/>
      <c r="N317" s="55"/>
      <c r="P317" s="58"/>
      <c r="Q317" s="59"/>
      <c r="R317" s="54"/>
      <c r="S317" s="55"/>
    </row>
    <row r="318" spans="11:19" x14ac:dyDescent="0.25">
      <c r="K318" s="58"/>
      <c r="L318" s="59"/>
      <c r="M318" s="54"/>
      <c r="N318" s="55"/>
      <c r="P318" s="58"/>
      <c r="Q318" s="59"/>
      <c r="R318" s="54"/>
      <c r="S318" s="55"/>
    </row>
    <row r="319" spans="11:19" x14ac:dyDescent="0.25">
      <c r="K319" s="58"/>
      <c r="L319" s="59"/>
      <c r="M319" s="54"/>
      <c r="N319" s="55"/>
      <c r="P319" s="58"/>
      <c r="Q319" s="59"/>
      <c r="R319" s="54"/>
      <c r="S319" s="55"/>
    </row>
    <row r="320" spans="11:19" x14ac:dyDescent="0.25">
      <c r="K320" s="58"/>
      <c r="L320" s="59"/>
      <c r="M320" s="54"/>
      <c r="N320" s="55"/>
      <c r="P320" s="58"/>
      <c r="Q320" s="59"/>
      <c r="R320" s="54"/>
      <c r="S320" s="55"/>
    </row>
    <row r="321" spans="11:19" x14ac:dyDescent="0.25">
      <c r="K321" s="58"/>
      <c r="L321" s="59"/>
      <c r="M321" s="54"/>
      <c r="N321" s="55"/>
      <c r="P321" s="58"/>
      <c r="Q321" s="59"/>
      <c r="R321" s="54"/>
      <c r="S321" s="55"/>
    </row>
    <row r="322" spans="11:19" x14ac:dyDescent="0.25">
      <c r="K322" s="58"/>
      <c r="L322" s="59"/>
      <c r="M322" s="54"/>
      <c r="N322" s="55"/>
      <c r="P322" s="58"/>
      <c r="Q322" s="59"/>
      <c r="R322" s="54"/>
      <c r="S322" s="55"/>
    </row>
    <row r="323" spans="11:19" x14ac:dyDescent="0.25">
      <c r="K323" s="58"/>
      <c r="L323" s="59"/>
      <c r="M323" s="54"/>
      <c r="N323" s="55"/>
      <c r="P323" s="58"/>
      <c r="Q323" s="59"/>
      <c r="R323" s="54"/>
      <c r="S323" s="55"/>
    </row>
    <row r="324" spans="11:19" x14ac:dyDescent="0.25">
      <c r="K324" s="58"/>
      <c r="L324" s="59"/>
      <c r="M324" s="54"/>
      <c r="N324" s="55"/>
      <c r="P324" s="58"/>
      <c r="Q324" s="59"/>
      <c r="R324" s="54"/>
      <c r="S324" s="55"/>
    </row>
    <row r="325" spans="11:19" x14ac:dyDescent="0.25">
      <c r="K325" s="58"/>
      <c r="L325" s="59"/>
      <c r="M325" s="54"/>
      <c r="N325" s="55"/>
      <c r="P325" s="58"/>
      <c r="Q325" s="59"/>
      <c r="R325" s="54"/>
      <c r="S325" s="55"/>
    </row>
    <row r="326" spans="11:19" x14ac:dyDescent="0.25">
      <c r="K326" s="58"/>
      <c r="L326" s="59"/>
      <c r="M326" s="54"/>
      <c r="N326" s="55"/>
      <c r="P326" s="58"/>
      <c r="Q326" s="59"/>
      <c r="R326" s="54"/>
      <c r="S326" s="55"/>
    </row>
    <row r="327" spans="11:19" x14ac:dyDescent="0.25">
      <c r="K327" s="58"/>
      <c r="L327" s="59"/>
      <c r="M327" s="54"/>
      <c r="N327" s="55"/>
      <c r="P327" s="58"/>
      <c r="Q327" s="59"/>
      <c r="R327" s="54"/>
      <c r="S327" s="55"/>
    </row>
    <row r="328" spans="11:19" x14ac:dyDescent="0.25">
      <c r="K328" s="58"/>
      <c r="L328" s="59"/>
      <c r="M328" s="54"/>
      <c r="N328" s="55"/>
      <c r="P328" s="58"/>
      <c r="Q328" s="59"/>
      <c r="R328" s="54"/>
      <c r="S328" s="55"/>
    </row>
    <row r="329" spans="11:19" x14ac:dyDescent="0.25">
      <c r="K329" s="58"/>
      <c r="L329" s="59"/>
      <c r="M329" s="54"/>
      <c r="N329" s="55"/>
      <c r="P329" s="58"/>
      <c r="Q329" s="59"/>
      <c r="R329" s="54"/>
      <c r="S329" s="55"/>
    </row>
    <row r="330" spans="11:19" x14ac:dyDescent="0.25">
      <c r="K330" s="58"/>
      <c r="L330" s="59"/>
      <c r="M330" s="54"/>
      <c r="N330" s="55"/>
      <c r="P330" s="58"/>
      <c r="Q330" s="59"/>
      <c r="R330" s="54"/>
      <c r="S330" s="55"/>
    </row>
    <row r="331" spans="11:19" x14ac:dyDescent="0.25">
      <c r="K331" s="58"/>
      <c r="L331" s="59"/>
      <c r="M331" s="54"/>
      <c r="N331" s="55"/>
      <c r="P331" s="58"/>
      <c r="Q331" s="59"/>
      <c r="R331" s="54"/>
      <c r="S331" s="55"/>
    </row>
    <row r="332" spans="11:19" x14ac:dyDescent="0.25">
      <c r="K332" s="58"/>
      <c r="L332" s="59"/>
      <c r="M332" s="54"/>
      <c r="N332" s="55"/>
      <c r="P332" s="58"/>
      <c r="Q332" s="59"/>
      <c r="R332" s="54"/>
      <c r="S332" s="55"/>
    </row>
    <row r="333" spans="11:19" x14ac:dyDescent="0.25">
      <c r="K333" s="58"/>
      <c r="L333" s="59"/>
      <c r="M333" s="54"/>
      <c r="N333" s="55"/>
      <c r="P333" s="58"/>
      <c r="Q333" s="59"/>
      <c r="R333" s="54"/>
      <c r="S333" s="55"/>
    </row>
    <row r="334" spans="11:19" x14ac:dyDescent="0.25">
      <c r="K334" s="58"/>
      <c r="L334" s="59"/>
      <c r="M334" s="54"/>
      <c r="N334" s="55"/>
      <c r="P334" s="58"/>
      <c r="Q334" s="59"/>
      <c r="R334" s="54"/>
      <c r="S334" s="55"/>
    </row>
    <row r="335" spans="11:19" x14ac:dyDescent="0.25">
      <c r="K335" s="58"/>
      <c r="L335" s="59"/>
      <c r="M335" s="54"/>
      <c r="N335" s="55"/>
      <c r="P335" s="58"/>
      <c r="Q335" s="59"/>
      <c r="R335" s="54"/>
      <c r="S335" s="55"/>
    </row>
    <row r="336" spans="11:19" x14ac:dyDescent="0.25">
      <c r="K336" s="58"/>
      <c r="L336" s="59"/>
      <c r="M336" s="54"/>
      <c r="N336" s="55"/>
      <c r="P336" s="58"/>
      <c r="Q336" s="59"/>
      <c r="R336" s="54"/>
      <c r="S336" s="55"/>
    </row>
    <row r="337" spans="11:19" x14ac:dyDescent="0.25">
      <c r="K337" s="58"/>
      <c r="L337" s="59"/>
      <c r="M337" s="54"/>
      <c r="N337" s="55"/>
      <c r="P337" s="58"/>
      <c r="Q337" s="59"/>
      <c r="R337" s="54"/>
      <c r="S337" s="55"/>
    </row>
    <row r="338" spans="11:19" x14ac:dyDescent="0.25">
      <c r="K338" s="58"/>
      <c r="L338" s="59"/>
      <c r="M338" s="54"/>
      <c r="N338" s="55"/>
      <c r="P338" s="58"/>
      <c r="Q338" s="59"/>
      <c r="R338" s="54"/>
      <c r="S338" s="55"/>
    </row>
    <row r="339" spans="11:19" x14ac:dyDescent="0.25">
      <c r="K339" s="58"/>
      <c r="L339" s="59"/>
      <c r="M339" s="54"/>
      <c r="N339" s="55"/>
      <c r="P339" s="58"/>
      <c r="Q339" s="59"/>
      <c r="R339" s="54"/>
      <c r="S339" s="55"/>
    </row>
    <row r="340" spans="11:19" x14ac:dyDescent="0.25">
      <c r="K340" s="58"/>
      <c r="L340" s="59"/>
      <c r="M340" s="54"/>
      <c r="N340" s="55"/>
      <c r="P340" s="58"/>
      <c r="Q340" s="59"/>
      <c r="R340" s="54"/>
      <c r="S340" s="55"/>
    </row>
    <row r="341" spans="11:19" x14ac:dyDescent="0.25">
      <c r="K341" s="58"/>
      <c r="L341" s="59"/>
      <c r="M341" s="54"/>
      <c r="N341" s="55"/>
      <c r="P341" s="58"/>
      <c r="Q341" s="59"/>
      <c r="R341" s="54"/>
      <c r="S341" s="55"/>
    </row>
    <row r="342" spans="11:19" x14ac:dyDescent="0.25">
      <c r="K342" s="58"/>
      <c r="L342" s="59"/>
      <c r="M342" s="54"/>
      <c r="N342" s="55"/>
      <c r="P342" s="58"/>
      <c r="Q342" s="59"/>
      <c r="R342" s="54"/>
      <c r="S342" s="55"/>
    </row>
    <row r="343" spans="11:19" x14ac:dyDescent="0.25">
      <c r="K343" s="58"/>
      <c r="L343" s="59"/>
      <c r="M343" s="54"/>
      <c r="N343" s="55"/>
      <c r="P343" s="58"/>
      <c r="Q343" s="59"/>
      <c r="R343" s="54"/>
      <c r="S343" s="55"/>
    </row>
    <row r="344" spans="11:19" x14ac:dyDescent="0.25">
      <c r="K344" s="58"/>
      <c r="L344" s="59"/>
      <c r="M344" s="54"/>
      <c r="N344" s="55"/>
      <c r="P344" s="58"/>
      <c r="Q344" s="59"/>
      <c r="R344" s="54"/>
      <c r="S344" s="55"/>
    </row>
    <row r="345" spans="11:19" x14ac:dyDescent="0.25">
      <c r="K345" s="58"/>
      <c r="L345" s="59"/>
      <c r="M345" s="54"/>
      <c r="N345" s="55"/>
      <c r="P345" s="58"/>
      <c r="Q345" s="59"/>
      <c r="R345" s="54"/>
      <c r="S345" s="55"/>
    </row>
    <row r="346" spans="11:19" x14ac:dyDescent="0.25">
      <c r="K346" s="58"/>
      <c r="L346" s="59"/>
      <c r="M346" s="54"/>
      <c r="N346" s="55"/>
      <c r="P346" s="58"/>
      <c r="Q346" s="59"/>
      <c r="R346" s="54"/>
      <c r="S346" s="55"/>
    </row>
    <row r="347" spans="11:19" x14ac:dyDescent="0.25">
      <c r="K347" s="58"/>
      <c r="L347" s="59"/>
      <c r="M347" s="54"/>
      <c r="N347" s="55"/>
      <c r="P347" s="58"/>
      <c r="Q347" s="59"/>
      <c r="R347" s="54"/>
      <c r="S347" s="55"/>
    </row>
    <row r="348" spans="11:19" ht="15.75" thickBot="1" x14ac:dyDescent="0.3">
      <c r="K348" s="60"/>
      <c r="L348" s="61"/>
      <c r="M348" s="56"/>
      <c r="N348" s="57"/>
      <c r="P348" s="60"/>
      <c r="Q348" s="61"/>
      <c r="R348" s="56"/>
      <c r="S348" s="57"/>
    </row>
  </sheetData>
  <mergeCells count="4">
    <mergeCell ref="A8:D8"/>
    <mergeCell ref="F8:I8"/>
    <mergeCell ref="K8:N8"/>
    <mergeCell ref="P8:S8"/>
  </mergeCells>
  <conditionalFormatting sqref="G3">
    <cfRule type="cellIs" dxfId="39" priority="5" operator="greaterThan">
      <formula>$J$4</formula>
    </cfRule>
  </conditionalFormatting>
  <conditionalFormatting sqref="T5">
    <cfRule type="cellIs" dxfId="38" priority="1" operator="greaterThan">
      <formula>$T$6</formula>
    </cfRule>
    <cfRule type="cellIs" dxfId="37" priority="4" operator="lessThan">
      <formula>$T$6</formula>
    </cfRule>
  </conditionalFormatting>
  <conditionalFormatting sqref="T6">
    <cfRule type="cellIs" dxfId="36" priority="2" operator="greaterThan">
      <formula>$T$5</formula>
    </cfRule>
    <cfRule type="cellIs" dxfId="35" priority="3" operator="lessThan">
      <formula>$T$5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3C919B-B514-4FF6-A1C3-6807A8A2A05E}">
  <sheetPr codeName="Sheet8"/>
  <dimension ref="A1:K57"/>
  <sheetViews>
    <sheetView workbookViewId="0">
      <selection activeCell="G13" sqref="G13"/>
    </sheetView>
  </sheetViews>
  <sheetFormatPr baseColWidth="10" defaultColWidth="9.140625" defaultRowHeight="15" x14ac:dyDescent="0.25"/>
  <cols>
    <col min="3" max="3" width="13.5703125" bestFit="1" customWidth="1"/>
    <col min="4" max="4" width="11.140625" bestFit="1" customWidth="1"/>
    <col min="8" max="8" width="13.5703125" bestFit="1" customWidth="1"/>
    <col min="9" max="9" width="11.140625" bestFit="1" customWidth="1"/>
    <col min="11" max="11" width="12.140625" bestFit="1" customWidth="1"/>
  </cols>
  <sheetData>
    <row r="1" spans="1:11" ht="15.75" thickBot="1" x14ac:dyDescent="0.3">
      <c r="A1" s="113" t="s">
        <v>20</v>
      </c>
      <c r="B1" s="114"/>
      <c r="C1" s="114"/>
      <c r="D1" s="115"/>
      <c r="F1" s="113" t="s">
        <v>21</v>
      </c>
      <c r="G1" s="114"/>
      <c r="H1" s="114"/>
      <c r="I1" s="115"/>
    </row>
    <row r="2" spans="1:11" ht="15.75" thickBot="1" x14ac:dyDescent="0.3">
      <c r="A2" s="32" t="s">
        <v>22</v>
      </c>
      <c r="B2" s="33" t="s">
        <v>9</v>
      </c>
      <c r="C2" s="33" t="s">
        <v>7</v>
      </c>
      <c r="D2" s="34" t="s">
        <v>23</v>
      </c>
      <c r="E2" s="31"/>
      <c r="F2" s="35" t="s">
        <v>22</v>
      </c>
      <c r="G2" s="36" t="s">
        <v>9</v>
      </c>
      <c r="H2" s="36" t="s">
        <v>7</v>
      </c>
      <c r="I2" s="37" t="s">
        <v>23</v>
      </c>
    </row>
    <row r="3" spans="1:11" x14ac:dyDescent="0.25">
      <c r="A3" s="38">
        <v>99</v>
      </c>
      <c r="B3" s="39">
        <v>30.326086956521738</v>
      </c>
      <c r="C3" s="40">
        <v>891762</v>
      </c>
      <c r="D3" s="41">
        <v>29405.772043010755</v>
      </c>
      <c r="E3">
        <v>1</v>
      </c>
      <c r="F3" s="42">
        <v>31</v>
      </c>
      <c r="G3" s="43">
        <v>33.41317365269461</v>
      </c>
      <c r="H3" s="44">
        <v>828146</v>
      </c>
      <c r="I3" s="45">
        <v>24785.014695340502</v>
      </c>
      <c r="J3">
        <v>1</v>
      </c>
    </row>
    <row r="4" spans="1:11" x14ac:dyDescent="0.25">
      <c r="A4" s="46">
        <v>22</v>
      </c>
      <c r="B4" s="39">
        <v>30.326086956521738</v>
      </c>
      <c r="C4" s="47">
        <v>787867</v>
      </c>
      <c r="D4" s="41">
        <v>25979.843727598567</v>
      </c>
      <c r="E4">
        <v>1</v>
      </c>
      <c r="F4" s="48">
        <v>95</v>
      </c>
      <c r="G4" s="43">
        <v>33.41317365269461</v>
      </c>
      <c r="H4" s="49">
        <v>778683</v>
      </c>
      <c r="I4" s="45">
        <v>23304.670430107526</v>
      </c>
      <c r="J4">
        <v>1</v>
      </c>
    </row>
    <row r="5" spans="1:11" x14ac:dyDescent="0.25">
      <c r="A5" s="46">
        <v>83</v>
      </c>
      <c r="B5" s="39">
        <v>30.326086956521738</v>
      </c>
      <c r="C5" s="47">
        <v>776669</v>
      </c>
      <c r="D5" s="41">
        <v>25610.590681003585</v>
      </c>
      <c r="E5">
        <v>1</v>
      </c>
      <c r="F5" s="48">
        <v>32</v>
      </c>
      <c r="G5" s="43">
        <v>33.41317365269461</v>
      </c>
      <c r="H5" s="49">
        <v>742165</v>
      </c>
      <c r="I5" s="45">
        <v>22211.748207885306</v>
      </c>
      <c r="J5">
        <v>1</v>
      </c>
    </row>
    <row r="6" spans="1:11" x14ac:dyDescent="0.25">
      <c r="A6" s="46">
        <v>57</v>
      </c>
      <c r="B6" s="39">
        <v>30.326086956521738</v>
      </c>
      <c r="C6" s="47">
        <v>764937</v>
      </c>
      <c r="D6" s="41">
        <v>25223.729032258067</v>
      </c>
      <c r="E6">
        <v>1</v>
      </c>
      <c r="F6" s="48">
        <v>86</v>
      </c>
      <c r="G6" s="43">
        <v>33.41317365269461</v>
      </c>
      <c r="H6" s="49">
        <v>708838</v>
      </c>
      <c r="I6" s="45">
        <v>21214.327240143371</v>
      </c>
      <c r="J6">
        <v>1</v>
      </c>
    </row>
    <row r="7" spans="1:11" x14ac:dyDescent="0.25">
      <c r="A7" s="46">
        <v>33</v>
      </c>
      <c r="B7" s="39">
        <v>30.326086956521738</v>
      </c>
      <c r="C7" s="47">
        <v>739492</v>
      </c>
      <c r="D7" s="41">
        <v>24384.682437275987</v>
      </c>
      <c r="E7">
        <v>1</v>
      </c>
      <c r="F7" s="48">
        <v>44</v>
      </c>
      <c r="G7" s="43">
        <v>33.41317365269461</v>
      </c>
      <c r="H7" s="49">
        <v>644475</v>
      </c>
      <c r="I7" s="45">
        <v>19288.051075268817</v>
      </c>
      <c r="J7">
        <v>1</v>
      </c>
    </row>
    <row r="8" spans="1:11" x14ac:dyDescent="0.25">
      <c r="A8" s="46">
        <v>34</v>
      </c>
      <c r="B8" s="39">
        <v>30.326086956521738</v>
      </c>
      <c r="C8" s="47">
        <v>706466</v>
      </c>
      <c r="D8" s="41">
        <v>23295.653046594984</v>
      </c>
      <c r="E8">
        <v>1</v>
      </c>
      <c r="F8" s="48">
        <v>43</v>
      </c>
      <c r="G8" s="43">
        <v>33.41317365269461</v>
      </c>
      <c r="H8" s="49">
        <v>600711</v>
      </c>
      <c r="I8" s="45">
        <v>17978.268279569893</v>
      </c>
      <c r="J8">
        <v>1.0000000000000007</v>
      </c>
    </row>
    <row r="9" spans="1:11" x14ac:dyDescent="0.25">
      <c r="A9" s="50">
        <v>54</v>
      </c>
      <c r="B9" s="70">
        <v>30.326086956521738</v>
      </c>
      <c r="C9" s="51">
        <v>704680</v>
      </c>
      <c r="D9" s="71">
        <v>23236.759856630826</v>
      </c>
      <c r="E9">
        <v>0</v>
      </c>
      <c r="F9" s="48">
        <v>54</v>
      </c>
      <c r="G9" s="43">
        <v>33.41317365269461</v>
      </c>
      <c r="H9" s="49">
        <v>600526</v>
      </c>
      <c r="I9" s="45">
        <v>17972.73154121864</v>
      </c>
      <c r="J9">
        <v>1</v>
      </c>
      <c r="K9" s="23"/>
    </row>
    <row r="10" spans="1:11" x14ac:dyDescent="0.25">
      <c r="A10" s="46">
        <v>46</v>
      </c>
      <c r="B10" s="39">
        <v>30.326086956521738</v>
      </c>
      <c r="C10" s="47">
        <v>647685</v>
      </c>
      <c r="D10" s="41">
        <v>21357.354838709678</v>
      </c>
      <c r="E10">
        <v>1</v>
      </c>
      <c r="F10" s="50">
        <v>33</v>
      </c>
      <c r="G10" s="70">
        <v>33.41317365269461</v>
      </c>
      <c r="H10" s="51">
        <v>533105</v>
      </c>
      <c r="I10" s="71">
        <v>15954.934587813621</v>
      </c>
      <c r="J10">
        <v>0</v>
      </c>
      <c r="K10" s="85">
        <f>H10-H16+C12*(1-E12)+C13*E12-C7</f>
        <v>45007.666666666628</v>
      </c>
    </row>
    <row r="11" spans="1:11" x14ac:dyDescent="0.25">
      <c r="A11" s="46">
        <v>35</v>
      </c>
      <c r="B11" s="39">
        <v>30.326086956521738</v>
      </c>
      <c r="C11" s="47">
        <v>520964</v>
      </c>
      <c r="D11" s="41">
        <v>17178.741218637992</v>
      </c>
      <c r="E11">
        <v>1</v>
      </c>
      <c r="F11" s="48">
        <v>29</v>
      </c>
      <c r="G11" s="43">
        <v>33.41317365269461</v>
      </c>
      <c r="H11" s="49">
        <v>466819</v>
      </c>
      <c r="I11" s="45">
        <v>13971.106272401434</v>
      </c>
      <c r="J11">
        <v>1</v>
      </c>
    </row>
    <row r="12" spans="1:11" x14ac:dyDescent="0.25">
      <c r="A12" s="52">
        <v>28</v>
      </c>
      <c r="B12" s="72">
        <v>30.326086956521738</v>
      </c>
      <c r="C12" s="53">
        <v>485282</v>
      </c>
      <c r="D12" s="73">
        <v>16002.130465949822</v>
      </c>
      <c r="E12">
        <v>0.66666666666666785</v>
      </c>
      <c r="F12" s="48">
        <v>39</v>
      </c>
      <c r="G12" s="43">
        <v>33.41317365269461</v>
      </c>
      <c r="H12" s="49">
        <v>443533</v>
      </c>
      <c r="I12" s="45">
        <v>13274.195519713261</v>
      </c>
      <c r="J12">
        <v>1</v>
      </c>
    </row>
    <row r="13" spans="1:11" x14ac:dyDescent="0.25">
      <c r="A13" s="58">
        <v>25</v>
      </c>
      <c r="B13" s="68">
        <v>30.326086956521738</v>
      </c>
      <c r="C13" s="54">
        <v>428682</v>
      </c>
      <c r="D13" s="69">
        <v>14135.750537634409</v>
      </c>
      <c r="F13" s="48">
        <v>85</v>
      </c>
      <c r="G13" s="43">
        <v>33.41317365269461</v>
      </c>
      <c r="H13" s="49">
        <v>400656</v>
      </c>
      <c r="I13" s="45">
        <v>11990.959139784947</v>
      </c>
      <c r="J13">
        <v>1</v>
      </c>
    </row>
    <row r="14" spans="1:11" x14ac:dyDescent="0.25">
      <c r="A14" s="58">
        <v>53</v>
      </c>
      <c r="B14" s="68">
        <v>30.326086956521738</v>
      </c>
      <c r="C14" s="54">
        <v>427876</v>
      </c>
      <c r="D14" s="69">
        <v>14109.17275985663</v>
      </c>
      <c r="F14" s="48">
        <v>51</v>
      </c>
      <c r="G14" s="43">
        <v>33.41317365269461</v>
      </c>
      <c r="H14" s="49">
        <v>295735</v>
      </c>
      <c r="I14" s="45">
        <v>8850.8503584229402</v>
      </c>
      <c r="J14">
        <v>1</v>
      </c>
    </row>
    <row r="15" spans="1:11" x14ac:dyDescent="0.25">
      <c r="A15" s="58">
        <v>30</v>
      </c>
      <c r="B15" s="68">
        <v>30.326086956521738</v>
      </c>
      <c r="C15" s="54">
        <v>412457</v>
      </c>
      <c r="D15" s="69">
        <v>13600.732616487456</v>
      </c>
      <c r="F15" s="48">
        <v>84</v>
      </c>
      <c r="G15" s="43">
        <v>33.41317365269461</v>
      </c>
      <c r="H15" s="49">
        <v>277116</v>
      </c>
      <c r="I15" s="45">
        <v>8293.6150537634403</v>
      </c>
      <c r="J15">
        <v>1</v>
      </c>
    </row>
    <row r="16" spans="1:11" x14ac:dyDescent="0.25">
      <c r="A16" s="58">
        <v>45</v>
      </c>
      <c r="B16" s="68">
        <v>30.326086956521738</v>
      </c>
      <c r="C16" s="54">
        <v>411553</v>
      </c>
      <c r="D16" s="69">
        <v>13570.923297491039</v>
      </c>
      <c r="F16" s="48">
        <v>100</v>
      </c>
      <c r="G16" s="43">
        <v>33.41317365269461</v>
      </c>
      <c r="H16" s="49">
        <v>196154</v>
      </c>
      <c r="I16" s="45">
        <v>5870.5587813620077</v>
      </c>
      <c r="J16">
        <v>1</v>
      </c>
    </row>
    <row r="17" spans="1:9" x14ac:dyDescent="0.25">
      <c r="A17" s="50">
        <v>43</v>
      </c>
      <c r="B17" s="70">
        <v>30.326086956521738</v>
      </c>
      <c r="C17" s="51">
        <v>287718</v>
      </c>
      <c r="D17" s="71">
        <v>9487.4752688172048</v>
      </c>
      <c r="E17">
        <v>0</v>
      </c>
      <c r="F17" s="58">
        <v>56</v>
      </c>
      <c r="G17" s="68">
        <v>33.41317365269461</v>
      </c>
      <c r="H17" s="54">
        <v>175558</v>
      </c>
      <c r="I17" s="69">
        <v>5254.1551971326162</v>
      </c>
    </row>
    <row r="18" spans="1:9" x14ac:dyDescent="0.25">
      <c r="A18" s="58">
        <v>47</v>
      </c>
      <c r="B18" s="68">
        <v>30.326086956521738</v>
      </c>
      <c r="C18" s="54">
        <v>244892</v>
      </c>
      <c r="D18" s="69">
        <v>8075.2917562724015</v>
      </c>
      <c r="F18" s="58">
        <v>24</v>
      </c>
      <c r="G18" s="68">
        <v>33.41317365269461</v>
      </c>
      <c r="H18" s="54">
        <v>71007</v>
      </c>
      <c r="I18" s="69">
        <v>2125.1198924731184</v>
      </c>
    </row>
    <row r="19" spans="1:9" x14ac:dyDescent="0.25">
      <c r="A19" s="58">
        <v>27</v>
      </c>
      <c r="B19" s="68">
        <v>30.326086956521738</v>
      </c>
      <c r="C19" s="54">
        <v>217246</v>
      </c>
      <c r="D19" s="69">
        <v>7163.6673835125448</v>
      </c>
      <c r="F19" s="58">
        <v>94</v>
      </c>
      <c r="G19" s="68">
        <v>33.41317365269461</v>
      </c>
      <c r="H19" s="54">
        <v>48569</v>
      </c>
      <c r="I19" s="69">
        <v>1453.5883512544804</v>
      </c>
    </row>
    <row r="20" spans="1:9" x14ac:dyDescent="0.25">
      <c r="A20" s="58">
        <v>98</v>
      </c>
      <c r="B20" s="68">
        <v>30.326086956521738</v>
      </c>
      <c r="C20" s="54">
        <v>186371</v>
      </c>
      <c r="D20" s="69">
        <v>6145.5670250896055</v>
      </c>
      <c r="F20" s="58">
        <v>98</v>
      </c>
      <c r="G20" s="68">
        <v>33.41317365269461</v>
      </c>
      <c r="H20" s="54">
        <v>42432</v>
      </c>
      <c r="I20" s="69">
        <v>1269.9182795698925</v>
      </c>
    </row>
    <row r="21" spans="1:9" x14ac:dyDescent="0.25">
      <c r="A21" s="58">
        <v>82</v>
      </c>
      <c r="B21" s="68">
        <v>30.326086956521738</v>
      </c>
      <c r="C21" s="54">
        <v>157735</v>
      </c>
      <c r="D21" s="69">
        <v>5201.2974910394269</v>
      </c>
      <c r="F21" s="58">
        <v>79</v>
      </c>
      <c r="G21" s="68">
        <v>33.41317365269461</v>
      </c>
      <c r="H21" s="54">
        <v>-17472</v>
      </c>
      <c r="I21" s="69">
        <v>-522.9075268817204</v>
      </c>
    </row>
    <row r="22" spans="1:9" x14ac:dyDescent="0.25">
      <c r="A22" s="50">
        <v>39</v>
      </c>
      <c r="B22" s="70">
        <v>30.326086956521738</v>
      </c>
      <c r="C22" s="51">
        <v>75371</v>
      </c>
      <c r="D22" s="71">
        <v>2485.3519713261649</v>
      </c>
      <c r="E22">
        <v>0</v>
      </c>
      <c r="F22" s="58">
        <v>30</v>
      </c>
      <c r="G22" s="68">
        <v>33.41317365269461</v>
      </c>
      <c r="H22" s="54">
        <v>-18899</v>
      </c>
      <c r="I22" s="69">
        <v>-565.61523297491044</v>
      </c>
    </row>
    <row r="23" spans="1:9" x14ac:dyDescent="0.25">
      <c r="A23" s="58">
        <v>79</v>
      </c>
      <c r="B23" s="68">
        <v>30.326086956521738</v>
      </c>
      <c r="C23" s="54">
        <v>42924</v>
      </c>
      <c r="D23" s="69">
        <v>1415.4150537634409</v>
      </c>
      <c r="F23" s="50">
        <v>99</v>
      </c>
      <c r="G23" s="70">
        <v>33.41317365269461</v>
      </c>
      <c r="H23" s="51">
        <v>-53380</v>
      </c>
      <c r="I23" s="71">
        <v>-1597.573476702509</v>
      </c>
    </row>
    <row r="24" spans="1:9" x14ac:dyDescent="0.25">
      <c r="A24" s="58">
        <v>49</v>
      </c>
      <c r="B24" s="68">
        <v>30.326086956521738</v>
      </c>
      <c r="C24" s="54">
        <v>-35135</v>
      </c>
      <c r="D24" s="69">
        <v>-1158.573476702509</v>
      </c>
      <c r="F24" s="58">
        <v>76</v>
      </c>
      <c r="G24" s="68">
        <v>33.41317365269461</v>
      </c>
      <c r="H24" s="54">
        <v>-134133</v>
      </c>
      <c r="I24" s="69">
        <v>-4014.3747311827956</v>
      </c>
    </row>
    <row r="25" spans="1:9" x14ac:dyDescent="0.25">
      <c r="A25" s="50">
        <v>86</v>
      </c>
      <c r="B25" s="70">
        <v>30.326086956521738</v>
      </c>
      <c r="C25" s="51">
        <v>-36114</v>
      </c>
      <c r="D25" s="71">
        <v>-1190.8559139784948</v>
      </c>
      <c r="E25">
        <v>0</v>
      </c>
      <c r="F25" s="58">
        <v>27</v>
      </c>
      <c r="G25" s="68">
        <v>33.41317365269461</v>
      </c>
      <c r="H25" s="54">
        <v>-237585</v>
      </c>
      <c r="I25" s="69">
        <v>-7110.5188172043008</v>
      </c>
    </row>
    <row r="26" spans="1:9" x14ac:dyDescent="0.25">
      <c r="A26" s="50">
        <v>95</v>
      </c>
      <c r="B26" s="70">
        <v>30.326086956521738</v>
      </c>
      <c r="C26" s="51">
        <v>-117870</v>
      </c>
      <c r="D26" s="71">
        <v>-3886.7526881720432</v>
      </c>
      <c r="E26">
        <v>0</v>
      </c>
      <c r="F26" s="58">
        <v>49</v>
      </c>
      <c r="G26" s="68">
        <v>33.41317365269461</v>
      </c>
      <c r="H26" s="54">
        <v>-320509</v>
      </c>
      <c r="I26" s="69">
        <v>-9592.2944444444438</v>
      </c>
    </row>
    <row r="27" spans="1:9" x14ac:dyDescent="0.25">
      <c r="A27" s="58">
        <v>42</v>
      </c>
      <c r="B27" s="68">
        <v>30.326086956521738</v>
      </c>
      <c r="C27" s="54">
        <v>-137859</v>
      </c>
      <c r="D27" s="69">
        <v>-4545.8881720430109</v>
      </c>
      <c r="F27" s="58">
        <v>47</v>
      </c>
      <c r="G27" s="68">
        <v>33.41317365269461</v>
      </c>
      <c r="H27" s="54">
        <v>-338573</v>
      </c>
      <c r="I27" s="69">
        <v>-10132.919534050179</v>
      </c>
    </row>
    <row r="28" spans="1:9" x14ac:dyDescent="0.25">
      <c r="A28" s="58">
        <v>50</v>
      </c>
      <c r="B28" s="68">
        <v>30.326086956521738</v>
      </c>
      <c r="C28" s="54">
        <v>-141217</v>
      </c>
      <c r="D28" s="69">
        <v>-4656.6179211469534</v>
      </c>
      <c r="F28" s="50">
        <v>34</v>
      </c>
      <c r="G28" s="70">
        <v>33.41317365269461</v>
      </c>
      <c r="H28" s="51">
        <v>-343537</v>
      </c>
      <c r="I28" s="71">
        <v>-10281.483691756273</v>
      </c>
    </row>
    <row r="29" spans="1:9" x14ac:dyDescent="0.25">
      <c r="A29" s="58">
        <v>24</v>
      </c>
      <c r="B29" s="68">
        <v>30.326086956521738</v>
      </c>
      <c r="C29" s="54">
        <v>-265494</v>
      </c>
      <c r="D29" s="69">
        <v>-8754.6408602150532</v>
      </c>
      <c r="F29" s="58">
        <v>26</v>
      </c>
      <c r="G29" s="68">
        <v>33.41317365269461</v>
      </c>
      <c r="H29" s="54">
        <v>-410208</v>
      </c>
      <c r="I29" s="69">
        <v>-12276.834408602152</v>
      </c>
    </row>
    <row r="30" spans="1:9" x14ac:dyDescent="0.25">
      <c r="A30" s="50">
        <v>44</v>
      </c>
      <c r="B30" s="70">
        <v>30.326086956521738</v>
      </c>
      <c r="C30" s="51">
        <v>-279807</v>
      </c>
      <c r="D30" s="71">
        <v>-9226.6107526881715</v>
      </c>
      <c r="E30">
        <v>0</v>
      </c>
      <c r="F30" s="58">
        <v>55</v>
      </c>
      <c r="G30" s="68">
        <v>33.41317365269461</v>
      </c>
      <c r="H30" s="54">
        <v>-412943</v>
      </c>
      <c r="I30" s="69">
        <v>-12358.688351254481</v>
      </c>
    </row>
    <row r="31" spans="1:9" x14ac:dyDescent="0.25">
      <c r="A31" s="58">
        <v>78</v>
      </c>
      <c r="B31" s="68">
        <v>30.326086956521738</v>
      </c>
      <c r="C31" s="54">
        <v>-450754</v>
      </c>
      <c r="D31" s="69">
        <v>-14863.572759856632</v>
      </c>
      <c r="F31" s="50">
        <v>22</v>
      </c>
      <c r="G31" s="70">
        <v>33.41317365269461</v>
      </c>
      <c r="H31" s="51">
        <v>-443480</v>
      </c>
      <c r="I31" s="71">
        <v>-13272.609318996416</v>
      </c>
    </row>
    <row r="32" spans="1:9" x14ac:dyDescent="0.25">
      <c r="A32" s="58">
        <v>81</v>
      </c>
      <c r="B32" s="68">
        <v>30.326086956521738</v>
      </c>
      <c r="C32" s="54">
        <v>-460974</v>
      </c>
      <c r="D32" s="69">
        <v>-15200.576344086023</v>
      </c>
      <c r="F32" s="58">
        <v>97</v>
      </c>
      <c r="G32" s="68">
        <v>33.41317365269461</v>
      </c>
      <c r="H32" s="54">
        <v>-474669</v>
      </c>
      <c r="I32" s="69">
        <v>-14206.043548387097</v>
      </c>
    </row>
    <row r="33" spans="1:10" x14ac:dyDescent="0.25">
      <c r="A33" s="58">
        <v>48</v>
      </c>
      <c r="B33" s="68">
        <v>30.326086956521738</v>
      </c>
      <c r="C33" s="54">
        <v>-522318</v>
      </c>
      <c r="D33" s="69">
        <v>-17223.389247311829</v>
      </c>
      <c r="F33" s="50">
        <v>57</v>
      </c>
      <c r="G33" s="70">
        <v>33.41317365269461</v>
      </c>
      <c r="H33" s="51">
        <v>-519769</v>
      </c>
      <c r="I33" s="71">
        <v>-15555.810573476703</v>
      </c>
    </row>
    <row r="34" spans="1:10" x14ac:dyDescent="0.25">
      <c r="A34" s="58">
        <v>87</v>
      </c>
      <c r="B34" s="68">
        <v>30.326086956521738</v>
      </c>
      <c r="C34" s="54">
        <v>-542332</v>
      </c>
      <c r="D34" s="69">
        <v>-17883.349103942652</v>
      </c>
      <c r="F34" s="50">
        <v>35</v>
      </c>
      <c r="G34" s="70">
        <v>33.41317365269461</v>
      </c>
      <c r="H34" s="51">
        <v>-552149</v>
      </c>
      <c r="I34" s="71">
        <v>-16524.889426523299</v>
      </c>
      <c r="J34">
        <v>0</v>
      </c>
    </row>
    <row r="35" spans="1:10" x14ac:dyDescent="0.25">
      <c r="A35" s="58">
        <v>41</v>
      </c>
      <c r="B35" s="68">
        <v>30.326086956521738</v>
      </c>
      <c r="C35" s="54">
        <v>-545075</v>
      </c>
      <c r="D35" s="69">
        <v>-17973.799283154123</v>
      </c>
      <c r="F35" s="58">
        <v>81</v>
      </c>
      <c r="G35" s="68">
        <v>33.41317365269461</v>
      </c>
      <c r="H35" s="54">
        <v>-553719</v>
      </c>
      <c r="I35" s="69">
        <v>-16571.876881720429</v>
      </c>
    </row>
    <row r="36" spans="1:10" x14ac:dyDescent="0.25">
      <c r="A36" s="58">
        <v>23</v>
      </c>
      <c r="B36" s="68">
        <v>30.326086956521738</v>
      </c>
      <c r="C36" s="54">
        <v>-550483</v>
      </c>
      <c r="D36" s="69">
        <v>-18152.127598566309</v>
      </c>
      <c r="F36" s="58">
        <v>25</v>
      </c>
      <c r="G36" s="68">
        <v>33.41317365269461</v>
      </c>
      <c r="H36" s="54">
        <v>-602771</v>
      </c>
      <c r="I36" s="69">
        <v>-18039.920609318997</v>
      </c>
    </row>
    <row r="37" spans="1:10" x14ac:dyDescent="0.25">
      <c r="A37" s="58">
        <v>55</v>
      </c>
      <c r="B37" s="68">
        <v>30.326086956521738</v>
      </c>
      <c r="C37" s="54">
        <v>-592287</v>
      </c>
      <c r="D37" s="69">
        <v>-19530.610752688171</v>
      </c>
      <c r="F37" s="58">
        <v>23</v>
      </c>
      <c r="G37" s="68">
        <v>33.41317365269461</v>
      </c>
      <c r="H37" s="54">
        <v>-625997</v>
      </c>
      <c r="I37" s="69">
        <v>-18735.035663082439</v>
      </c>
    </row>
    <row r="38" spans="1:10" x14ac:dyDescent="0.25">
      <c r="A38" s="50">
        <v>31</v>
      </c>
      <c r="B38" s="70">
        <v>30.326086956521738</v>
      </c>
      <c r="C38" s="51">
        <v>-620072</v>
      </c>
      <c r="D38" s="71">
        <v>-20446.818637992834</v>
      </c>
      <c r="E38">
        <v>0</v>
      </c>
      <c r="F38" s="58">
        <v>78</v>
      </c>
      <c r="G38" s="68">
        <v>33.41317365269461</v>
      </c>
      <c r="H38" s="54">
        <v>-732192</v>
      </c>
      <c r="I38" s="69">
        <v>-21913.273118279569</v>
      </c>
    </row>
    <row r="39" spans="1:10" x14ac:dyDescent="0.25">
      <c r="A39" s="58">
        <v>40</v>
      </c>
      <c r="B39" s="68">
        <v>30.326086956521738</v>
      </c>
      <c r="C39" s="54">
        <v>-658386</v>
      </c>
      <c r="D39" s="69">
        <v>-21710.219354838711</v>
      </c>
      <c r="F39" s="58">
        <v>41</v>
      </c>
      <c r="G39" s="68">
        <v>33.41317365269461</v>
      </c>
      <c r="H39" s="54">
        <v>-890843</v>
      </c>
      <c r="I39" s="69">
        <v>-26661.430286738352</v>
      </c>
    </row>
    <row r="40" spans="1:10" x14ac:dyDescent="0.25">
      <c r="A40" s="58">
        <v>97</v>
      </c>
      <c r="B40" s="68">
        <v>30.326086956521738</v>
      </c>
      <c r="C40" s="54">
        <v>-661431</v>
      </c>
      <c r="D40" s="69">
        <v>-21810.627956989247</v>
      </c>
      <c r="F40" s="58">
        <v>48</v>
      </c>
      <c r="G40" s="68">
        <v>33.41317365269461</v>
      </c>
      <c r="H40" s="54">
        <v>-914243</v>
      </c>
      <c r="I40" s="69">
        <v>-27361.752867383515</v>
      </c>
    </row>
    <row r="41" spans="1:10" x14ac:dyDescent="0.25">
      <c r="A41" s="58">
        <v>56</v>
      </c>
      <c r="B41" s="68">
        <v>30.326086956521738</v>
      </c>
      <c r="C41" s="54">
        <v>-736742</v>
      </c>
      <c r="D41" s="69">
        <v>-24294.001433691756</v>
      </c>
      <c r="F41" s="58">
        <v>96</v>
      </c>
      <c r="G41" s="68">
        <v>33.41317365269461</v>
      </c>
      <c r="H41" s="54">
        <v>-944950</v>
      </c>
      <c r="I41" s="69">
        <v>-28280.76164874552</v>
      </c>
    </row>
    <row r="42" spans="1:10" x14ac:dyDescent="0.25">
      <c r="A42" s="50">
        <v>85</v>
      </c>
      <c r="B42" s="70">
        <v>30.326086956521738</v>
      </c>
      <c r="C42" s="51">
        <v>-789944</v>
      </c>
      <c r="D42" s="71">
        <v>-26048.332616487456</v>
      </c>
      <c r="E42">
        <v>0</v>
      </c>
      <c r="F42" s="58">
        <v>82</v>
      </c>
      <c r="G42" s="68">
        <v>33.41317365269461</v>
      </c>
      <c r="H42" s="54">
        <v>-954865</v>
      </c>
      <c r="I42" s="69">
        <v>-28577.500896057347</v>
      </c>
    </row>
    <row r="43" spans="1:10" x14ac:dyDescent="0.25">
      <c r="A43" s="58">
        <v>26</v>
      </c>
      <c r="B43" s="68">
        <v>30.326086956521738</v>
      </c>
      <c r="C43" s="54">
        <v>-946136</v>
      </c>
      <c r="D43" s="69">
        <v>-31198.749820788533</v>
      </c>
      <c r="F43" s="58">
        <v>50</v>
      </c>
      <c r="G43" s="68">
        <v>33.41317365269461</v>
      </c>
      <c r="H43" s="54">
        <v>-1011749</v>
      </c>
      <c r="I43" s="69">
        <v>-30279.943189964157</v>
      </c>
    </row>
    <row r="44" spans="1:10" x14ac:dyDescent="0.25">
      <c r="A44" s="50">
        <v>84</v>
      </c>
      <c r="B44" s="70">
        <v>30.326086956521738</v>
      </c>
      <c r="C44" s="51">
        <v>-948146</v>
      </c>
      <c r="D44" s="71">
        <v>-31265.029390681004</v>
      </c>
      <c r="E44">
        <v>0</v>
      </c>
      <c r="F44" s="58">
        <v>40</v>
      </c>
      <c r="G44" s="68">
        <v>33.41317365269461</v>
      </c>
      <c r="H44" s="54">
        <v>-1028317</v>
      </c>
      <c r="I44" s="69">
        <v>-30775.795519713261</v>
      </c>
    </row>
    <row r="45" spans="1:10" x14ac:dyDescent="0.25">
      <c r="A45" s="58">
        <v>37</v>
      </c>
      <c r="B45" s="68">
        <v>30.326086956521738</v>
      </c>
      <c r="C45" s="54">
        <v>-1123636</v>
      </c>
      <c r="D45" s="69">
        <v>-37051.796415770608</v>
      </c>
      <c r="F45" s="58">
        <v>45</v>
      </c>
      <c r="G45" s="68">
        <v>33.41317365269461</v>
      </c>
      <c r="H45" s="54">
        <v>-1108132</v>
      </c>
      <c r="I45" s="69">
        <v>-33164.524014336916</v>
      </c>
    </row>
    <row r="46" spans="1:10" x14ac:dyDescent="0.25">
      <c r="A46" s="58">
        <v>77</v>
      </c>
      <c r="B46" s="68">
        <v>30.326086956521738</v>
      </c>
      <c r="C46" s="54">
        <v>-1136517</v>
      </c>
      <c r="D46" s="69">
        <v>-37476.546236559137</v>
      </c>
      <c r="F46" s="58">
        <v>37</v>
      </c>
      <c r="G46" s="68">
        <v>33.41317365269461</v>
      </c>
      <c r="H46" s="54">
        <v>-1231599</v>
      </c>
      <c r="I46" s="69">
        <v>-36859.683333333334</v>
      </c>
    </row>
    <row r="47" spans="1:10" x14ac:dyDescent="0.25">
      <c r="A47" s="58">
        <v>94</v>
      </c>
      <c r="B47" s="68">
        <v>30.326086956521738</v>
      </c>
      <c r="C47" s="54">
        <v>-1189690</v>
      </c>
      <c r="D47" s="69">
        <v>-39229.921146953406</v>
      </c>
      <c r="F47" s="58">
        <v>80</v>
      </c>
      <c r="G47" s="68">
        <v>33.41317365269461</v>
      </c>
      <c r="H47" s="54">
        <v>-1261366</v>
      </c>
      <c r="I47" s="69">
        <v>-37750.559498207884</v>
      </c>
    </row>
    <row r="48" spans="1:10" x14ac:dyDescent="0.25">
      <c r="A48" s="50">
        <v>32</v>
      </c>
      <c r="B48" s="70">
        <v>30.326086956521738</v>
      </c>
      <c r="C48" s="51">
        <v>-1238968</v>
      </c>
      <c r="D48" s="71">
        <v>-40854.858781362011</v>
      </c>
      <c r="E48">
        <v>0</v>
      </c>
      <c r="F48" s="58">
        <v>52</v>
      </c>
      <c r="G48" s="68">
        <v>33.41317365269461</v>
      </c>
      <c r="H48" s="54">
        <v>-1306284</v>
      </c>
      <c r="I48" s="69">
        <v>-39094.879569892473</v>
      </c>
    </row>
    <row r="49" spans="1:10" x14ac:dyDescent="0.25">
      <c r="A49" s="58">
        <v>36</v>
      </c>
      <c r="B49" s="68">
        <v>30.326086956521738</v>
      </c>
      <c r="C49" s="54">
        <v>-1281241</v>
      </c>
      <c r="D49" s="69">
        <v>-42248.807168458785</v>
      </c>
      <c r="F49" s="58">
        <v>38</v>
      </c>
      <c r="G49" s="68">
        <v>33.41317365269461</v>
      </c>
      <c r="H49" s="54">
        <v>-1308829</v>
      </c>
      <c r="I49" s="69">
        <v>-39171.047132616492</v>
      </c>
    </row>
    <row r="50" spans="1:10" x14ac:dyDescent="0.25">
      <c r="A50" s="50">
        <v>29</v>
      </c>
      <c r="B50" s="70">
        <v>30.326086956521738</v>
      </c>
      <c r="C50" s="51">
        <v>-1329121</v>
      </c>
      <c r="D50" s="71">
        <v>-43827.645878136202</v>
      </c>
      <c r="E50">
        <v>0</v>
      </c>
      <c r="F50" s="50">
        <v>46</v>
      </c>
      <c r="G50" s="70">
        <v>33.41317365269461</v>
      </c>
      <c r="H50" s="51">
        <v>-1311822</v>
      </c>
      <c r="I50" s="71">
        <v>-39260.622580645162</v>
      </c>
      <c r="J50">
        <v>0</v>
      </c>
    </row>
    <row r="51" spans="1:10" x14ac:dyDescent="0.25">
      <c r="A51" s="58">
        <v>80</v>
      </c>
      <c r="B51" s="68">
        <v>30.326086956521738</v>
      </c>
      <c r="C51" s="54">
        <v>-1382584</v>
      </c>
      <c r="D51" s="69">
        <v>-45590.583512544807</v>
      </c>
      <c r="F51" s="58">
        <v>53</v>
      </c>
      <c r="G51" s="68">
        <v>33.41317365269461</v>
      </c>
      <c r="H51" s="54">
        <v>-1316172</v>
      </c>
      <c r="I51" s="69">
        <v>-39390.810752688172</v>
      </c>
    </row>
    <row r="52" spans="1:10" x14ac:dyDescent="0.25">
      <c r="A52" s="58">
        <v>38</v>
      </c>
      <c r="B52" s="68">
        <v>30.326086956521738</v>
      </c>
      <c r="C52" s="54">
        <v>-1454904</v>
      </c>
      <c r="D52" s="69">
        <v>-47975.329032258065</v>
      </c>
      <c r="F52" s="58">
        <v>87</v>
      </c>
      <c r="G52" s="68">
        <v>33.41317365269461</v>
      </c>
      <c r="H52" s="54">
        <v>-1394051</v>
      </c>
      <c r="I52" s="69">
        <v>-41721.598028673834</v>
      </c>
    </row>
    <row r="53" spans="1:10" x14ac:dyDescent="0.25">
      <c r="A53" s="58">
        <v>96</v>
      </c>
      <c r="B53" s="68">
        <v>30.326086956521738</v>
      </c>
      <c r="C53" s="54">
        <v>-1495940</v>
      </c>
      <c r="D53" s="69">
        <v>-49328.487455197137</v>
      </c>
      <c r="F53" s="58">
        <v>36</v>
      </c>
      <c r="G53" s="68">
        <v>33.41317365269461</v>
      </c>
      <c r="H53" s="54">
        <v>-1395762</v>
      </c>
      <c r="I53" s="69">
        <v>-41772.805376344084</v>
      </c>
    </row>
    <row r="54" spans="1:10" x14ac:dyDescent="0.25">
      <c r="A54" s="58">
        <v>76</v>
      </c>
      <c r="B54" s="68">
        <v>30.326086956521738</v>
      </c>
      <c r="C54" s="54">
        <v>-1505954</v>
      </c>
      <c r="D54" s="69">
        <v>-49658.698207885303</v>
      </c>
      <c r="F54" s="58">
        <v>42</v>
      </c>
      <c r="G54" s="68">
        <v>33.41317365269461</v>
      </c>
      <c r="H54" s="54">
        <v>-1449513</v>
      </c>
      <c r="I54" s="69">
        <v>-43381.48225806452</v>
      </c>
    </row>
    <row r="55" spans="1:10" x14ac:dyDescent="0.25">
      <c r="A55" s="58">
        <v>52</v>
      </c>
      <c r="B55" s="68">
        <v>30.326086956521738</v>
      </c>
      <c r="C55" s="54">
        <v>-1572435</v>
      </c>
      <c r="D55" s="69">
        <v>-51850.903225806454</v>
      </c>
      <c r="F55" s="52">
        <v>28</v>
      </c>
      <c r="G55" s="72">
        <v>33.41317365269461</v>
      </c>
      <c r="H55" s="53">
        <v>-1475625</v>
      </c>
      <c r="I55" s="73">
        <v>-44162.970430107525</v>
      </c>
    </row>
    <row r="56" spans="1:10" x14ac:dyDescent="0.25">
      <c r="A56" s="50">
        <v>100</v>
      </c>
      <c r="B56" s="70">
        <v>30.326086956521738</v>
      </c>
      <c r="C56" s="51">
        <v>-1597710</v>
      </c>
      <c r="D56" s="71">
        <v>-52684.344086021505</v>
      </c>
      <c r="E56">
        <v>0</v>
      </c>
      <c r="F56" s="50">
        <v>83</v>
      </c>
      <c r="G56" s="70">
        <v>33.41317365269461</v>
      </c>
      <c r="H56" s="51">
        <v>-1533913</v>
      </c>
      <c r="I56" s="71">
        <v>-45907.432078853046</v>
      </c>
    </row>
    <row r="57" spans="1:10" x14ac:dyDescent="0.25">
      <c r="A57" s="50">
        <v>51</v>
      </c>
      <c r="B57" s="70">
        <v>30.326086956521738</v>
      </c>
      <c r="C57" s="51">
        <v>-1602000</v>
      </c>
      <c r="D57" s="71">
        <v>-52825.806451612902</v>
      </c>
      <c r="E57">
        <v>0</v>
      </c>
      <c r="F57" s="58">
        <v>77</v>
      </c>
      <c r="G57" s="68">
        <v>33.41317365269461</v>
      </c>
      <c r="H57" s="54">
        <v>-1545855</v>
      </c>
      <c r="I57" s="69">
        <v>-46264.836021505376</v>
      </c>
    </row>
  </sheetData>
  <mergeCells count="2">
    <mergeCell ref="A1:D1"/>
    <mergeCell ref="F1:I1"/>
  </mergeCells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BA493-08F7-4EB3-9D6D-A3F299B9B2EA}">
  <sheetPr codeName="Sheet24"/>
  <dimension ref="A1:T348"/>
  <sheetViews>
    <sheetView zoomScale="70" zoomScaleNormal="70" workbookViewId="0">
      <pane ySplit="9" topLeftCell="A10" activePane="bottomLeft" state="frozen"/>
      <selection pane="bottomLeft" activeCell="T17" sqref="T17"/>
    </sheetView>
  </sheetViews>
  <sheetFormatPr baseColWidth="10" defaultColWidth="9.140625" defaultRowHeight="15" x14ac:dyDescent="0.25"/>
  <cols>
    <col min="2" max="2" width="11.85546875" bestFit="1" customWidth="1"/>
    <col min="3" max="3" width="13.85546875" customWidth="1"/>
    <col min="4" max="4" width="14.5703125" customWidth="1"/>
    <col min="5" max="8" width="14.5703125" bestFit="1" customWidth="1"/>
    <col min="9" max="9" width="11.42578125" bestFit="1" customWidth="1"/>
    <col min="10" max="10" width="12.140625" bestFit="1" customWidth="1"/>
    <col min="12" max="12" width="11.85546875" bestFit="1" customWidth="1"/>
    <col min="13" max="13" width="13.85546875" bestFit="1" customWidth="1"/>
    <col min="14" max="14" width="12.7109375" bestFit="1" customWidth="1"/>
    <col min="15" max="15" width="8.7109375" customWidth="1"/>
    <col min="18" max="18" width="13.85546875" bestFit="1" customWidth="1"/>
    <col min="19" max="19" width="11.5703125" bestFit="1" customWidth="1"/>
    <col min="20" max="20" width="12.42578125" bestFit="1" customWidth="1"/>
    <col min="22" max="23" width="14.5703125" bestFit="1" customWidth="1"/>
    <col min="24" max="24" width="15.85546875" bestFit="1" customWidth="1"/>
    <col min="26" max="26" width="15.85546875" bestFit="1" customWidth="1"/>
  </cols>
  <sheetData>
    <row r="1" spans="1:20" ht="15.75" thickBot="1" x14ac:dyDescent="0.3">
      <c r="C1" s="1" t="s">
        <v>0</v>
      </c>
      <c r="D1" s="2" t="s">
        <v>1</v>
      </c>
      <c r="E1" s="1" t="s">
        <v>2</v>
      </c>
      <c r="F1" s="2" t="s">
        <v>3</v>
      </c>
      <c r="G1" s="63" t="s">
        <v>4</v>
      </c>
      <c r="H1" s="81" t="s">
        <v>24</v>
      </c>
      <c r="I1" s="66" t="s">
        <v>5</v>
      </c>
      <c r="J1" s="3">
        <v>368</v>
      </c>
      <c r="M1" s="1" t="s">
        <v>5</v>
      </c>
      <c r="N1" s="4" t="s">
        <v>6</v>
      </c>
      <c r="P1" t="s">
        <v>0</v>
      </c>
      <c r="Q1">
        <f>SUM(E10:E54)</f>
        <v>13</v>
      </c>
      <c r="R1" t="s">
        <v>2</v>
      </c>
      <c r="S1">
        <f>(M3/M2)*Q1</f>
        <v>8.6666666666666679</v>
      </c>
      <c r="T1">
        <f>S1-8</f>
        <v>0.66666666666666785</v>
      </c>
    </row>
    <row r="2" spans="1:20" ht="15.75" thickBot="1" x14ac:dyDescent="0.3">
      <c r="B2" s="5" t="s">
        <v>7</v>
      </c>
      <c r="C2" s="6">
        <f>SUMPRODUCT(C10:C118,E10:E118)</f>
        <v>6244683</v>
      </c>
      <c r="D2" s="7">
        <f>SUMPRODUCT(H10:H118,J10:J118)</f>
        <v>2781786.6666666665</v>
      </c>
      <c r="E2" s="6">
        <f>SUMPRODUCT(M10:M348,O10:O348)</f>
        <v>5867420.0000000009</v>
      </c>
      <c r="F2" s="7">
        <f>SUMPRODUCT(R10:R348,T10:T348)</f>
        <v>7320508</v>
      </c>
      <c r="G2" s="64">
        <f>C2+D2+E2+F2</f>
        <v>22214397.666666668</v>
      </c>
      <c r="H2" s="82">
        <v>24786935</v>
      </c>
      <c r="I2" s="67" t="s">
        <v>6</v>
      </c>
      <c r="J2" s="8">
        <v>334</v>
      </c>
      <c r="L2" s="5" t="s">
        <v>8</v>
      </c>
      <c r="M2" s="9">
        <v>0.6</v>
      </c>
      <c r="N2" s="10">
        <v>0.25</v>
      </c>
      <c r="P2" t="s">
        <v>3</v>
      </c>
      <c r="Q2">
        <f>SUM(T10:T64)</f>
        <v>13</v>
      </c>
      <c r="R2" t="s">
        <v>1</v>
      </c>
      <c r="S2">
        <f>(N2/N3)*Q2</f>
        <v>4.333333333333333</v>
      </c>
      <c r="T2">
        <f>S2-4</f>
        <v>0.33333333333333304</v>
      </c>
    </row>
    <row r="3" spans="1:20" ht="15.75" thickBot="1" x14ac:dyDescent="0.3">
      <c r="B3" s="11" t="s">
        <v>9</v>
      </c>
      <c r="C3" s="12">
        <f>SUMPRODUCT(B10:B118,E10:E118)</f>
        <v>394.23913043478268</v>
      </c>
      <c r="D3" s="13">
        <f>SUMPRODUCT(G10:G118,J10:J118)</f>
        <v>144.79041916167662</v>
      </c>
      <c r="E3" s="12">
        <f>SUMPRODUCT(L10:L348,O10:O348)</f>
        <v>262.82608695652181</v>
      </c>
      <c r="F3" s="13">
        <f>SUMPRODUCT(Q10:Q348,T10:T348)</f>
        <v>434.37125748502979</v>
      </c>
      <c r="G3" s="65">
        <f>SUM(C3:F3)</f>
        <v>1236.2268940380109</v>
      </c>
      <c r="H3" s="80">
        <f>(H2-G2)/G2</f>
        <v>0.11580495550385762</v>
      </c>
      <c r="I3" s="67" t="s">
        <v>10</v>
      </c>
      <c r="J3" s="8">
        <f>11160</f>
        <v>11160</v>
      </c>
      <c r="L3" s="14" t="s">
        <v>11</v>
      </c>
      <c r="M3" s="15">
        <v>0.4</v>
      </c>
      <c r="N3" s="16">
        <v>0.75</v>
      </c>
      <c r="P3" t="s">
        <v>0</v>
      </c>
      <c r="Q3">
        <v>1</v>
      </c>
      <c r="R3" t="s">
        <v>2</v>
      </c>
      <c r="S3">
        <f>(M3/M2)*Q3</f>
        <v>0.66666666666666674</v>
      </c>
    </row>
    <row r="4" spans="1:20" ht="15.75" thickBot="1" x14ac:dyDescent="0.3">
      <c r="B4" s="14" t="s">
        <v>12</v>
      </c>
      <c r="C4" s="17">
        <f>SUM(E10:E118)*J3</f>
        <v>145080</v>
      </c>
      <c r="D4" s="18">
        <f>SUM(J10:J118)*J3</f>
        <v>48360</v>
      </c>
      <c r="E4" s="17">
        <f>SUM(O10:O348)*J3</f>
        <v>96720.000000000015</v>
      </c>
      <c r="F4" s="18">
        <f>SUM(T10:T348)*J3</f>
        <v>145080</v>
      </c>
      <c r="G4" s="19">
        <f>SUM(C4:F4)</f>
        <v>435240</v>
      </c>
      <c r="H4" s="20"/>
      <c r="I4" s="21" t="s">
        <v>13</v>
      </c>
      <c r="J4" s="22">
        <v>100000</v>
      </c>
      <c r="L4" s="5" t="s">
        <v>14</v>
      </c>
      <c r="M4" s="76">
        <f>C4/(C4+E4)</f>
        <v>0.6</v>
      </c>
      <c r="N4" s="77">
        <f>D4/(D4+F4)</f>
        <v>0.25</v>
      </c>
      <c r="O4" s="23"/>
      <c r="P4" t="s">
        <v>3</v>
      </c>
      <c r="Q4">
        <v>1</v>
      </c>
      <c r="R4" t="s">
        <v>1</v>
      </c>
      <c r="S4">
        <f>(N2/N3)*Q4</f>
        <v>0.33333333333333331</v>
      </c>
    </row>
    <row r="5" spans="1:20" ht="15.75" thickBot="1" x14ac:dyDescent="0.3">
      <c r="B5" s="24" t="s">
        <v>15</v>
      </c>
      <c r="C5" s="25">
        <v>217620</v>
      </c>
      <c r="D5" s="26">
        <v>74400</v>
      </c>
      <c r="E5" s="27">
        <v>145080</v>
      </c>
      <c r="F5" s="26">
        <v>223200</v>
      </c>
      <c r="G5" s="28">
        <f>SUM(C5:F5)</f>
        <v>660300</v>
      </c>
      <c r="H5" s="20"/>
      <c r="I5" s="20"/>
      <c r="L5" s="29" t="s">
        <v>16</v>
      </c>
      <c r="M5" s="78">
        <f>E4/(C4+E4)</f>
        <v>0.40000000000000008</v>
      </c>
      <c r="N5" s="79">
        <f>F4/(D4+F4)</f>
        <v>0.75</v>
      </c>
      <c r="O5" s="23"/>
      <c r="P5" t="s">
        <v>0</v>
      </c>
      <c r="Q5">
        <v>-1040.9849462365592</v>
      </c>
      <c r="R5" t="s">
        <v>2</v>
      </c>
      <c r="S5">
        <v>14135.750537634409</v>
      </c>
      <c r="T5">
        <f>Q5*Q3+S5*S3</f>
        <v>8382.8487455197137</v>
      </c>
    </row>
    <row r="6" spans="1:20" ht="15.75" thickBot="1" x14ac:dyDescent="0.3">
      <c r="B6" s="24" t="s">
        <v>17</v>
      </c>
      <c r="C6" s="27">
        <f>C5-C4</f>
        <v>72540</v>
      </c>
      <c r="D6" s="30">
        <f>D5-D4</f>
        <v>26040</v>
      </c>
      <c r="E6" s="27">
        <f>E5-E4</f>
        <v>48359.999999999985</v>
      </c>
      <c r="F6" s="30">
        <f>F5-F4</f>
        <v>78120</v>
      </c>
      <c r="H6" s="20">
        <v>22169390</v>
      </c>
      <c r="I6" s="20"/>
      <c r="J6" s="62"/>
      <c r="N6" s="23"/>
      <c r="O6" s="23"/>
      <c r="P6" t="s">
        <v>3</v>
      </c>
      <c r="Q6">
        <v>5870.5587813620077</v>
      </c>
      <c r="R6" t="s">
        <v>1</v>
      </c>
      <c r="S6">
        <v>15494.068458781363</v>
      </c>
      <c r="T6">
        <f>Q6*Q4+S6*S4</f>
        <v>11035.248267622461</v>
      </c>
    </row>
    <row r="7" spans="1:20" ht="15.75" thickBot="1" x14ac:dyDescent="0.3"/>
    <row r="8" spans="1:20" ht="15.75" thickBot="1" x14ac:dyDescent="0.3">
      <c r="A8" s="113" t="s">
        <v>18</v>
      </c>
      <c r="B8" s="114"/>
      <c r="C8" s="114"/>
      <c r="D8" s="115"/>
      <c r="E8" s="31"/>
      <c r="F8" s="113" t="s">
        <v>19</v>
      </c>
      <c r="G8" s="114"/>
      <c r="H8" s="114"/>
      <c r="I8" s="115"/>
      <c r="J8" s="31"/>
      <c r="K8" s="113" t="s">
        <v>20</v>
      </c>
      <c r="L8" s="114"/>
      <c r="M8" s="114"/>
      <c r="N8" s="115"/>
      <c r="O8" s="31"/>
      <c r="P8" s="113" t="s">
        <v>21</v>
      </c>
      <c r="Q8" s="114"/>
      <c r="R8" s="114"/>
      <c r="S8" s="115"/>
    </row>
    <row r="9" spans="1:20" ht="15.75" thickBot="1" x14ac:dyDescent="0.3">
      <c r="A9" s="32" t="s">
        <v>22</v>
      </c>
      <c r="B9" s="33" t="s">
        <v>9</v>
      </c>
      <c r="C9" s="33" t="s">
        <v>7</v>
      </c>
      <c r="D9" s="34" t="s">
        <v>23</v>
      </c>
      <c r="E9" s="31"/>
      <c r="F9" s="32" t="s">
        <v>22</v>
      </c>
      <c r="G9" s="33" t="s">
        <v>9</v>
      </c>
      <c r="H9" s="33" t="s">
        <v>7</v>
      </c>
      <c r="I9" s="34" t="s">
        <v>23</v>
      </c>
      <c r="J9" s="31"/>
      <c r="K9" s="32" t="s">
        <v>22</v>
      </c>
      <c r="L9" s="33" t="s">
        <v>9</v>
      </c>
      <c r="M9" s="33" t="s">
        <v>7</v>
      </c>
      <c r="N9" s="34" t="s">
        <v>23</v>
      </c>
      <c r="O9" s="31"/>
      <c r="P9" s="35" t="s">
        <v>22</v>
      </c>
      <c r="Q9" s="36" t="s">
        <v>9</v>
      </c>
      <c r="R9" s="36" t="s">
        <v>7</v>
      </c>
      <c r="S9" s="37" t="s">
        <v>23</v>
      </c>
    </row>
    <row r="10" spans="1:20" x14ac:dyDescent="0.25">
      <c r="A10" s="38">
        <v>15</v>
      </c>
      <c r="B10" s="39">
        <f>$J$3/$J$1</f>
        <v>30.326086956521738</v>
      </c>
      <c r="C10" s="40">
        <v>823261</v>
      </c>
      <c r="D10" s="41">
        <f>C10/B10</f>
        <v>27146.957706093192</v>
      </c>
      <c r="E10">
        <v>1</v>
      </c>
      <c r="F10" s="74">
        <v>9</v>
      </c>
      <c r="G10" s="70">
        <f>$J$3/$J$2</f>
        <v>33.41317365269461</v>
      </c>
      <c r="H10" s="75">
        <v>839159</v>
      </c>
      <c r="I10" s="71">
        <f>H10/G10</f>
        <v>25114.615232974909</v>
      </c>
      <c r="J10">
        <v>0</v>
      </c>
      <c r="K10" s="38">
        <v>99</v>
      </c>
      <c r="L10" s="39">
        <f>$J$3/$J$1</f>
        <v>30.326086956521738</v>
      </c>
      <c r="M10" s="40">
        <v>891762</v>
      </c>
      <c r="N10" s="41">
        <f>M10/L10</f>
        <v>29405.772043010755</v>
      </c>
      <c r="O10">
        <v>1</v>
      </c>
      <c r="P10" s="42">
        <v>31</v>
      </c>
      <c r="Q10" s="43">
        <f>$J$3/$J$2</f>
        <v>33.41317365269461</v>
      </c>
      <c r="R10" s="44">
        <v>828146</v>
      </c>
      <c r="S10" s="45">
        <f>R10/Q10</f>
        <v>24785.014695340502</v>
      </c>
      <c r="T10">
        <v>1</v>
      </c>
    </row>
    <row r="11" spans="1:20" x14ac:dyDescent="0.25">
      <c r="A11" s="46">
        <v>4</v>
      </c>
      <c r="B11" s="39">
        <f t="shared" ref="B11:B54" si="0">$J$3/$J$1</f>
        <v>30.326086956521738</v>
      </c>
      <c r="C11" s="47">
        <v>748702</v>
      </c>
      <c r="D11" s="41">
        <f t="shared" ref="D11:D54" si="1">C11/B11</f>
        <v>24688.381362007171</v>
      </c>
      <c r="E11">
        <v>1</v>
      </c>
      <c r="F11" s="48">
        <v>1</v>
      </c>
      <c r="G11" s="43">
        <f t="shared" ref="G11:G54" si="2">$J$3/$J$2</f>
        <v>33.41317365269461</v>
      </c>
      <c r="H11" s="49">
        <v>816679</v>
      </c>
      <c r="I11" s="45">
        <f t="shared" ref="I11:I54" si="3">H11/G11</f>
        <v>24441.826702508963</v>
      </c>
      <c r="J11">
        <v>1</v>
      </c>
      <c r="K11" s="46">
        <v>22</v>
      </c>
      <c r="L11" s="39">
        <f t="shared" ref="L11:L64" si="4">$J$3/$J$1</f>
        <v>30.326086956521738</v>
      </c>
      <c r="M11" s="47">
        <v>787867</v>
      </c>
      <c r="N11" s="41">
        <f t="shared" ref="N11:N64" si="5">M11/L11</f>
        <v>25979.843727598567</v>
      </c>
      <c r="O11">
        <v>1</v>
      </c>
      <c r="P11" s="48">
        <v>95</v>
      </c>
      <c r="Q11" s="43">
        <f t="shared" ref="Q11:Q64" si="6">$J$3/$J$2</f>
        <v>33.41317365269461</v>
      </c>
      <c r="R11" s="49">
        <v>778683</v>
      </c>
      <c r="S11" s="45">
        <f t="shared" ref="S11:S64" si="7">R11/Q11</f>
        <v>23304.670430107526</v>
      </c>
      <c r="T11">
        <v>1</v>
      </c>
    </row>
    <row r="12" spans="1:20" x14ac:dyDescent="0.25">
      <c r="A12" s="46">
        <v>75</v>
      </c>
      <c r="B12" s="39">
        <f t="shared" si="0"/>
        <v>30.326086956521738</v>
      </c>
      <c r="C12" s="47">
        <v>700923</v>
      </c>
      <c r="D12" s="41">
        <f t="shared" si="1"/>
        <v>23112.873118279571</v>
      </c>
      <c r="E12">
        <v>1</v>
      </c>
      <c r="F12" s="48">
        <v>3</v>
      </c>
      <c r="G12" s="43">
        <f t="shared" si="2"/>
        <v>33.41317365269461</v>
      </c>
      <c r="H12" s="49">
        <v>637399</v>
      </c>
      <c r="I12" s="45">
        <f t="shared" si="3"/>
        <v>19076.278315412186</v>
      </c>
      <c r="J12">
        <v>1</v>
      </c>
      <c r="K12" s="46">
        <v>83</v>
      </c>
      <c r="L12" s="39">
        <f t="shared" si="4"/>
        <v>30.326086956521738</v>
      </c>
      <c r="M12" s="47">
        <v>776669</v>
      </c>
      <c r="N12" s="41">
        <f t="shared" si="5"/>
        <v>25610.590681003585</v>
      </c>
      <c r="O12">
        <v>1</v>
      </c>
      <c r="P12" s="48">
        <v>32</v>
      </c>
      <c r="Q12" s="43">
        <f t="shared" si="6"/>
        <v>33.41317365269461</v>
      </c>
      <c r="R12" s="49">
        <v>742165</v>
      </c>
      <c r="S12" s="45">
        <f t="shared" si="7"/>
        <v>22211.748207885306</v>
      </c>
      <c r="T12">
        <v>1</v>
      </c>
    </row>
    <row r="13" spans="1:20" x14ac:dyDescent="0.25">
      <c r="A13" s="46">
        <v>61</v>
      </c>
      <c r="B13" s="39">
        <f t="shared" si="0"/>
        <v>30.326086956521738</v>
      </c>
      <c r="C13" s="47">
        <v>594344</v>
      </c>
      <c r="D13" s="41">
        <f t="shared" si="1"/>
        <v>19598.440143369175</v>
      </c>
      <c r="E13">
        <v>1</v>
      </c>
      <c r="F13" s="48">
        <v>89</v>
      </c>
      <c r="G13" s="43">
        <f t="shared" si="2"/>
        <v>33.41317365269461</v>
      </c>
      <c r="H13" s="49">
        <v>626952</v>
      </c>
      <c r="I13" s="45">
        <f t="shared" si="3"/>
        <v>18763.617204301077</v>
      </c>
      <c r="J13">
        <v>1</v>
      </c>
      <c r="K13" s="46">
        <v>57</v>
      </c>
      <c r="L13" s="39">
        <f t="shared" si="4"/>
        <v>30.326086956521738</v>
      </c>
      <c r="M13" s="47">
        <v>764937</v>
      </c>
      <c r="N13" s="41">
        <f t="shared" si="5"/>
        <v>25223.729032258067</v>
      </c>
      <c r="O13">
        <v>1</v>
      </c>
      <c r="P13" s="48">
        <v>86</v>
      </c>
      <c r="Q13" s="43">
        <f t="shared" si="6"/>
        <v>33.41317365269461</v>
      </c>
      <c r="R13" s="49">
        <v>708838</v>
      </c>
      <c r="S13" s="45">
        <f t="shared" si="7"/>
        <v>21214.327240143371</v>
      </c>
      <c r="T13">
        <v>1</v>
      </c>
    </row>
    <row r="14" spans="1:20" x14ac:dyDescent="0.25">
      <c r="A14" s="46">
        <v>2</v>
      </c>
      <c r="B14" s="39">
        <f t="shared" si="0"/>
        <v>30.326086956521738</v>
      </c>
      <c r="C14" s="47">
        <v>573963</v>
      </c>
      <c r="D14" s="41">
        <f t="shared" si="1"/>
        <v>18926.378494623656</v>
      </c>
      <c r="E14">
        <v>1</v>
      </c>
      <c r="F14" s="48">
        <v>74</v>
      </c>
      <c r="G14" s="43">
        <f t="shared" si="2"/>
        <v>33.41317365269461</v>
      </c>
      <c r="H14" s="49">
        <v>528188</v>
      </c>
      <c r="I14" s="45">
        <f t="shared" si="3"/>
        <v>15807.7770609319</v>
      </c>
      <c r="J14">
        <v>1</v>
      </c>
      <c r="K14" s="50">
        <v>33</v>
      </c>
      <c r="L14" s="70">
        <f t="shared" si="4"/>
        <v>30.326086956521738</v>
      </c>
      <c r="M14" s="51">
        <v>739492</v>
      </c>
      <c r="N14" s="71">
        <f t="shared" si="5"/>
        <v>24384.682437275987</v>
      </c>
      <c r="O14">
        <v>0</v>
      </c>
      <c r="P14" s="48">
        <v>44</v>
      </c>
      <c r="Q14" s="43">
        <f t="shared" si="6"/>
        <v>33.41317365269461</v>
      </c>
      <c r="R14" s="49">
        <v>644475</v>
      </c>
      <c r="S14" s="45">
        <f t="shared" si="7"/>
        <v>19288.051075268817</v>
      </c>
      <c r="T14">
        <v>1</v>
      </c>
    </row>
    <row r="15" spans="1:20" x14ac:dyDescent="0.25">
      <c r="A15" s="46">
        <v>66</v>
      </c>
      <c r="B15" s="39">
        <f t="shared" si="0"/>
        <v>30.326086956521738</v>
      </c>
      <c r="C15" s="47">
        <v>543888</v>
      </c>
      <c r="D15" s="41">
        <f t="shared" si="1"/>
        <v>17934.65806451613</v>
      </c>
      <c r="E15">
        <v>1</v>
      </c>
      <c r="F15" s="52">
        <v>7</v>
      </c>
      <c r="G15" s="72">
        <f t="shared" si="2"/>
        <v>33.41317365269461</v>
      </c>
      <c r="H15" s="53">
        <v>517706</v>
      </c>
      <c r="I15" s="73">
        <f t="shared" si="3"/>
        <v>15494.068458781363</v>
      </c>
      <c r="J15">
        <v>0.33333333333333304</v>
      </c>
      <c r="K15" s="46">
        <v>34</v>
      </c>
      <c r="L15" s="39">
        <f t="shared" si="4"/>
        <v>30.326086956521738</v>
      </c>
      <c r="M15" s="47">
        <v>706466</v>
      </c>
      <c r="N15" s="41">
        <f t="shared" si="5"/>
        <v>23295.653046594984</v>
      </c>
      <c r="O15">
        <v>1</v>
      </c>
      <c r="P15" s="48">
        <v>43</v>
      </c>
      <c r="Q15" s="43">
        <f t="shared" si="6"/>
        <v>33.41317365269461</v>
      </c>
      <c r="R15" s="49">
        <v>600711</v>
      </c>
      <c r="S15" s="45">
        <f t="shared" si="7"/>
        <v>17978.268279569893</v>
      </c>
      <c r="T15">
        <v>1.0000000000000007</v>
      </c>
    </row>
    <row r="16" spans="1:20" x14ac:dyDescent="0.25">
      <c r="A16" s="46">
        <v>9</v>
      </c>
      <c r="B16" s="39">
        <f t="shared" si="0"/>
        <v>30.326086956521738</v>
      </c>
      <c r="C16" s="47">
        <v>458407</v>
      </c>
      <c r="D16" s="41">
        <f t="shared" si="1"/>
        <v>15115.929749103943</v>
      </c>
      <c r="E16">
        <v>1</v>
      </c>
      <c r="F16" s="58">
        <v>16</v>
      </c>
      <c r="G16" s="68">
        <f t="shared" si="2"/>
        <v>33.41317365269461</v>
      </c>
      <c r="H16" s="54">
        <v>471825</v>
      </c>
      <c r="I16" s="69">
        <f t="shared" si="3"/>
        <v>14120.927419354839</v>
      </c>
      <c r="K16" s="50">
        <v>54</v>
      </c>
      <c r="L16" s="70">
        <f t="shared" si="4"/>
        <v>30.326086956521738</v>
      </c>
      <c r="M16" s="51">
        <v>704680</v>
      </c>
      <c r="N16" s="71">
        <f t="shared" si="5"/>
        <v>23236.759856630826</v>
      </c>
      <c r="O16">
        <v>0</v>
      </c>
      <c r="P16" s="48">
        <v>54</v>
      </c>
      <c r="Q16" s="43">
        <f t="shared" si="6"/>
        <v>33.41317365269461</v>
      </c>
      <c r="R16" s="49">
        <v>600526</v>
      </c>
      <c r="S16" s="45">
        <f t="shared" si="7"/>
        <v>17972.73154121864</v>
      </c>
      <c r="T16">
        <v>1</v>
      </c>
    </row>
    <row r="17" spans="1:20" x14ac:dyDescent="0.25">
      <c r="A17" s="46">
        <v>6</v>
      </c>
      <c r="B17" s="39">
        <f t="shared" si="0"/>
        <v>30.326086956521738</v>
      </c>
      <c r="C17" s="47">
        <v>413342</v>
      </c>
      <c r="D17" s="41">
        <f t="shared" si="1"/>
        <v>13629.915412186379</v>
      </c>
      <c r="E17">
        <v>1</v>
      </c>
      <c r="F17" s="58">
        <v>20</v>
      </c>
      <c r="G17" s="68">
        <f t="shared" si="2"/>
        <v>33.41317365269461</v>
      </c>
      <c r="H17" s="54">
        <v>465526</v>
      </c>
      <c r="I17" s="69">
        <f t="shared" si="3"/>
        <v>13932.408960573477</v>
      </c>
      <c r="K17" s="46">
        <v>46</v>
      </c>
      <c r="L17" s="39">
        <f t="shared" si="4"/>
        <v>30.326086956521738</v>
      </c>
      <c r="M17" s="47">
        <v>647685</v>
      </c>
      <c r="N17" s="41">
        <f t="shared" si="5"/>
        <v>21357.354838709678</v>
      </c>
      <c r="O17">
        <v>1</v>
      </c>
      <c r="P17" s="48">
        <v>33</v>
      </c>
      <c r="Q17" s="43">
        <f t="shared" si="6"/>
        <v>33.41317365269461</v>
      </c>
      <c r="R17" s="49">
        <v>533105</v>
      </c>
      <c r="S17" s="45">
        <f t="shared" si="7"/>
        <v>15954.934587813621</v>
      </c>
      <c r="T17">
        <v>1</v>
      </c>
    </row>
    <row r="18" spans="1:20" x14ac:dyDescent="0.25">
      <c r="A18" s="46">
        <v>90</v>
      </c>
      <c r="B18" s="39">
        <f t="shared" si="0"/>
        <v>30.326086956521738</v>
      </c>
      <c r="C18" s="47">
        <v>390167</v>
      </c>
      <c r="D18" s="41">
        <f t="shared" si="1"/>
        <v>12865.721863799283</v>
      </c>
      <c r="E18">
        <v>1</v>
      </c>
      <c r="F18" s="58">
        <v>71</v>
      </c>
      <c r="G18" s="68">
        <f t="shared" si="2"/>
        <v>33.41317365269461</v>
      </c>
      <c r="H18" s="54">
        <v>459240</v>
      </c>
      <c r="I18" s="69">
        <f t="shared" si="3"/>
        <v>13744.279569892473</v>
      </c>
      <c r="K18" s="46">
        <v>35</v>
      </c>
      <c r="L18" s="39">
        <f t="shared" si="4"/>
        <v>30.326086956521738</v>
      </c>
      <c r="M18" s="47">
        <v>520964</v>
      </c>
      <c r="N18" s="41">
        <f t="shared" si="5"/>
        <v>17178.741218637992</v>
      </c>
      <c r="O18">
        <v>1</v>
      </c>
      <c r="P18" s="48">
        <v>29</v>
      </c>
      <c r="Q18" s="43">
        <f t="shared" si="6"/>
        <v>33.41317365269461</v>
      </c>
      <c r="R18" s="49">
        <v>466819</v>
      </c>
      <c r="S18" s="45">
        <f t="shared" si="7"/>
        <v>13971.106272401434</v>
      </c>
      <c r="T18">
        <v>1</v>
      </c>
    </row>
    <row r="19" spans="1:20" x14ac:dyDescent="0.25">
      <c r="A19" s="46">
        <v>10</v>
      </c>
      <c r="B19" s="39">
        <f t="shared" si="0"/>
        <v>30.326086956521738</v>
      </c>
      <c r="C19" s="47">
        <v>374487</v>
      </c>
      <c r="D19" s="41">
        <f t="shared" si="1"/>
        <v>12348.675268817206</v>
      </c>
      <c r="E19">
        <v>1</v>
      </c>
      <c r="F19" s="58">
        <v>73</v>
      </c>
      <c r="G19" s="68">
        <f t="shared" si="2"/>
        <v>33.41317365269461</v>
      </c>
      <c r="H19" s="54">
        <v>435675</v>
      </c>
      <c r="I19" s="69">
        <f t="shared" si="3"/>
        <v>13039.018817204302</v>
      </c>
      <c r="K19" s="46">
        <v>28</v>
      </c>
      <c r="L19" s="39">
        <f t="shared" si="4"/>
        <v>30.326086956521738</v>
      </c>
      <c r="M19" s="47">
        <v>485282</v>
      </c>
      <c r="N19" s="41">
        <f t="shared" si="5"/>
        <v>16002.130465949822</v>
      </c>
      <c r="O19">
        <v>1</v>
      </c>
      <c r="P19" s="48">
        <v>39</v>
      </c>
      <c r="Q19" s="43">
        <f t="shared" si="6"/>
        <v>33.41317365269461</v>
      </c>
      <c r="R19" s="49">
        <v>443533</v>
      </c>
      <c r="S19" s="45">
        <f t="shared" si="7"/>
        <v>13274.195519713261</v>
      </c>
      <c r="T19">
        <v>1</v>
      </c>
    </row>
    <row r="20" spans="1:20" x14ac:dyDescent="0.25">
      <c r="A20" s="46">
        <v>72</v>
      </c>
      <c r="B20" s="39">
        <f t="shared" si="0"/>
        <v>30.326086956521738</v>
      </c>
      <c r="C20" s="47">
        <v>339217</v>
      </c>
      <c r="D20" s="41">
        <f t="shared" si="1"/>
        <v>11185.65017921147</v>
      </c>
      <c r="E20">
        <v>1</v>
      </c>
      <c r="F20" s="50">
        <v>4</v>
      </c>
      <c r="G20" s="70">
        <f t="shared" si="2"/>
        <v>33.41317365269461</v>
      </c>
      <c r="H20" s="51">
        <v>435251</v>
      </c>
      <c r="I20" s="71">
        <f t="shared" si="3"/>
        <v>13026.329211469534</v>
      </c>
      <c r="J20">
        <v>0</v>
      </c>
      <c r="K20" s="52">
        <v>25</v>
      </c>
      <c r="L20" s="72">
        <f t="shared" si="4"/>
        <v>30.326086956521738</v>
      </c>
      <c r="M20" s="53">
        <v>428682</v>
      </c>
      <c r="N20" s="73">
        <f t="shared" si="5"/>
        <v>14135.750537634409</v>
      </c>
      <c r="O20">
        <v>0.66666666666666785</v>
      </c>
      <c r="P20" s="48">
        <v>85</v>
      </c>
      <c r="Q20" s="43">
        <f t="shared" si="6"/>
        <v>33.41317365269461</v>
      </c>
      <c r="R20" s="49">
        <v>400656</v>
      </c>
      <c r="S20" s="45">
        <f t="shared" si="7"/>
        <v>11990.959139784947</v>
      </c>
      <c r="T20">
        <v>1</v>
      </c>
    </row>
    <row r="21" spans="1:20" x14ac:dyDescent="0.25">
      <c r="A21" s="46">
        <v>63</v>
      </c>
      <c r="B21" s="39">
        <f t="shared" si="0"/>
        <v>30.326086956521738</v>
      </c>
      <c r="C21" s="47">
        <v>148379</v>
      </c>
      <c r="D21" s="41">
        <f t="shared" si="1"/>
        <v>4892.7842293906815</v>
      </c>
      <c r="E21">
        <v>1</v>
      </c>
      <c r="F21" s="58">
        <v>58</v>
      </c>
      <c r="G21" s="68">
        <f t="shared" si="2"/>
        <v>33.41317365269461</v>
      </c>
      <c r="H21" s="54">
        <v>425212</v>
      </c>
      <c r="I21" s="69">
        <f t="shared" si="3"/>
        <v>12725.878853046595</v>
      </c>
      <c r="K21" s="58">
        <v>53</v>
      </c>
      <c r="L21" s="68">
        <f t="shared" si="4"/>
        <v>30.326086956521738</v>
      </c>
      <c r="M21" s="54">
        <v>427876</v>
      </c>
      <c r="N21" s="69">
        <f t="shared" si="5"/>
        <v>14109.17275985663</v>
      </c>
      <c r="P21" s="48">
        <v>51</v>
      </c>
      <c r="Q21" s="43">
        <f t="shared" si="6"/>
        <v>33.41317365269461</v>
      </c>
      <c r="R21" s="49">
        <v>295735</v>
      </c>
      <c r="S21" s="45">
        <f t="shared" si="7"/>
        <v>8850.8503584229402</v>
      </c>
      <c r="T21">
        <v>1</v>
      </c>
    </row>
    <row r="22" spans="1:20" x14ac:dyDescent="0.25">
      <c r="A22" s="46">
        <v>5</v>
      </c>
      <c r="B22" s="39">
        <f t="shared" si="0"/>
        <v>30.326086956521738</v>
      </c>
      <c r="C22" s="47">
        <v>135603</v>
      </c>
      <c r="D22" s="41">
        <f t="shared" si="1"/>
        <v>4471.4967741935488</v>
      </c>
      <c r="E22">
        <v>1</v>
      </c>
      <c r="F22" s="58">
        <v>69</v>
      </c>
      <c r="G22" s="68">
        <f t="shared" si="2"/>
        <v>33.41317365269461</v>
      </c>
      <c r="H22" s="54">
        <v>301059</v>
      </c>
      <c r="I22" s="69">
        <f t="shared" si="3"/>
        <v>9010.188709677419</v>
      </c>
      <c r="K22" s="58">
        <v>30</v>
      </c>
      <c r="L22" s="68">
        <f t="shared" si="4"/>
        <v>30.326086956521738</v>
      </c>
      <c r="M22" s="54">
        <v>412457</v>
      </c>
      <c r="N22" s="69">
        <f t="shared" si="5"/>
        <v>13600.732616487456</v>
      </c>
      <c r="P22" s="48">
        <v>84</v>
      </c>
      <c r="Q22" s="43">
        <f t="shared" si="6"/>
        <v>33.41317365269461</v>
      </c>
      <c r="R22" s="49">
        <v>277116</v>
      </c>
      <c r="S22" s="45">
        <f t="shared" si="7"/>
        <v>8293.6150537634403</v>
      </c>
      <c r="T22">
        <v>1</v>
      </c>
    </row>
    <row r="23" spans="1:20" x14ac:dyDescent="0.25">
      <c r="A23" s="50">
        <v>89</v>
      </c>
      <c r="B23" s="70">
        <f t="shared" si="0"/>
        <v>30.326086956521738</v>
      </c>
      <c r="C23" s="51">
        <v>43767</v>
      </c>
      <c r="D23" s="71">
        <f t="shared" si="1"/>
        <v>1443.2129032258065</v>
      </c>
      <c r="E23">
        <v>0</v>
      </c>
      <c r="F23" s="58">
        <v>91</v>
      </c>
      <c r="G23" s="68">
        <f t="shared" si="2"/>
        <v>33.41317365269461</v>
      </c>
      <c r="H23" s="54">
        <v>248437</v>
      </c>
      <c r="I23" s="69">
        <f t="shared" si="3"/>
        <v>7435.3008960573479</v>
      </c>
      <c r="K23" s="58">
        <v>45</v>
      </c>
      <c r="L23" s="68">
        <f t="shared" si="4"/>
        <v>30.326086956521738</v>
      </c>
      <c r="M23" s="54">
        <v>411553</v>
      </c>
      <c r="N23" s="69">
        <f t="shared" si="5"/>
        <v>13570.923297491039</v>
      </c>
      <c r="P23" s="58">
        <v>100</v>
      </c>
      <c r="Q23" s="68">
        <f t="shared" si="6"/>
        <v>33.41317365269461</v>
      </c>
      <c r="R23" s="54">
        <v>196154</v>
      </c>
      <c r="S23" s="69">
        <f t="shared" si="7"/>
        <v>5870.5587813620077</v>
      </c>
    </row>
    <row r="24" spans="1:20" x14ac:dyDescent="0.25">
      <c r="A24" s="58">
        <v>8</v>
      </c>
      <c r="B24" s="68">
        <f t="shared" si="0"/>
        <v>30.326086956521738</v>
      </c>
      <c r="C24" s="54">
        <v>-31569</v>
      </c>
      <c r="D24" s="69">
        <f t="shared" si="1"/>
        <v>-1040.9849462365592</v>
      </c>
      <c r="F24" s="50">
        <v>75</v>
      </c>
      <c r="G24" s="70">
        <f t="shared" si="2"/>
        <v>33.41317365269461</v>
      </c>
      <c r="H24" s="51">
        <v>241104</v>
      </c>
      <c r="I24" s="71">
        <f t="shared" si="3"/>
        <v>7215.8365591397851</v>
      </c>
      <c r="J24">
        <v>0</v>
      </c>
      <c r="K24" s="50">
        <v>43</v>
      </c>
      <c r="L24" s="70">
        <f t="shared" si="4"/>
        <v>30.326086956521738</v>
      </c>
      <c r="M24" s="51">
        <v>287718</v>
      </c>
      <c r="N24" s="71">
        <f t="shared" si="5"/>
        <v>9487.4752688172048</v>
      </c>
      <c r="O24">
        <v>0</v>
      </c>
      <c r="P24" s="58">
        <v>56</v>
      </c>
      <c r="Q24" s="68">
        <f t="shared" si="6"/>
        <v>33.41317365269461</v>
      </c>
      <c r="R24" s="54">
        <v>175558</v>
      </c>
      <c r="S24" s="69">
        <f t="shared" si="7"/>
        <v>5254.1551971326162</v>
      </c>
    </row>
    <row r="25" spans="1:20" x14ac:dyDescent="0.25">
      <c r="A25" s="58">
        <v>62</v>
      </c>
      <c r="B25" s="68">
        <f t="shared" si="0"/>
        <v>30.326086956521738</v>
      </c>
      <c r="C25" s="54">
        <v>-50310</v>
      </c>
      <c r="D25" s="69">
        <f t="shared" si="1"/>
        <v>-1658.9677419354839</v>
      </c>
      <c r="F25" s="58">
        <v>21</v>
      </c>
      <c r="G25" s="68">
        <f t="shared" si="2"/>
        <v>33.41317365269461</v>
      </c>
      <c r="H25" s="54">
        <v>182068</v>
      </c>
      <c r="I25" s="69">
        <f t="shared" si="3"/>
        <v>5448.9885304659501</v>
      </c>
      <c r="K25" s="58">
        <v>47</v>
      </c>
      <c r="L25" s="68">
        <f t="shared" si="4"/>
        <v>30.326086956521738</v>
      </c>
      <c r="M25" s="54">
        <v>244892</v>
      </c>
      <c r="N25" s="69">
        <f t="shared" si="5"/>
        <v>8075.2917562724015</v>
      </c>
      <c r="P25" s="58">
        <v>24</v>
      </c>
      <c r="Q25" s="68">
        <f t="shared" si="6"/>
        <v>33.41317365269461</v>
      </c>
      <c r="R25" s="54">
        <v>71007</v>
      </c>
      <c r="S25" s="69">
        <f t="shared" si="7"/>
        <v>2125.1198924731184</v>
      </c>
    </row>
    <row r="26" spans="1:20" x14ac:dyDescent="0.25">
      <c r="A26" s="58">
        <v>20</v>
      </c>
      <c r="B26" s="68">
        <f t="shared" si="0"/>
        <v>30.326086956521738</v>
      </c>
      <c r="C26" s="54">
        <v>-55320</v>
      </c>
      <c r="D26" s="69">
        <f t="shared" si="1"/>
        <v>-1824.1720430107528</v>
      </c>
      <c r="F26" s="58">
        <v>59</v>
      </c>
      <c r="G26" s="68">
        <f t="shared" si="2"/>
        <v>33.41317365269461</v>
      </c>
      <c r="H26" s="54">
        <v>167225</v>
      </c>
      <c r="I26" s="69">
        <f t="shared" si="3"/>
        <v>5004.7625448028675</v>
      </c>
      <c r="K26" s="58">
        <v>27</v>
      </c>
      <c r="L26" s="68">
        <f t="shared" si="4"/>
        <v>30.326086956521738</v>
      </c>
      <c r="M26" s="54">
        <v>217246</v>
      </c>
      <c r="N26" s="69">
        <f t="shared" si="5"/>
        <v>7163.6673835125448</v>
      </c>
      <c r="P26" s="58">
        <v>94</v>
      </c>
      <c r="Q26" s="68">
        <f t="shared" si="6"/>
        <v>33.41317365269461</v>
      </c>
      <c r="R26" s="54">
        <v>48569</v>
      </c>
      <c r="S26" s="69">
        <f t="shared" si="7"/>
        <v>1453.5883512544804</v>
      </c>
    </row>
    <row r="27" spans="1:20" x14ac:dyDescent="0.25">
      <c r="A27" s="58">
        <v>14</v>
      </c>
      <c r="B27" s="68">
        <f t="shared" si="0"/>
        <v>30.326086956521738</v>
      </c>
      <c r="C27" s="54">
        <v>-99929</v>
      </c>
      <c r="D27" s="69">
        <f t="shared" si="1"/>
        <v>-3295.1498207885306</v>
      </c>
      <c r="F27" s="50">
        <v>63</v>
      </c>
      <c r="G27" s="70">
        <f t="shared" si="2"/>
        <v>33.41317365269461</v>
      </c>
      <c r="H27" s="51">
        <v>-59023</v>
      </c>
      <c r="I27" s="71">
        <f t="shared" si="3"/>
        <v>-1766.4589605734768</v>
      </c>
      <c r="J27">
        <v>0</v>
      </c>
      <c r="K27" s="58">
        <v>98</v>
      </c>
      <c r="L27" s="68">
        <f t="shared" si="4"/>
        <v>30.326086956521738</v>
      </c>
      <c r="M27" s="54">
        <v>186371</v>
      </c>
      <c r="N27" s="69">
        <f t="shared" si="5"/>
        <v>6145.5670250896055</v>
      </c>
      <c r="P27" s="58">
        <v>98</v>
      </c>
      <c r="Q27" s="68">
        <f t="shared" si="6"/>
        <v>33.41317365269461</v>
      </c>
      <c r="R27" s="54">
        <v>42432</v>
      </c>
      <c r="S27" s="69">
        <f t="shared" si="7"/>
        <v>1269.9182795698925</v>
      </c>
    </row>
    <row r="28" spans="1:20" x14ac:dyDescent="0.25">
      <c r="A28" s="58">
        <v>59</v>
      </c>
      <c r="B28" s="68">
        <f t="shared" si="0"/>
        <v>30.326086956521738</v>
      </c>
      <c r="C28" s="54">
        <v>-120499</v>
      </c>
      <c r="D28" s="69">
        <f t="shared" si="1"/>
        <v>-3973.4437275985665</v>
      </c>
      <c r="F28" s="58">
        <v>70</v>
      </c>
      <c r="G28" s="68">
        <f t="shared" si="2"/>
        <v>33.41317365269461</v>
      </c>
      <c r="H28" s="54">
        <v>-82956</v>
      </c>
      <c r="I28" s="69">
        <f t="shared" si="3"/>
        <v>-2482.7333333333336</v>
      </c>
      <c r="K28" s="58">
        <v>82</v>
      </c>
      <c r="L28" s="68">
        <f t="shared" si="4"/>
        <v>30.326086956521738</v>
      </c>
      <c r="M28" s="54">
        <v>157735</v>
      </c>
      <c r="N28" s="69">
        <f t="shared" si="5"/>
        <v>5201.2974910394269</v>
      </c>
      <c r="P28" s="58">
        <v>79</v>
      </c>
      <c r="Q28" s="68">
        <f t="shared" si="6"/>
        <v>33.41317365269461</v>
      </c>
      <c r="R28" s="54">
        <v>-17472</v>
      </c>
      <c r="S28" s="69">
        <f t="shared" si="7"/>
        <v>-522.9075268817204</v>
      </c>
    </row>
    <row r="29" spans="1:20" x14ac:dyDescent="0.25">
      <c r="A29" s="58">
        <v>11</v>
      </c>
      <c r="B29" s="68">
        <f t="shared" si="0"/>
        <v>30.326086956521738</v>
      </c>
      <c r="C29" s="54">
        <v>-150180</v>
      </c>
      <c r="D29" s="69">
        <f t="shared" si="1"/>
        <v>-4952.1720430107525</v>
      </c>
      <c r="F29" s="58">
        <v>64</v>
      </c>
      <c r="G29" s="68">
        <f t="shared" si="2"/>
        <v>33.41317365269461</v>
      </c>
      <c r="H29" s="54">
        <v>-163863</v>
      </c>
      <c r="I29" s="69">
        <f t="shared" si="3"/>
        <v>-4904.1435483870973</v>
      </c>
      <c r="K29" s="50">
        <v>39</v>
      </c>
      <c r="L29" s="70">
        <f t="shared" si="4"/>
        <v>30.326086956521738</v>
      </c>
      <c r="M29" s="51">
        <v>75371</v>
      </c>
      <c r="N29" s="71">
        <f t="shared" si="5"/>
        <v>2485.3519713261649</v>
      </c>
      <c r="O29">
        <v>0</v>
      </c>
      <c r="P29" s="58">
        <v>30</v>
      </c>
      <c r="Q29" s="68">
        <f t="shared" si="6"/>
        <v>33.41317365269461</v>
      </c>
      <c r="R29" s="54">
        <v>-18899</v>
      </c>
      <c r="S29" s="69">
        <f t="shared" si="7"/>
        <v>-565.61523297491044</v>
      </c>
    </row>
    <row r="30" spans="1:20" x14ac:dyDescent="0.25">
      <c r="A30" s="58">
        <v>19</v>
      </c>
      <c r="B30" s="68">
        <f t="shared" si="0"/>
        <v>30.326086956521738</v>
      </c>
      <c r="C30" s="54">
        <v>-212225</v>
      </c>
      <c r="D30" s="69">
        <f t="shared" si="1"/>
        <v>-6998.1003584229393</v>
      </c>
      <c r="F30" s="58">
        <v>8</v>
      </c>
      <c r="G30" s="68">
        <f t="shared" si="2"/>
        <v>33.41317365269461</v>
      </c>
      <c r="H30" s="54">
        <v>-187009</v>
      </c>
      <c r="I30" s="69">
        <f t="shared" si="3"/>
        <v>-5596.8643369175625</v>
      </c>
      <c r="K30" s="58">
        <v>79</v>
      </c>
      <c r="L30" s="68">
        <f t="shared" si="4"/>
        <v>30.326086956521738</v>
      </c>
      <c r="M30" s="54">
        <v>42924</v>
      </c>
      <c r="N30" s="69">
        <f t="shared" si="5"/>
        <v>1415.4150537634409</v>
      </c>
      <c r="P30" s="50">
        <v>99</v>
      </c>
      <c r="Q30" s="70">
        <f t="shared" si="6"/>
        <v>33.41317365269461</v>
      </c>
      <c r="R30" s="51">
        <v>-53380</v>
      </c>
      <c r="S30" s="71">
        <f t="shared" si="7"/>
        <v>-1597.573476702509</v>
      </c>
    </row>
    <row r="31" spans="1:20" x14ac:dyDescent="0.25">
      <c r="A31" s="52">
        <v>7</v>
      </c>
      <c r="B31" s="72">
        <f t="shared" si="0"/>
        <v>30.326086956521738</v>
      </c>
      <c r="C31" s="53">
        <v>-425925</v>
      </c>
      <c r="D31" s="73">
        <f t="shared" si="1"/>
        <v>-14044.83870967742</v>
      </c>
      <c r="F31" s="50">
        <v>61</v>
      </c>
      <c r="G31" s="70">
        <f t="shared" si="2"/>
        <v>33.41317365269461</v>
      </c>
      <c r="H31" s="51">
        <v>-223907</v>
      </c>
      <c r="I31" s="71">
        <f t="shared" si="3"/>
        <v>-6701.159318996416</v>
      </c>
      <c r="J31">
        <v>0</v>
      </c>
      <c r="K31" s="58">
        <v>49</v>
      </c>
      <c r="L31" s="68">
        <f t="shared" si="4"/>
        <v>30.326086956521738</v>
      </c>
      <c r="M31" s="54">
        <v>-35135</v>
      </c>
      <c r="N31" s="69">
        <f t="shared" si="5"/>
        <v>-1158.573476702509</v>
      </c>
      <c r="P31" s="58">
        <v>76</v>
      </c>
      <c r="Q31" s="68">
        <f t="shared" si="6"/>
        <v>33.41317365269461</v>
      </c>
      <c r="R31" s="54">
        <v>-134133</v>
      </c>
      <c r="S31" s="69">
        <f t="shared" si="7"/>
        <v>-4014.3747311827956</v>
      </c>
    </row>
    <row r="32" spans="1:20" x14ac:dyDescent="0.25">
      <c r="A32" s="58">
        <v>88</v>
      </c>
      <c r="B32" s="68">
        <f t="shared" si="0"/>
        <v>30.326086956521738</v>
      </c>
      <c r="C32" s="54">
        <v>-426293</v>
      </c>
      <c r="D32" s="69">
        <f t="shared" si="1"/>
        <v>-14056.973476702509</v>
      </c>
      <c r="F32" s="58">
        <v>92</v>
      </c>
      <c r="G32" s="68">
        <f t="shared" si="2"/>
        <v>33.41317365269461</v>
      </c>
      <c r="H32" s="54">
        <v>-299484</v>
      </c>
      <c r="I32" s="69">
        <f t="shared" si="3"/>
        <v>-8963.0516129032258</v>
      </c>
      <c r="K32" s="50">
        <v>86</v>
      </c>
      <c r="L32" s="70">
        <f t="shared" si="4"/>
        <v>30.326086956521738</v>
      </c>
      <c r="M32" s="51">
        <v>-36114</v>
      </c>
      <c r="N32" s="71">
        <f t="shared" si="5"/>
        <v>-1190.8559139784948</v>
      </c>
      <c r="O32">
        <v>0</v>
      </c>
      <c r="P32" s="58">
        <v>27</v>
      </c>
      <c r="Q32" s="68">
        <f t="shared" si="6"/>
        <v>33.41317365269461</v>
      </c>
      <c r="R32" s="54">
        <v>-237585</v>
      </c>
      <c r="S32" s="69">
        <f t="shared" si="7"/>
        <v>-7110.5188172043008</v>
      </c>
    </row>
    <row r="33" spans="1:20" x14ac:dyDescent="0.25">
      <c r="A33" s="50">
        <v>1</v>
      </c>
      <c r="B33" s="70">
        <f t="shared" si="0"/>
        <v>30.326086956521738</v>
      </c>
      <c r="C33" s="51">
        <v>-436549</v>
      </c>
      <c r="D33" s="71">
        <f t="shared" si="1"/>
        <v>-14395.164157706093</v>
      </c>
      <c r="E33">
        <v>0</v>
      </c>
      <c r="F33" s="58">
        <v>93</v>
      </c>
      <c r="G33" s="68">
        <f t="shared" si="2"/>
        <v>33.41317365269461</v>
      </c>
      <c r="H33" s="54">
        <v>-392062</v>
      </c>
      <c r="I33" s="69">
        <f t="shared" si="3"/>
        <v>-11733.755197132617</v>
      </c>
      <c r="K33" s="50">
        <v>95</v>
      </c>
      <c r="L33" s="70">
        <f t="shared" si="4"/>
        <v>30.326086956521738</v>
      </c>
      <c r="M33" s="51">
        <v>-117870</v>
      </c>
      <c r="N33" s="71">
        <f t="shared" si="5"/>
        <v>-3886.7526881720432</v>
      </c>
      <c r="O33">
        <v>0</v>
      </c>
      <c r="P33" s="58">
        <v>49</v>
      </c>
      <c r="Q33" s="68">
        <f t="shared" si="6"/>
        <v>33.41317365269461</v>
      </c>
      <c r="R33" s="54">
        <v>-320509</v>
      </c>
      <c r="S33" s="69">
        <f t="shared" si="7"/>
        <v>-9592.2944444444438</v>
      </c>
    </row>
    <row r="34" spans="1:20" x14ac:dyDescent="0.25">
      <c r="A34" s="58">
        <v>16</v>
      </c>
      <c r="B34" s="68">
        <f t="shared" si="0"/>
        <v>30.326086956521738</v>
      </c>
      <c r="C34" s="54">
        <v>-516654</v>
      </c>
      <c r="D34" s="69">
        <f t="shared" si="1"/>
        <v>-17036.619354838709</v>
      </c>
      <c r="F34" s="58">
        <v>17</v>
      </c>
      <c r="G34" s="68">
        <f t="shared" si="2"/>
        <v>33.41317365269461</v>
      </c>
      <c r="H34" s="54">
        <v>-421127</v>
      </c>
      <c r="I34" s="69">
        <f t="shared" si="3"/>
        <v>-12603.621684587813</v>
      </c>
      <c r="K34" s="58">
        <v>42</v>
      </c>
      <c r="L34" s="68">
        <f t="shared" si="4"/>
        <v>30.326086956521738</v>
      </c>
      <c r="M34" s="54">
        <v>-137859</v>
      </c>
      <c r="N34" s="69">
        <f t="shared" si="5"/>
        <v>-4545.8881720430109</v>
      </c>
      <c r="P34" s="58">
        <v>47</v>
      </c>
      <c r="Q34" s="68">
        <f t="shared" si="6"/>
        <v>33.41317365269461</v>
      </c>
      <c r="R34" s="54">
        <v>-338573</v>
      </c>
      <c r="S34" s="69">
        <f t="shared" si="7"/>
        <v>-10132.919534050179</v>
      </c>
    </row>
    <row r="35" spans="1:20" x14ac:dyDescent="0.25">
      <c r="A35" s="58">
        <v>73</v>
      </c>
      <c r="B35" s="68">
        <f t="shared" si="0"/>
        <v>30.326086956521738</v>
      </c>
      <c r="C35" s="54">
        <v>-526062</v>
      </c>
      <c r="D35" s="69">
        <f t="shared" si="1"/>
        <v>-17346.847311827958</v>
      </c>
      <c r="F35" s="50">
        <v>5</v>
      </c>
      <c r="G35" s="70">
        <f t="shared" si="2"/>
        <v>33.41317365269461</v>
      </c>
      <c r="H35" s="51">
        <v>-473972</v>
      </c>
      <c r="I35" s="71">
        <f t="shared" si="3"/>
        <v>-14185.183512544803</v>
      </c>
      <c r="J35">
        <v>0</v>
      </c>
      <c r="K35" s="58">
        <v>50</v>
      </c>
      <c r="L35" s="68">
        <f t="shared" si="4"/>
        <v>30.326086956521738</v>
      </c>
      <c r="M35" s="54">
        <v>-141217</v>
      </c>
      <c r="N35" s="69">
        <f t="shared" si="5"/>
        <v>-4656.6179211469534</v>
      </c>
      <c r="P35" s="50">
        <v>34</v>
      </c>
      <c r="Q35" s="70">
        <f t="shared" si="6"/>
        <v>33.41317365269461</v>
      </c>
      <c r="R35" s="51">
        <v>-343537</v>
      </c>
      <c r="S35" s="71">
        <f t="shared" si="7"/>
        <v>-10281.483691756273</v>
      </c>
    </row>
    <row r="36" spans="1:20" x14ac:dyDescent="0.25">
      <c r="A36" s="58">
        <v>69</v>
      </c>
      <c r="B36" s="68">
        <f t="shared" si="0"/>
        <v>30.326086956521738</v>
      </c>
      <c r="C36" s="54">
        <v>-582190</v>
      </c>
      <c r="D36" s="69">
        <f t="shared" si="1"/>
        <v>-19197.663082437277</v>
      </c>
      <c r="F36" s="58">
        <v>67</v>
      </c>
      <c r="G36" s="68">
        <f t="shared" si="2"/>
        <v>33.41317365269461</v>
      </c>
      <c r="H36" s="54">
        <v>-479440</v>
      </c>
      <c r="I36" s="69">
        <f t="shared" si="3"/>
        <v>-14348.831541218638</v>
      </c>
      <c r="K36" s="58">
        <v>24</v>
      </c>
      <c r="L36" s="68">
        <f t="shared" si="4"/>
        <v>30.326086956521738</v>
      </c>
      <c r="M36" s="54">
        <v>-265494</v>
      </c>
      <c r="N36" s="69">
        <f t="shared" si="5"/>
        <v>-8754.6408602150532</v>
      </c>
      <c r="P36" s="58">
        <v>26</v>
      </c>
      <c r="Q36" s="68">
        <f t="shared" si="6"/>
        <v>33.41317365269461</v>
      </c>
      <c r="R36" s="54">
        <v>-410208</v>
      </c>
      <c r="S36" s="69">
        <f t="shared" si="7"/>
        <v>-12276.834408602152</v>
      </c>
    </row>
    <row r="37" spans="1:20" x14ac:dyDescent="0.25">
      <c r="A37" s="58">
        <v>17</v>
      </c>
      <c r="B37" s="68">
        <f t="shared" si="0"/>
        <v>30.326086956521738</v>
      </c>
      <c r="C37" s="54">
        <v>-710390</v>
      </c>
      <c r="D37" s="69">
        <f t="shared" si="1"/>
        <v>-23425.046594982079</v>
      </c>
      <c r="F37" s="58">
        <v>65</v>
      </c>
      <c r="G37" s="68">
        <f t="shared" si="2"/>
        <v>33.41317365269461</v>
      </c>
      <c r="H37" s="54">
        <v>-681880</v>
      </c>
      <c r="I37" s="69">
        <f t="shared" si="3"/>
        <v>-20407.519713261649</v>
      </c>
      <c r="K37" s="50">
        <v>44</v>
      </c>
      <c r="L37" s="70">
        <f t="shared" si="4"/>
        <v>30.326086956521738</v>
      </c>
      <c r="M37" s="51">
        <v>-279807</v>
      </c>
      <c r="N37" s="71">
        <f t="shared" si="5"/>
        <v>-9226.6107526881715</v>
      </c>
      <c r="O37">
        <v>0</v>
      </c>
      <c r="P37" s="58">
        <v>55</v>
      </c>
      <c r="Q37" s="68">
        <f t="shared" si="6"/>
        <v>33.41317365269461</v>
      </c>
      <c r="R37" s="54">
        <v>-412943</v>
      </c>
      <c r="S37" s="69">
        <f t="shared" si="7"/>
        <v>-12358.688351254481</v>
      </c>
    </row>
    <row r="38" spans="1:20" x14ac:dyDescent="0.25">
      <c r="A38" s="58">
        <v>12</v>
      </c>
      <c r="B38" s="68">
        <f t="shared" si="0"/>
        <v>30.326086956521738</v>
      </c>
      <c r="C38" s="54">
        <v>-753136</v>
      </c>
      <c r="D38" s="69">
        <f t="shared" si="1"/>
        <v>-24834.592114695341</v>
      </c>
      <c r="F38" s="50">
        <v>15</v>
      </c>
      <c r="G38" s="70">
        <f t="shared" si="2"/>
        <v>33.41317365269461</v>
      </c>
      <c r="H38" s="51">
        <v>-737370</v>
      </c>
      <c r="I38" s="71">
        <f t="shared" si="3"/>
        <v>-22068.241935483871</v>
      </c>
      <c r="J38">
        <v>0</v>
      </c>
      <c r="K38" s="58">
        <v>78</v>
      </c>
      <c r="L38" s="68">
        <f t="shared" si="4"/>
        <v>30.326086956521738</v>
      </c>
      <c r="M38" s="54">
        <v>-450754</v>
      </c>
      <c r="N38" s="69">
        <f t="shared" si="5"/>
        <v>-14863.572759856632</v>
      </c>
      <c r="P38" s="50">
        <v>22</v>
      </c>
      <c r="Q38" s="70">
        <f t="shared" si="6"/>
        <v>33.41317365269461</v>
      </c>
      <c r="R38" s="51">
        <v>-443480</v>
      </c>
      <c r="S38" s="71">
        <f t="shared" si="7"/>
        <v>-13272.609318996416</v>
      </c>
    </row>
    <row r="39" spans="1:20" x14ac:dyDescent="0.25">
      <c r="A39" s="58">
        <v>58</v>
      </c>
      <c r="B39" s="68">
        <f t="shared" si="0"/>
        <v>30.326086956521738</v>
      </c>
      <c r="C39" s="54">
        <v>-793953</v>
      </c>
      <c r="D39" s="69">
        <f t="shared" si="1"/>
        <v>-26180.529032258066</v>
      </c>
      <c r="F39" s="50">
        <v>6</v>
      </c>
      <c r="G39" s="70">
        <f t="shared" si="2"/>
        <v>33.41317365269461</v>
      </c>
      <c r="H39" s="51">
        <v>-760719</v>
      </c>
      <c r="I39" s="71">
        <f t="shared" si="3"/>
        <v>-22767.038172043012</v>
      </c>
      <c r="J39">
        <v>0</v>
      </c>
      <c r="K39" s="58">
        <v>81</v>
      </c>
      <c r="L39" s="68">
        <f t="shared" si="4"/>
        <v>30.326086956521738</v>
      </c>
      <c r="M39" s="54">
        <v>-460974</v>
      </c>
      <c r="N39" s="69">
        <f t="shared" si="5"/>
        <v>-15200.576344086023</v>
      </c>
      <c r="P39" s="58">
        <v>97</v>
      </c>
      <c r="Q39" s="68">
        <f t="shared" si="6"/>
        <v>33.41317365269461</v>
      </c>
      <c r="R39" s="54">
        <v>-474669</v>
      </c>
      <c r="S39" s="69">
        <f t="shared" si="7"/>
        <v>-14206.043548387097</v>
      </c>
    </row>
    <row r="40" spans="1:20" x14ac:dyDescent="0.25">
      <c r="A40" s="58">
        <v>68</v>
      </c>
      <c r="B40" s="68">
        <f t="shared" si="0"/>
        <v>30.326086956521738</v>
      </c>
      <c r="C40" s="54">
        <v>-803861</v>
      </c>
      <c r="D40" s="69">
        <f t="shared" si="1"/>
        <v>-26507.244444444445</v>
      </c>
      <c r="F40" s="58">
        <v>18</v>
      </c>
      <c r="G40" s="68">
        <f t="shared" si="2"/>
        <v>33.41317365269461</v>
      </c>
      <c r="H40" s="54">
        <v>-824942</v>
      </c>
      <c r="I40" s="69">
        <f t="shared" si="3"/>
        <v>-24689.124372759856</v>
      </c>
      <c r="K40" s="58">
        <v>48</v>
      </c>
      <c r="L40" s="68">
        <f t="shared" si="4"/>
        <v>30.326086956521738</v>
      </c>
      <c r="M40" s="54">
        <v>-522318</v>
      </c>
      <c r="N40" s="69">
        <f t="shared" si="5"/>
        <v>-17223.389247311829</v>
      </c>
      <c r="P40" s="50">
        <v>57</v>
      </c>
      <c r="Q40" s="70">
        <f t="shared" si="6"/>
        <v>33.41317365269461</v>
      </c>
      <c r="R40" s="51">
        <v>-519769</v>
      </c>
      <c r="S40" s="71">
        <f t="shared" si="7"/>
        <v>-15555.810573476703</v>
      </c>
    </row>
    <row r="41" spans="1:20" x14ac:dyDescent="0.25">
      <c r="A41" s="58">
        <v>60</v>
      </c>
      <c r="B41" s="68">
        <f t="shared" si="0"/>
        <v>30.326086956521738</v>
      </c>
      <c r="C41" s="54">
        <v>-850901</v>
      </c>
      <c r="D41" s="69">
        <f t="shared" si="1"/>
        <v>-28058.384229390682</v>
      </c>
      <c r="F41" s="58">
        <v>11</v>
      </c>
      <c r="G41" s="68">
        <f t="shared" si="2"/>
        <v>33.41317365269461</v>
      </c>
      <c r="H41" s="54">
        <v>-906527</v>
      </c>
      <c r="I41" s="69">
        <f t="shared" si="3"/>
        <v>-27130.825985663083</v>
      </c>
      <c r="K41" s="58">
        <v>87</v>
      </c>
      <c r="L41" s="68">
        <f t="shared" si="4"/>
        <v>30.326086956521738</v>
      </c>
      <c r="M41" s="54">
        <v>-542332</v>
      </c>
      <c r="N41" s="69">
        <f t="shared" si="5"/>
        <v>-17883.349103942652</v>
      </c>
      <c r="P41" s="50">
        <v>35</v>
      </c>
      <c r="Q41" s="70">
        <f t="shared" si="6"/>
        <v>33.41317365269461</v>
      </c>
      <c r="R41" s="51">
        <v>-552149</v>
      </c>
      <c r="S41" s="71">
        <f t="shared" si="7"/>
        <v>-16524.889426523299</v>
      </c>
      <c r="T41">
        <v>0</v>
      </c>
    </row>
    <row r="42" spans="1:20" x14ac:dyDescent="0.25">
      <c r="A42" s="50">
        <v>74</v>
      </c>
      <c r="B42" s="70">
        <f t="shared" si="0"/>
        <v>30.326086956521738</v>
      </c>
      <c r="C42" s="51">
        <v>-871942</v>
      </c>
      <c r="D42" s="71">
        <f t="shared" si="1"/>
        <v>-28752.209318996418</v>
      </c>
      <c r="E42">
        <v>0</v>
      </c>
      <c r="F42" s="58">
        <v>14</v>
      </c>
      <c r="G42" s="68">
        <f t="shared" si="2"/>
        <v>33.41317365269461</v>
      </c>
      <c r="H42" s="54">
        <v>-923878</v>
      </c>
      <c r="I42" s="69">
        <f t="shared" si="3"/>
        <v>-27650.112186379931</v>
      </c>
      <c r="K42" s="58">
        <v>41</v>
      </c>
      <c r="L42" s="68">
        <f t="shared" si="4"/>
        <v>30.326086956521738</v>
      </c>
      <c r="M42" s="54">
        <v>-545075</v>
      </c>
      <c r="N42" s="69">
        <f t="shared" si="5"/>
        <v>-17973.799283154123</v>
      </c>
      <c r="P42" s="58">
        <v>81</v>
      </c>
      <c r="Q42" s="68">
        <f t="shared" si="6"/>
        <v>33.41317365269461</v>
      </c>
      <c r="R42" s="54">
        <v>-553719</v>
      </c>
      <c r="S42" s="69">
        <f t="shared" si="7"/>
        <v>-16571.876881720429</v>
      </c>
    </row>
    <row r="43" spans="1:20" x14ac:dyDescent="0.25">
      <c r="A43" s="58">
        <v>71</v>
      </c>
      <c r="B43" s="68">
        <f t="shared" si="0"/>
        <v>30.326086956521738</v>
      </c>
      <c r="C43" s="54">
        <v>-879757</v>
      </c>
      <c r="D43" s="69">
        <f t="shared" si="1"/>
        <v>-29009.908243727601</v>
      </c>
      <c r="F43" s="50">
        <v>90</v>
      </c>
      <c r="G43" s="70">
        <f t="shared" si="2"/>
        <v>33.41317365269461</v>
      </c>
      <c r="H43" s="51">
        <v>-944796</v>
      </c>
      <c r="I43" s="71">
        <f t="shared" si="3"/>
        <v>-28276.152688172042</v>
      </c>
      <c r="J43">
        <v>0</v>
      </c>
      <c r="K43" s="58">
        <v>23</v>
      </c>
      <c r="L43" s="68">
        <f t="shared" si="4"/>
        <v>30.326086956521738</v>
      </c>
      <c r="M43" s="54">
        <v>-550483</v>
      </c>
      <c r="N43" s="69">
        <f t="shared" si="5"/>
        <v>-18152.127598566309</v>
      </c>
      <c r="P43" s="52">
        <v>25</v>
      </c>
      <c r="Q43" s="72">
        <f t="shared" si="6"/>
        <v>33.41317365269461</v>
      </c>
      <c r="R43" s="53">
        <v>-602771</v>
      </c>
      <c r="S43" s="73">
        <f t="shared" si="7"/>
        <v>-18039.920609318997</v>
      </c>
      <c r="T43">
        <v>0</v>
      </c>
    </row>
    <row r="44" spans="1:20" x14ac:dyDescent="0.25">
      <c r="A44" s="58">
        <v>13</v>
      </c>
      <c r="B44" s="68">
        <f t="shared" si="0"/>
        <v>30.326086956521738</v>
      </c>
      <c r="C44" s="54">
        <v>-1072053</v>
      </c>
      <c r="D44" s="69">
        <f t="shared" si="1"/>
        <v>-35350.851612903229</v>
      </c>
      <c r="F44" s="58">
        <v>88</v>
      </c>
      <c r="G44" s="68">
        <f t="shared" si="2"/>
        <v>33.41317365269461</v>
      </c>
      <c r="H44" s="54">
        <v>-964689</v>
      </c>
      <c r="I44" s="69">
        <f t="shared" si="3"/>
        <v>-28871.516666666666</v>
      </c>
      <c r="K44" s="58">
        <v>55</v>
      </c>
      <c r="L44" s="68">
        <f t="shared" si="4"/>
        <v>30.326086956521738</v>
      </c>
      <c r="M44" s="54">
        <v>-592287</v>
      </c>
      <c r="N44" s="69">
        <f t="shared" si="5"/>
        <v>-19530.610752688171</v>
      </c>
      <c r="P44" s="58">
        <v>23</v>
      </c>
      <c r="Q44" s="68">
        <f t="shared" si="6"/>
        <v>33.41317365269461</v>
      </c>
      <c r="R44" s="54">
        <v>-625997</v>
      </c>
      <c r="S44" s="69">
        <f t="shared" si="7"/>
        <v>-18735.035663082439</v>
      </c>
    </row>
    <row r="45" spans="1:20" x14ac:dyDescent="0.25">
      <c r="A45" s="58">
        <v>92</v>
      </c>
      <c r="B45" s="68">
        <f t="shared" si="0"/>
        <v>30.326086956521738</v>
      </c>
      <c r="C45" s="54">
        <v>-1105120</v>
      </c>
      <c r="D45" s="69">
        <f t="shared" si="1"/>
        <v>-36441.232974910396</v>
      </c>
      <c r="F45" s="50">
        <v>10</v>
      </c>
      <c r="G45" s="70">
        <f t="shared" si="2"/>
        <v>33.41317365269461</v>
      </c>
      <c r="H45" s="51">
        <v>-1019506</v>
      </c>
      <c r="I45" s="71">
        <f t="shared" si="3"/>
        <v>-30512.097132616487</v>
      </c>
      <c r="J45">
        <v>0</v>
      </c>
      <c r="K45" s="50">
        <v>31</v>
      </c>
      <c r="L45" s="70">
        <f t="shared" si="4"/>
        <v>30.326086956521738</v>
      </c>
      <c r="M45" s="51">
        <v>-620072</v>
      </c>
      <c r="N45" s="71">
        <f t="shared" si="5"/>
        <v>-20446.818637992834</v>
      </c>
      <c r="O45">
        <v>0</v>
      </c>
      <c r="P45" s="58">
        <v>78</v>
      </c>
      <c r="Q45" s="68">
        <f t="shared" si="6"/>
        <v>33.41317365269461</v>
      </c>
      <c r="R45" s="54">
        <v>-732192</v>
      </c>
      <c r="S45" s="69">
        <f t="shared" si="7"/>
        <v>-21913.273118279569</v>
      </c>
    </row>
    <row r="46" spans="1:20" x14ac:dyDescent="0.25">
      <c r="A46" s="58">
        <v>21</v>
      </c>
      <c r="B46" s="68">
        <f t="shared" si="0"/>
        <v>30.326086956521738</v>
      </c>
      <c r="C46" s="54">
        <v>-1124143</v>
      </c>
      <c r="D46" s="69">
        <f t="shared" si="1"/>
        <v>-37068.514695340506</v>
      </c>
      <c r="F46" s="50">
        <v>2</v>
      </c>
      <c r="G46" s="70">
        <f t="shared" si="2"/>
        <v>33.41317365269461</v>
      </c>
      <c r="H46" s="51">
        <v>-1048073</v>
      </c>
      <c r="I46" s="71">
        <f t="shared" si="3"/>
        <v>-31367.059318996417</v>
      </c>
      <c r="J46">
        <v>0</v>
      </c>
      <c r="K46" s="58">
        <v>40</v>
      </c>
      <c r="L46" s="68">
        <f t="shared" si="4"/>
        <v>30.326086956521738</v>
      </c>
      <c r="M46" s="54">
        <v>-658386</v>
      </c>
      <c r="N46" s="69">
        <f t="shared" si="5"/>
        <v>-21710.219354838711</v>
      </c>
      <c r="P46" s="58">
        <v>41</v>
      </c>
      <c r="Q46" s="68">
        <f t="shared" si="6"/>
        <v>33.41317365269461</v>
      </c>
      <c r="R46" s="54">
        <v>-890843</v>
      </c>
      <c r="S46" s="69">
        <f t="shared" si="7"/>
        <v>-26661.430286738352</v>
      </c>
    </row>
    <row r="47" spans="1:20" x14ac:dyDescent="0.25">
      <c r="A47" s="58">
        <v>64</v>
      </c>
      <c r="B47" s="68">
        <f t="shared" si="0"/>
        <v>30.326086956521738</v>
      </c>
      <c r="C47" s="54">
        <v>-1198677</v>
      </c>
      <c r="D47" s="69">
        <f t="shared" si="1"/>
        <v>-39526.26666666667</v>
      </c>
      <c r="F47" s="58">
        <v>12</v>
      </c>
      <c r="G47" s="68">
        <f t="shared" si="2"/>
        <v>33.41317365269461</v>
      </c>
      <c r="H47" s="54">
        <v>-1098022</v>
      </c>
      <c r="I47" s="69">
        <f t="shared" si="3"/>
        <v>-32861.948745519716</v>
      </c>
      <c r="K47" s="58">
        <v>97</v>
      </c>
      <c r="L47" s="68">
        <f t="shared" si="4"/>
        <v>30.326086956521738</v>
      </c>
      <c r="M47" s="54">
        <v>-661431</v>
      </c>
      <c r="N47" s="69">
        <f t="shared" si="5"/>
        <v>-21810.627956989247</v>
      </c>
      <c r="P47" s="58">
        <v>48</v>
      </c>
      <c r="Q47" s="68">
        <f t="shared" si="6"/>
        <v>33.41317365269461</v>
      </c>
      <c r="R47" s="54">
        <v>-914243</v>
      </c>
      <c r="S47" s="69">
        <f t="shared" si="7"/>
        <v>-27361.752867383515</v>
      </c>
    </row>
    <row r="48" spans="1:20" x14ac:dyDescent="0.25">
      <c r="A48" s="50">
        <v>3</v>
      </c>
      <c r="B48" s="70">
        <f t="shared" si="0"/>
        <v>30.326086956521738</v>
      </c>
      <c r="C48" s="51">
        <v>-1231829</v>
      </c>
      <c r="D48" s="71">
        <f t="shared" si="1"/>
        <v>-40619.450896057351</v>
      </c>
      <c r="E48">
        <v>0</v>
      </c>
      <c r="F48" s="50">
        <v>72</v>
      </c>
      <c r="G48" s="70">
        <f t="shared" si="2"/>
        <v>33.41317365269461</v>
      </c>
      <c r="H48" s="51">
        <v>-1168137</v>
      </c>
      <c r="I48" s="71">
        <f t="shared" si="3"/>
        <v>-34960.372580645162</v>
      </c>
      <c r="J48">
        <v>0</v>
      </c>
      <c r="K48" s="58">
        <v>56</v>
      </c>
      <c r="L48" s="68">
        <f t="shared" si="4"/>
        <v>30.326086956521738</v>
      </c>
      <c r="M48" s="54">
        <v>-736742</v>
      </c>
      <c r="N48" s="69">
        <f t="shared" si="5"/>
        <v>-24294.001433691756</v>
      </c>
      <c r="P48" s="58">
        <v>96</v>
      </c>
      <c r="Q48" s="68">
        <f t="shared" si="6"/>
        <v>33.41317365269461</v>
      </c>
      <c r="R48" s="54">
        <v>-944950</v>
      </c>
      <c r="S48" s="69">
        <f t="shared" si="7"/>
        <v>-28280.76164874552</v>
      </c>
    </row>
    <row r="49" spans="1:20" x14ac:dyDescent="0.25">
      <c r="A49" s="58">
        <v>70</v>
      </c>
      <c r="B49" s="68">
        <f t="shared" si="0"/>
        <v>30.326086956521738</v>
      </c>
      <c r="C49" s="54">
        <v>-1290356</v>
      </c>
      <c r="D49" s="69">
        <f t="shared" si="1"/>
        <v>-42549.373476702509</v>
      </c>
      <c r="F49" s="58">
        <v>62</v>
      </c>
      <c r="G49" s="68">
        <f t="shared" si="2"/>
        <v>33.41317365269461</v>
      </c>
      <c r="H49" s="54">
        <v>-1177761</v>
      </c>
      <c r="I49" s="69">
        <f t="shared" si="3"/>
        <v>-35248.402688172042</v>
      </c>
      <c r="K49" s="50">
        <v>85</v>
      </c>
      <c r="L49" s="70">
        <f t="shared" si="4"/>
        <v>30.326086956521738</v>
      </c>
      <c r="M49" s="51">
        <v>-789944</v>
      </c>
      <c r="N49" s="71">
        <f t="shared" si="5"/>
        <v>-26048.332616487456</v>
      </c>
      <c r="O49">
        <v>0</v>
      </c>
      <c r="P49" s="58">
        <v>82</v>
      </c>
      <c r="Q49" s="68">
        <f t="shared" si="6"/>
        <v>33.41317365269461</v>
      </c>
      <c r="R49" s="54">
        <v>-954865</v>
      </c>
      <c r="S49" s="69">
        <f t="shared" si="7"/>
        <v>-28577.500896057347</v>
      </c>
    </row>
    <row r="50" spans="1:20" x14ac:dyDescent="0.25">
      <c r="A50" s="58">
        <v>65</v>
      </c>
      <c r="B50" s="68">
        <f t="shared" si="0"/>
        <v>30.326086956521738</v>
      </c>
      <c r="C50" s="54">
        <v>-1335361</v>
      </c>
      <c r="D50" s="69">
        <f t="shared" si="1"/>
        <v>-44033.409318996419</v>
      </c>
      <c r="F50" s="58">
        <v>19</v>
      </c>
      <c r="G50" s="68">
        <f t="shared" si="2"/>
        <v>33.41317365269461</v>
      </c>
      <c r="H50" s="54">
        <v>-1251057</v>
      </c>
      <c r="I50" s="69">
        <f t="shared" si="3"/>
        <v>-37442.028494623657</v>
      </c>
      <c r="K50" s="58">
        <v>26</v>
      </c>
      <c r="L50" s="68">
        <f t="shared" si="4"/>
        <v>30.326086956521738</v>
      </c>
      <c r="M50" s="54">
        <v>-946136</v>
      </c>
      <c r="N50" s="69">
        <f t="shared" si="5"/>
        <v>-31198.749820788533</v>
      </c>
      <c r="P50" s="58">
        <v>50</v>
      </c>
      <c r="Q50" s="68">
        <f t="shared" si="6"/>
        <v>33.41317365269461</v>
      </c>
      <c r="R50" s="54">
        <v>-1011749</v>
      </c>
      <c r="S50" s="69">
        <f t="shared" si="7"/>
        <v>-30279.943189964157</v>
      </c>
    </row>
    <row r="51" spans="1:20" x14ac:dyDescent="0.25">
      <c r="A51" s="58">
        <v>18</v>
      </c>
      <c r="B51" s="68">
        <f t="shared" si="0"/>
        <v>30.326086956521738</v>
      </c>
      <c r="C51" s="54">
        <v>-1388548</v>
      </c>
      <c r="D51" s="69">
        <f t="shared" si="1"/>
        <v>-45787.2458781362</v>
      </c>
      <c r="F51" s="58">
        <v>68</v>
      </c>
      <c r="G51" s="68">
        <f t="shared" si="2"/>
        <v>33.41317365269461</v>
      </c>
      <c r="H51" s="54">
        <v>-1292553</v>
      </c>
      <c r="I51" s="69">
        <f t="shared" si="3"/>
        <v>-38683.933870967739</v>
      </c>
      <c r="K51" s="50">
        <v>84</v>
      </c>
      <c r="L51" s="70">
        <f t="shared" si="4"/>
        <v>30.326086956521738</v>
      </c>
      <c r="M51" s="51">
        <v>-948146</v>
      </c>
      <c r="N51" s="71">
        <f t="shared" si="5"/>
        <v>-31265.029390681004</v>
      </c>
      <c r="O51">
        <v>0</v>
      </c>
      <c r="P51" s="58">
        <v>40</v>
      </c>
      <c r="Q51" s="68">
        <f t="shared" si="6"/>
        <v>33.41317365269461</v>
      </c>
      <c r="R51" s="54">
        <v>-1028317</v>
      </c>
      <c r="S51" s="69">
        <f t="shared" si="7"/>
        <v>-30775.795519713261</v>
      </c>
    </row>
    <row r="52" spans="1:20" x14ac:dyDescent="0.25">
      <c r="A52" s="58">
        <v>91</v>
      </c>
      <c r="B52" s="68">
        <f t="shared" si="0"/>
        <v>30.326086956521738</v>
      </c>
      <c r="C52" s="54">
        <v>-1477388</v>
      </c>
      <c r="D52" s="69">
        <f t="shared" si="1"/>
        <v>-48716.736917562725</v>
      </c>
      <c r="F52" s="58">
        <v>60</v>
      </c>
      <c r="G52" s="68">
        <f t="shared" si="2"/>
        <v>33.41317365269461</v>
      </c>
      <c r="H52" s="54">
        <v>-1363928</v>
      </c>
      <c r="I52" s="69">
        <f t="shared" si="3"/>
        <v>-40820.067383512549</v>
      </c>
      <c r="K52" s="58">
        <v>37</v>
      </c>
      <c r="L52" s="68">
        <f t="shared" si="4"/>
        <v>30.326086956521738</v>
      </c>
      <c r="M52" s="54">
        <v>-1123636</v>
      </c>
      <c r="N52" s="69">
        <f t="shared" si="5"/>
        <v>-37051.796415770608</v>
      </c>
      <c r="P52" s="58">
        <v>45</v>
      </c>
      <c r="Q52" s="68">
        <f t="shared" si="6"/>
        <v>33.41317365269461</v>
      </c>
      <c r="R52" s="54">
        <v>-1108132</v>
      </c>
      <c r="S52" s="69">
        <f t="shared" si="7"/>
        <v>-33164.524014336916</v>
      </c>
    </row>
    <row r="53" spans="1:20" x14ac:dyDescent="0.25">
      <c r="A53" s="58">
        <v>67</v>
      </c>
      <c r="B53" s="68">
        <f t="shared" si="0"/>
        <v>30.326086956521738</v>
      </c>
      <c r="C53" s="54">
        <v>-1558535</v>
      </c>
      <c r="D53" s="69">
        <f t="shared" si="1"/>
        <v>-51392.551971326167</v>
      </c>
      <c r="F53" s="50">
        <v>66</v>
      </c>
      <c r="G53" s="70">
        <f t="shared" si="2"/>
        <v>33.41317365269461</v>
      </c>
      <c r="H53" s="51">
        <v>-1541082</v>
      </c>
      <c r="I53" s="71">
        <f t="shared" si="3"/>
        <v>-46121.988172043013</v>
      </c>
      <c r="J53">
        <v>0</v>
      </c>
      <c r="K53" s="58">
        <v>77</v>
      </c>
      <c r="L53" s="68">
        <f t="shared" si="4"/>
        <v>30.326086956521738</v>
      </c>
      <c r="M53" s="54">
        <v>-1136517</v>
      </c>
      <c r="N53" s="69">
        <f t="shared" si="5"/>
        <v>-37476.546236559137</v>
      </c>
      <c r="P53" s="58">
        <v>37</v>
      </c>
      <c r="Q53" s="68">
        <f t="shared" si="6"/>
        <v>33.41317365269461</v>
      </c>
      <c r="R53" s="54">
        <v>-1231599</v>
      </c>
      <c r="S53" s="69">
        <f t="shared" si="7"/>
        <v>-36859.683333333334</v>
      </c>
    </row>
    <row r="54" spans="1:20" x14ac:dyDescent="0.25">
      <c r="A54" s="58">
        <v>93</v>
      </c>
      <c r="B54" s="68">
        <f t="shared" si="0"/>
        <v>30.326086956521738</v>
      </c>
      <c r="C54" s="54">
        <v>-1560391</v>
      </c>
      <c r="D54" s="69">
        <f t="shared" si="1"/>
        <v>-51453.753405017924</v>
      </c>
      <c r="F54" s="58">
        <v>13</v>
      </c>
      <c r="G54" s="68">
        <f t="shared" si="2"/>
        <v>33.41317365269461</v>
      </c>
      <c r="H54" s="54">
        <v>-1570807</v>
      </c>
      <c r="I54" s="69">
        <f t="shared" si="3"/>
        <v>-47011.607347670251</v>
      </c>
      <c r="K54" s="58">
        <v>94</v>
      </c>
      <c r="L54" s="68">
        <f t="shared" si="4"/>
        <v>30.326086956521738</v>
      </c>
      <c r="M54" s="54">
        <v>-1189690</v>
      </c>
      <c r="N54" s="69">
        <f t="shared" si="5"/>
        <v>-39229.921146953406</v>
      </c>
      <c r="P54" s="58">
        <v>80</v>
      </c>
      <c r="Q54" s="68">
        <f t="shared" si="6"/>
        <v>33.41317365269461</v>
      </c>
      <c r="R54" s="54">
        <v>-1261366</v>
      </c>
      <c r="S54" s="69">
        <f t="shared" si="7"/>
        <v>-37750.559498207884</v>
      </c>
    </row>
    <row r="55" spans="1:20" x14ac:dyDescent="0.25">
      <c r="A55" s="58"/>
      <c r="B55" s="59"/>
      <c r="C55" s="54"/>
      <c r="D55" s="55"/>
      <c r="F55" s="58"/>
      <c r="G55" s="59"/>
      <c r="H55" s="54"/>
      <c r="I55" s="55"/>
      <c r="K55" s="50">
        <v>32</v>
      </c>
      <c r="L55" s="70">
        <f t="shared" si="4"/>
        <v>30.326086956521738</v>
      </c>
      <c r="M55" s="51">
        <v>-1238968</v>
      </c>
      <c r="N55" s="71">
        <f t="shared" si="5"/>
        <v>-40854.858781362011</v>
      </c>
      <c r="O55">
        <v>0</v>
      </c>
      <c r="P55" s="58">
        <v>52</v>
      </c>
      <c r="Q55" s="68">
        <f t="shared" si="6"/>
        <v>33.41317365269461</v>
      </c>
      <c r="R55" s="54">
        <v>-1306284</v>
      </c>
      <c r="S55" s="69">
        <f t="shared" si="7"/>
        <v>-39094.879569892473</v>
      </c>
    </row>
    <row r="56" spans="1:20" x14ac:dyDescent="0.25">
      <c r="A56" s="58"/>
      <c r="B56" s="59"/>
      <c r="C56" s="54"/>
      <c r="D56" s="55"/>
      <c r="F56" s="58"/>
      <c r="G56" s="59"/>
      <c r="H56" s="54"/>
      <c r="I56" s="55"/>
      <c r="K56" s="58">
        <v>36</v>
      </c>
      <c r="L56" s="68">
        <f t="shared" si="4"/>
        <v>30.326086956521738</v>
      </c>
      <c r="M56" s="54">
        <v>-1281241</v>
      </c>
      <c r="N56" s="69">
        <f t="shared" si="5"/>
        <v>-42248.807168458785</v>
      </c>
      <c r="P56" s="58">
        <v>38</v>
      </c>
      <c r="Q56" s="68">
        <f t="shared" si="6"/>
        <v>33.41317365269461</v>
      </c>
      <c r="R56" s="54">
        <v>-1308829</v>
      </c>
      <c r="S56" s="69">
        <f t="shared" si="7"/>
        <v>-39171.047132616492</v>
      </c>
    </row>
    <row r="57" spans="1:20" x14ac:dyDescent="0.25">
      <c r="A57" s="58"/>
      <c r="B57" s="59"/>
      <c r="C57" s="54"/>
      <c r="D57" s="55"/>
      <c r="F57" s="58"/>
      <c r="G57" s="59"/>
      <c r="H57" s="54"/>
      <c r="I57" s="55"/>
      <c r="K57" s="50">
        <v>29</v>
      </c>
      <c r="L57" s="70">
        <f t="shared" si="4"/>
        <v>30.326086956521738</v>
      </c>
      <c r="M57" s="51">
        <v>-1329121</v>
      </c>
      <c r="N57" s="71">
        <f t="shared" si="5"/>
        <v>-43827.645878136202</v>
      </c>
      <c r="O57">
        <v>0</v>
      </c>
      <c r="P57" s="50">
        <v>46</v>
      </c>
      <c r="Q57" s="70">
        <f t="shared" si="6"/>
        <v>33.41317365269461</v>
      </c>
      <c r="R57" s="51">
        <v>-1311822</v>
      </c>
      <c r="S57" s="71">
        <f t="shared" si="7"/>
        <v>-39260.622580645162</v>
      </c>
      <c r="T57">
        <v>0</v>
      </c>
    </row>
    <row r="58" spans="1:20" x14ac:dyDescent="0.25">
      <c r="A58" s="58"/>
      <c r="B58" s="59"/>
      <c r="C58" s="54"/>
      <c r="D58" s="55"/>
      <c r="F58" s="58"/>
      <c r="G58" s="59"/>
      <c r="H58" s="54"/>
      <c r="I58" s="55"/>
      <c r="K58" s="58">
        <v>80</v>
      </c>
      <c r="L58" s="68">
        <f t="shared" si="4"/>
        <v>30.326086956521738</v>
      </c>
      <c r="M58" s="54">
        <v>-1382584</v>
      </c>
      <c r="N58" s="69">
        <f t="shared" si="5"/>
        <v>-45590.583512544807</v>
      </c>
      <c r="P58" s="58">
        <v>53</v>
      </c>
      <c r="Q58" s="68">
        <f t="shared" si="6"/>
        <v>33.41317365269461</v>
      </c>
      <c r="R58" s="54">
        <v>-1316172</v>
      </c>
      <c r="S58" s="69">
        <f t="shared" si="7"/>
        <v>-39390.810752688172</v>
      </c>
    </row>
    <row r="59" spans="1:20" x14ac:dyDescent="0.25">
      <c r="A59" s="58"/>
      <c r="B59" s="59"/>
      <c r="C59" s="54"/>
      <c r="D59" s="55"/>
      <c r="F59" s="58"/>
      <c r="G59" s="59"/>
      <c r="H59" s="54"/>
      <c r="I59" s="55"/>
      <c r="K59" s="58">
        <v>38</v>
      </c>
      <c r="L59" s="68">
        <f t="shared" si="4"/>
        <v>30.326086956521738</v>
      </c>
      <c r="M59" s="54">
        <v>-1454904</v>
      </c>
      <c r="N59" s="69">
        <f t="shared" si="5"/>
        <v>-47975.329032258065</v>
      </c>
      <c r="P59" s="58">
        <v>87</v>
      </c>
      <c r="Q59" s="68">
        <f t="shared" si="6"/>
        <v>33.41317365269461</v>
      </c>
      <c r="R59" s="54">
        <v>-1394051</v>
      </c>
      <c r="S59" s="69">
        <f t="shared" si="7"/>
        <v>-41721.598028673834</v>
      </c>
    </row>
    <row r="60" spans="1:20" x14ac:dyDescent="0.25">
      <c r="A60" s="58"/>
      <c r="B60" s="59"/>
      <c r="C60" s="54"/>
      <c r="D60" s="55"/>
      <c r="F60" s="58"/>
      <c r="G60" s="59"/>
      <c r="H60" s="54"/>
      <c r="I60" s="55"/>
      <c r="K60" s="58">
        <v>96</v>
      </c>
      <c r="L60" s="68">
        <f t="shared" si="4"/>
        <v>30.326086956521738</v>
      </c>
      <c r="M60" s="54">
        <v>-1495940</v>
      </c>
      <c r="N60" s="69">
        <f t="shared" si="5"/>
        <v>-49328.487455197137</v>
      </c>
      <c r="P60" s="58">
        <v>36</v>
      </c>
      <c r="Q60" s="68">
        <f t="shared" si="6"/>
        <v>33.41317365269461</v>
      </c>
      <c r="R60" s="54">
        <v>-1395762</v>
      </c>
      <c r="S60" s="69">
        <f t="shared" si="7"/>
        <v>-41772.805376344084</v>
      </c>
    </row>
    <row r="61" spans="1:20" x14ac:dyDescent="0.25">
      <c r="A61" s="58"/>
      <c r="B61" s="59"/>
      <c r="C61" s="54"/>
      <c r="D61" s="55"/>
      <c r="F61" s="58"/>
      <c r="G61" s="59"/>
      <c r="H61" s="54"/>
      <c r="I61" s="55"/>
      <c r="K61" s="58">
        <v>76</v>
      </c>
      <c r="L61" s="68">
        <f t="shared" si="4"/>
        <v>30.326086956521738</v>
      </c>
      <c r="M61" s="54">
        <v>-1505954</v>
      </c>
      <c r="N61" s="69">
        <f t="shared" si="5"/>
        <v>-49658.698207885303</v>
      </c>
      <c r="P61" s="58">
        <v>42</v>
      </c>
      <c r="Q61" s="68">
        <f t="shared" si="6"/>
        <v>33.41317365269461</v>
      </c>
      <c r="R61" s="54">
        <v>-1449513</v>
      </c>
      <c r="S61" s="69">
        <f t="shared" si="7"/>
        <v>-43381.48225806452</v>
      </c>
    </row>
    <row r="62" spans="1:20" x14ac:dyDescent="0.25">
      <c r="A62" s="58"/>
      <c r="B62" s="59"/>
      <c r="C62" s="54"/>
      <c r="D62" s="55"/>
      <c r="F62" s="58"/>
      <c r="G62" s="59"/>
      <c r="H62" s="54"/>
      <c r="I62" s="55"/>
      <c r="K62" s="58">
        <v>52</v>
      </c>
      <c r="L62" s="68">
        <f t="shared" si="4"/>
        <v>30.326086956521738</v>
      </c>
      <c r="M62" s="54">
        <v>-1572435</v>
      </c>
      <c r="N62" s="69">
        <f t="shared" si="5"/>
        <v>-51850.903225806454</v>
      </c>
      <c r="P62" s="50">
        <v>28</v>
      </c>
      <c r="Q62" s="70">
        <f t="shared" si="6"/>
        <v>33.41317365269461</v>
      </c>
      <c r="R62" s="51">
        <v>-1475625</v>
      </c>
      <c r="S62" s="71">
        <f t="shared" si="7"/>
        <v>-44162.970430107525</v>
      </c>
      <c r="T62">
        <v>0</v>
      </c>
    </row>
    <row r="63" spans="1:20" x14ac:dyDescent="0.25">
      <c r="A63" s="58"/>
      <c r="B63" s="59"/>
      <c r="C63" s="54"/>
      <c r="D63" s="55"/>
      <c r="F63" s="58"/>
      <c r="G63" s="59"/>
      <c r="H63" s="54"/>
      <c r="I63" s="55"/>
      <c r="K63" s="58">
        <v>100</v>
      </c>
      <c r="L63" s="68">
        <f t="shared" si="4"/>
        <v>30.326086956521738</v>
      </c>
      <c r="M63" s="54">
        <v>-1597710</v>
      </c>
      <c r="N63" s="69">
        <f t="shared" si="5"/>
        <v>-52684.344086021505</v>
      </c>
      <c r="P63" s="50">
        <v>83</v>
      </c>
      <c r="Q63" s="70">
        <f t="shared" si="6"/>
        <v>33.41317365269461</v>
      </c>
      <c r="R63" s="51">
        <v>-1533913</v>
      </c>
      <c r="S63" s="71">
        <f t="shared" si="7"/>
        <v>-45907.432078853046</v>
      </c>
    </row>
    <row r="64" spans="1:20" x14ac:dyDescent="0.25">
      <c r="A64" s="58"/>
      <c r="B64" s="59"/>
      <c r="C64" s="54"/>
      <c r="D64" s="55"/>
      <c r="F64" s="58"/>
      <c r="G64" s="59"/>
      <c r="H64" s="54"/>
      <c r="I64" s="55"/>
      <c r="K64" s="50">
        <v>51</v>
      </c>
      <c r="L64" s="70">
        <f t="shared" si="4"/>
        <v>30.326086956521738</v>
      </c>
      <c r="M64" s="51">
        <v>-1602000</v>
      </c>
      <c r="N64" s="71">
        <f t="shared" si="5"/>
        <v>-52825.806451612902</v>
      </c>
      <c r="O64">
        <v>0</v>
      </c>
      <c r="P64" s="58">
        <v>77</v>
      </c>
      <c r="Q64" s="68">
        <f t="shared" si="6"/>
        <v>33.41317365269461</v>
      </c>
      <c r="R64" s="54">
        <v>-1545855</v>
      </c>
      <c r="S64" s="69">
        <f t="shared" si="7"/>
        <v>-46264.836021505376</v>
      </c>
    </row>
    <row r="65" spans="1:19" x14ac:dyDescent="0.25">
      <c r="A65" s="58"/>
      <c r="B65" s="59"/>
      <c r="C65" s="54"/>
      <c r="D65" s="55"/>
      <c r="F65" s="58"/>
      <c r="G65" s="59"/>
      <c r="H65" s="54"/>
      <c r="I65" s="55"/>
      <c r="K65" s="58"/>
      <c r="L65" s="59"/>
      <c r="M65" s="54"/>
      <c r="N65" s="55"/>
      <c r="P65" s="58"/>
      <c r="Q65" s="59"/>
      <c r="R65" s="54"/>
      <c r="S65" s="55"/>
    </row>
    <row r="66" spans="1:19" x14ac:dyDescent="0.25">
      <c r="A66" s="58"/>
      <c r="B66" s="59"/>
      <c r="C66" s="54"/>
      <c r="D66" s="55"/>
      <c r="F66" s="58"/>
      <c r="G66" s="59"/>
      <c r="H66" s="54"/>
      <c r="I66" s="55"/>
      <c r="K66" s="58"/>
      <c r="L66" s="59"/>
      <c r="M66" s="54"/>
      <c r="N66" s="55"/>
      <c r="P66" s="58"/>
      <c r="Q66" s="59"/>
      <c r="R66" s="54"/>
      <c r="S66" s="55"/>
    </row>
    <row r="67" spans="1:19" x14ac:dyDescent="0.25">
      <c r="A67" s="58"/>
      <c r="B67" s="59"/>
      <c r="C67" s="54"/>
      <c r="D67" s="55"/>
      <c r="F67" s="58"/>
      <c r="G67" s="59"/>
      <c r="H67" s="54"/>
      <c r="I67" s="55"/>
      <c r="K67" s="58"/>
      <c r="L67" s="59"/>
      <c r="M67" s="54"/>
      <c r="N67" s="55"/>
      <c r="P67" s="58"/>
      <c r="Q67" s="59"/>
      <c r="R67" s="54"/>
      <c r="S67" s="55"/>
    </row>
    <row r="68" spans="1:19" x14ac:dyDescent="0.25">
      <c r="A68" s="58"/>
      <c r="B68" s="59"/>
      <c r="C68" s="54"/>
      <c r="D68" s="55"/>
      <c r="F68" s="58"/>
      <c r="G68" s="59"/>
      <c r="H68" s="54"/>
      <c r="I68" s="55"/>
      <c r="K68" s="58"/>
      <c r="L68" s="59"/>
      <c r="M68" s="54"/>
      <c r="N68" s="55"/>
      <c r="P68" s="58"/>
      <c r="Q68" s="59"/>
      <c r="R68" s="54"/>
      <c r="S68" s="55"/>
    </row>
    <row r="69" spans="1:19" x14ac:dyDescent="0.25">
      <c r="A69" s="58"/>
      <c r="B69" s="59"/>
      <c r="C69" s="54"/>
      <c r="D69" s="55"/>
      <c r="F69" s="58"/>
      <c r="G69" s="59"/>
      <c r="H69" s="54"/>
      <c r="I69" s="55"/>
      <c r="K69" s="58"/>
      <c r="L69" s="59"/>
      <c r="M69" s="54"/>
      <c r="N69" s="55"/>
      <c r="P69" s="58"/>
      <c r="Q69" s="59"/>
      <c r="R69" s="54"/>
      <c r="S69" s="55"/>
    </row>
    <row r="70" spans="1:19" x14ac:dyDescent="0.25">
      <c r="A70" s="58"/>
      <c r="B70" s="59"/>
      <c r="C70" s="54"/>
      <c r="D70" s="55"/>
      <c r="F70" s="58"/>
      <c r="G70" s="59"/>
      <c r="H70" s="54"/>
      <c r="I70" s="55"/>
      <c r="K70" s="58"/>
      <c r="L70" s="59"/>
      <c r="M70" s="54"/>
      <c r="N70" s="55"/>
      <c r="P70" s="58"/>
      <c r="Q70" s="59"/>
      <c r="R70" s="54"/>
      <c r="S70" s="55"/>
    </row>
    <row r="71" spans="1:19" x14ac:dyDescent="0.25">
      <c r="A71" s="58"/>
      <c r="B71" s="59"/>
      <c r="C71" s="54"/>
      <c r="D71" s="55"/>
      <c r="F71" s="58"/>
      <c r="G71" s="59"/>
      <c r="H71" s="54"/>
      <c r="I71" s="55"/>
      <c r="K71" s="58"/>
      <c r="L71" s="59"/>
      <c r="M71" s="54"/>
      <c r="N71" s="55"/>
      <c r="P71" s="58"/>
      <c r="Q71" s="59"/>
      <c r="R71" s="54"/>
      <c r="S71" s="55"/>
    </row>
    <row r="72" spans="1:19" x14ac:dyDescent="0.25">
      <c r="A72" s="58"/>
      <c r="B72" s="59"/>
      <c r="C72" s="54"/>
      <c r="D72" s="55"/>
      <c r="F72" s="58"/>
      <c r="G72" s="59"/>
      <c r="H72" s="54"/>
      <c r="I72" s="55"/>
      <c r="K72" s="58"/>
      <c r="L72" s="59"/>
      <c r="M72" s="54"/>
      <c r="N72" s="55"/>
      <c r="P72" s="58"/>
      <c r="Q72" s="59"/>
      <c r="R72" s="54"/>
      <c r="S72" s="55"/>
    </row>
    <row r="73" spans="1:19" x14ac:dyDescent="0.25">
      <c r="A73" s="58"/>
      <c r="B73" s="59"/>
      <c r="C73" s="54"/>
      <c r="D73" s="55"/>
      <c r="F73" s="58"/>
      <c r="G73" s="59"/>
      <c r="H73" s="54"/>
      <c r="I73" s="55"/>
      <c r="K73" s="58"/>
      <c r="L73" s="59"/>
      <c r="M73" s="54"/>
      <c r="N73" s="55"/>
      <c r="P73" s="58"/>
      <c r="Q73" s="59"/>
      <c r="R73" s="54"/>
      <c r="S73" s="55"/>
    </row>
    <row r="74" spans="1:19" x14ac:dyDescent="0.25">
      <c r="A74" s="58"/>
      <c r="B74" s="59"/>
      <c r="C74" s="54"/>
      <c r="D74" s="55"/>
      <c r="F74" s="58"/>
      <c r="G74" s="59"/>
      <c r="H74" s="54"/>
      <c r="I74" s="55"/>
      <c r="K74" s="58"/>
      <c r="L74" s="59"/>
      <c r="M74" s="54"/>
      <c r="N74" s="55"/>
      <c r="P74" s="58"/>
      <c r="Q74" s="59"/>
      <c r="R74" s="54"/>
      <c r="S74" s="55"/>
    </row>
    <row r="75" spans="1:19" x14ac:dyDescent="0.25">
      <c r="A75" s="58"/>
      <c r="B75" s="59"/>
      <c r="C75" s="54"/>
      <c r="D75" s="55"/>
      <c r="F75" s="58"/>
      <c r="G75" s="59"/>
      <c r="H75" s="54"/>
      <c r="I75" s="55"/>
      <c r="K75" s="58"/>
      <c r="L75" s="59"/>
      <c r="M75" s="54"/>
      <c r="N75" s="55"/>
      <c r="P75" s="58"/>
      <c r="Q75" s="59"/>
      <c r="R75" s="54"/>
      <c r="S75" s="55"/>
    </row>
    <row r="76" spans="1:19" x14ac:dyDescent="0.25">
      <c r="A76" s="58"/>
      <c r="B76" s="59"/>
      <c r="C76" s="54"/>
      <c r="D76" s="55"/>
      <c r="F76" s="58"/>
      <c r="G76" s="59"/>
      <c r="H76" s="54"/>
      <c r="I76" s="55"/>
      <c r="K76" s="58"/>
      <c r="L76" s="59"/>
      <c r="M76" s="54"/>
      <c r="N76" s="55"/>
      <c r="P76" s="58"/>
      <c r="Q76" s="59"/>
      <c r="R76" s="54"/>
      <c r="S76" s="55"/>
    </row>
    <row r="77" spans="1:19" x14ac:dyDescent="0.25">
      <c r="A77" s="58"/>
      <c r="B77" s="59"/>
      <c r="C77" s="54"/>
      <c r="D77" s="55"/>
      <c r="F77" s="58"/>
      <c r="G77" s="59"/>
      <c r="H77" s="54"/>
      <c r="I77" s="55"/>
      <c r="K77" s="58"/>
      <c r="L77" s="59"/>
      <c r="M77" s="54"/>
      <c r="N77" s="55"/>
      <c r="P77" s="58"/>
      <c r="Q77" s="59"/>
      <c r="R77" s="54"/>
      <c r="S77" s="55"/>
    </row>
    <row r="78" spans="1:19" x14ac:dyDescent="0.25">
      <c r="A78" s="58"/>
      <c r="B78" s="59"/>
      <c r="C78" s="54"/>
      <c r="D78" s="55"/>
      <c r="F78" s="58"/>
      <c r="G78" s="59"/>
      <c r="H78" s="54"/>
      <c r="I78" s="55"/>
      <c r="K78" s="58"/>
      <c r="L78" s="59"/>
      <c r="M78" s="54"/>
      <c r="N78" s="55"/>
      <c r="P78" s="58"/>
      <c r="Q78" s="59"/>
      <c r="R78" s="54"/>
      <c r="S78" s="55"/>
    </row>
    <row r="79" spans="1:19" x14ac:dyDescent="0.25">
      <c r="A79" s="58"/>
      <c r="B79" s="59"/>
      <c r="C79" s="54"/>
      <c r="D79" s="55"/>
      <c r="F79" s="58"/>
      <c r="G79" s="59"/>
      <c r="H79" s="54"/>
      <c r="I79" s="55"/>
      <c r="K79" s="58"/>
      <c r="L79" s="59"/>
      <c r="M79" s="54"/>
      <c r="N79" s="55"/>
      <c r="P79" s="58"/>
      <c r="Q79" s="59"/>
      <c r="R79" s="54"/>
      <c r="S79" s="55"/>
    </row>
    <row r="80" spans="1:19" x14ac:dyDescent="0.25">
      <c r="A80" s="58"/>
      <c r="B80" s="59"/>
      <c r="C80" s="54"/>
      <c r="D80" s="55"/>
      <c r="F80" s="58"/>
      <c r="G80" s="59"/>
      <c r="H80" s="54"/>
      <c r="I80" s="55"/>
      <c r="K80" s="58"/>
      <c r="L80" s="59"/>
      <c r="M80" s="54"/>
      <c r="N80" s="55"/>
      <c r="P80" s="58"/>
      <c r="Q80" s="59"/>
      <c r="R80" s="54"/>
      <c r="S80" s="55"/>
    </row>
    <row r="81" spans="1:19" x14ac:dyDescent="0.25">
      <c r="A81" s="58"/>
      <c r="B81" s="59"/>
      <c r="C81" s="54"/>
      <c r="D81" s="55"/>
      <c r="F81" s="58"/>
      <c r="G81" s="59"/>
      <c r="H81" s="54"/>
      <c r="I81" s="55"/>
      <c r="K81" s="58"/>
      <c r="L81" s="59"/>
      <c r="M81" s="54"/>
      <c r="N81" s="55"/>
      <c r="P81" s="58"/>
      <c r="Q81" s="59"/>
      <c r="R81" s="54"/>
      <c r="S81" s="55"/>
    </row>
    <row r="82" spans="1:19" x14ac:dyDescent="0.25">
      <c r="A82" s="58"/>
      <c r="B82" s="59"/>
      <c r="C82" s="54"/>
      <c r="D82" s="55"/>
      <c r="F82" s="58"/>
      <c r="G82" s="59"/>
      <c r="H82" s="54"/>
      <c r="I82" s="55"/>
      <c r="K82" s="58"/>
      <c r="L82" s="59"/>
      <c r="M82" s="54"/>
      <c r="N82" s="55"/>
      <c r="P82" s="58"/>
      <c r="Q82" s="59"/>
      <c r="R82" s="54"/>
      <c r="S82" s="55"/>
    </row>
    <row r="83" spans="1:19" x14ac:dyDescent="0.25">
      <c r="A83" s="58"/>
      <c r="B83" s="59"/>
      <c r="C83" s="54"/>
      <c r="D83" s="55"/>
      <c r="F83" s="58"/>
      <c r="G83" s="59"/>
      <c r="H83" s="54"/>
      <c r="I83" s="55"/>
      <c r="K83" s="58"/>
      <c r="L83" s="59"/>
      <c r="M83" s="54"/>
      <c r="N83" s="55"/>
      <c r="P83" s="58"/>
      <c r="Q83" s="59"/>
      <c r="R83" s="54"/>
      <c r="S83" s="55"/>
    </row>
    <row r="84" spans="1:19" x14ac:dyDescent="0.25">
      <c r="A84" s="58"/>
      <c r="B84" s="59"/>
      <c r="C84" s="54"/>
      <c r="D84" s="55"/>
      <c r="F84" s="58"/>
      <c r="G84" s="59"/>
      <c r="H84" s="54"/>
      <c r="I84" s="55"/>
      <c r="K84" s="58"/>
      <c r="L84" s="59"/>
      <c r="M84" s="54"/>
      <c r="N84" s="55"/>
      <c r="P84" s="58"/>
      <c r="Q84" s="59"/>
      <c r="R84" s="54"/>
      <c r="S84" s="55"/>
    </row>
    <row r="85" spans="1:19" x14ac:dyDescent="0.25">
      <c r="A85" s="58"/>
      <c r="B85" s="59"/>
      <c r="C85" s="54"/>
      <c r="D85" s="55"/>
      <c r="F85" s="58"/>
      <c r="G85" s="59"/>
      <c r="H85" s="54"/>
      <c r="I85" s="55"/>
      <c r="K85" s="58"/>
      <c r="L85" s="59"/>
      <c r="M85" s="54"/>
      <c r="N85" s="55"/>
      <c r="P85" s="58"/>
      <c r="Q85" s="59"/>
      <c r="R85" s="54"/>
      <c r="S85" s="55"/>
    </row>
    <row r="86" spans="1:19" x14ac:dyDescent="0.25">
      <c r="A86" s="58"/>
      <c r="B86" s="59"/>
      <c r="C86" s="54"/>
      <c r="D86" s="55"/>
      <c r="F86" s="58"/>
      <c r="G86" s="59"/>
      <c r="H86" s="54"/>
      <c r="I86" s="55"/>
      <c r="K86" s="58"/>
      <c r="L86" s="59"/>
      <c r="M86" s="54"/>
      <c r="N86" s="55"/>
      <c r="P86" s="58"/>
      <c r="Q86" s="59"/>
      <c r="R86" s="54"/>
      <c r="S86" s="55"/>
    </row>
    <row r="87" spans="1:19" x14ac:dyDescent="0.25">
      <c r="A87" s="58"/>
      <c r="B87" s="59"/>
      <c r="C87" s="54"/>
      <c r="D87" s="55"/>
      <c r="F87" s="58"/>
      <c r="G87" s="59"/>
      <c r="H87" s="54"/>
      <c r="I87" s="55"/>
      <c r="K87" s="58"/>
      <c r="L87" s="59"/>
      <c r="M87" s="54"/>
      <c r="N87" s="55"/>
      <c r="P87" s="58"/>
      <c r="Q87" s="59"/>
      <c r="R87" s="54"/>
      <c r="S87" s="55"/>
    </row>
    <row r="88" spans="1:19" x14ac:dyDescent="0.25">
      <c r="A88" s="58"/>
      <c r="B88" s="59"/>
      <c r="C88" s="54"/>
      <c r="D88" s="55"/>
      <c r="F88" s="58"/>
      <c r="G88" s="59"/>
      <c r="H88" s="54"/>
      <c r="I88" s="55"/>
      <c r="K88" s="58"/>
      <c r="L88" s="59"/>
      <c r="M88" s="54"/>
      <c r="N88" s="55"/>
      <c r="P88" s="58"/>
      <c r="Q88" s="59"/>
      <c r="R88" s="54"/>
      <c r="S88" s="55"/>
    </row>
    <row r="89" spans="1:19" x14ac:dyDescent="0.25">
      <c r="A89" s="58"/>
      <c r="B89" s="59"/>
      <c r="C89" s="54"/>
      <c r="D89" s="55"/>
      <c r="F89" s="58"/>
      <c r="G89" s="59"/>
      <c r="H89" s="54"/>
      <c r="I89" s="55"/>
      <c r="K89" s="58"/>
      <c r="L89" s="59"/>
      <c r="M89" s="54"/>
      <c r="N89" s="55"/>
      <c r="P89" s="58"/>
      <c r="Q89" s="59"/>
      <c r="R89" s="54"/>
      <c r="S89" s="55"/>
    </row>
    <row r="90" spans="1:19" x14ac:dyDescent="0.25">
      <c r="A90" s="58"/>
      <c r="B90" s="59"/>
      <c r="C90" s="54"/>
      <c r="D90" s="55"/>
      <c r="F90" s="58"/>
      <c r="G90" s="59"/>
      <c r="H90" s="54"/>
      <c r="I90" s="55"/>
      <c r="K90" s="58"/>
      <c r="L90" s="59"/>
      <c r="M90" s="54"/>
      <c r="N90" s="55"/>
      <c r="P90" s="58"/>
      <c r="Q90" s="59"/>
      <c r="R90" s="54"/>
      <c r="S90" s="55"/>
    </row>
    <row r="91" spans="1:19" x14ac:dyDescent="0.25">
      <c r="A91" s="58"/>
      <c r="B91" s="59"/>
      <c r="C91" s="54"/>
      <c r="D91" s="55"/>
      <c r="F91" s="58"/>
      <c r="G91" s="59"/>
      <c r="H91" s="54"/>
      <c r="I91" s="55"/>
      <c r="K91" s="58"/>
      <c r="L91" s="59"/>
      <c r="M91" s="54"/>
      <c r="N91" s="55"/>
      <c r="P91" s="58"/>
      <c r="Q91" s="59"/>
      <c r="R91" s="54"/>
      <c r="S91" s="55"/>
    </row>
    <row r="92" spans="1:19" x14ac:dyDescent="0.25">
      <c r="A92" s="58"/>
      <c r="B92" s="59"/>
      <c r="C92" s="54"/>
      <c r="D92" s="55"/>
      <c r="F92" s="58"/>
      <c r="G92" s="59"/>
      <c r="H92" s="54"/>
      <c r="I92" s="55"/>
      <c r="K92" s="58"/>
      <c r="L92" s="59"/>
      <c r="M92" s="54"/>
      <c r="N92" s="55"/>
      <c r="P92" s="58"/>
      <c r="Q92" s="59"/>
      <c r="R92" s="54"/>
      <c r="S92" s="55"/>
    </row>
    <row r="93" spans="1:19" x14ac:dyDescent="0.25">
      <c r="A93" s="58"/>
      <c r="B93" s="59"/>
      <c r="C93" s="54"/>
      <c r="D93" s="55"/>
      <c r="F93" s="58"/>
      <c r="G93" s="59"/>
      <c r="H93" s="54"/>
      <c r="I93" s="55"/>
      <c r="K93" s="58"/>
      <c r="L93" s="59"/>
      <c r="M93" s="54"/>
      <c r="N93" s="55"/>
      <c r="P93" s="58"/>
      <c r="Q93" s="59"/>
      <c r="R93" s="54"/>
      <c r="S93" s="55"/>
    </row>
    <row r="94" spans="1:19" x14ac:dyDescent="0.25">
      <c r="A94" s="58"/>
      <c r="B94" s="59"/>
      <c r="C94" s="54"/>
      <c r="D94" s="55"/>
      <c r="F94" s="58"/>
      <c r="G94" s="59"/>
      <c r="H94" s="54"/>
      <c r="I94" s="55"/>
      <c r="K94" s="58"/>
      <c r="L94" s="59"/>
      <c r="M94" s="54"/>
      <c r="N94" s="55"/>
      <c r="P94" s="58"/>
      <c r="Q94" s="59"/>
      <c r="R94" s="54"/>
      <c r="S94" s="55"/>
    </row>
    <row r="95" spans="1:19" x14ac:dyDescent="0.25">
      <c r="A95" s="58"/>
      <c r="B95" s="59"/>
      <c r="C95" s="54"/>
      <c r="D95" s="55"/>
      <c r="F95" s="58"/>
      <c r="G95" s="59"/>
      <c r="H95" s="54"/>
      <c r="I95" s="55"/>
      <c r="K95" s="58"/>
      <c r="L95" s="59"/>
      <c r="M95" s="54"/>
      <c r="N95" s="55"/>
      <c r="P95" s="58"/>
      <c r="Q95" s="59"/>
      <c r="R95" s="54"/>
      <c r="S95" s="55"/>
    </row>
    <row r="96" spans="1:19" x14ac:dyDescent="0.25">
      <c r="A96" s="58"/>
      <c r="B96" s="59"/>
      <c r="C96" s="54"/>
      <c r="D96" s="55"/>
      <c r="F96" s="58"/>
      <c r="G96" s="59"/>
      <c r="H96" s="54"/>
      <c r="I96" s="55"/>
      <c r="K96" s="58"/>
      <c r="L96" s="59"/>
      <c r="M96" s="54"/>
      <c r="N96" s="55"/>
      <c r="P96" s="58"/>
      <c r="Q96" s="59"/>
      <c r="R96" s="54"/>
      <c r="S96" s="55"/>
    </row>
    <row r="97" spans="1:19" x14ac:dyDescent="0.25">
      <c r="A97" s="58"/>
      <c r="B97" s="59"/>
      <c r="C97" s="54"/>
      <c r="D97" s="55"/>
      <c r="F97" s="58"/>
      <c r="G97" s="59"/>
      <c r="H97" s="54"/>
      <c r="I97" s="55"/>
      <c r="K97" s="58"/>
      <c r="L97" s="59"/>
      <c r="M97" s="54"/>
      <c r="N97" s="55"/>
      <c r="P97" s="58"/>
      <c r="Q97" s="59"/>
      <c r="R97" s="54"/>
      <c r="S97" s="55"/>
    </row>
    <row r="98" spans="1:19" x14ac:dyDescent="0.25">
      <c r="A98" s="58"/>
      <c r="B98" s="59"/>
      <c r="C98" s="54"/>
      <c r="D98" s="55"/>
      <c r="F98" s="58"/>
      <c r="G98" s="59"/>
      <c r="H98" s="54"/>
      <c r="I98" s="55"/>
      <c r="K98" s="58"/>
      <c r="L98" s="59"/>
      <c r="M98" s="54"/>
      <c r="N98" s="55"/>
      <c r="P98" s="58"/>
      <c r="Q98" s="59"/>
      <c r="R98" s="54"/>
      <c r="S98" s="55"/>
    </row>
    <row r="99" spans="1:19" x14ac:dyDescent="0.25">
      <c r="A99" s="58"/>
      <c r="B99" s="59"/>
      <c r="C99" s="54"/>
      <c r="D99" s="55"/>
      <c r="F99" s="58"/>
      <c r="G99" s="59"/>
      <c r="H99" s="54"/>
      <c r="I99" s="55"/>
      <c r="K99" s="58"/>
      <c r="L99" s="59"/>
      <c r="M99" s="54"/>
      <c r="N99" s="55"/>
      <c r="P99" s="58"/>
      <c r="Q99" s="59"/>
      <c r="R99" s="54"/>
      <c r="S99" s="55"/>
    </row>
    <row r="100" spans="1:19" x14ac:dyDescent="0.25">
      <c r="A100" s="58"/>
      <c r="B100" s="59"/>
      <c r="C100" s="54"/>
      <c r="D100" s="55"/>
      <c r="F100" s="58"/>
      <c r="G100" s="59"/>
      <c r="H100" s="54"/>
      <c r="I100" s="55"/>
      <c r="K100" s="58"/>
      <c r="L100" s="59"/>
      <c r="M100" s="54"/>
      <c r="N100" s="55"/>
      <c r="P100" s="58"/>
      <c r="Q100" s="59"/>
      <c r="R100" s="54"/>
      <c r="S100" s="55"/>
    </row>
    <row r="101" spans="1:19" x14ac:dyDescent="0.25">
      <c r="A101" s="58"/>
      <c r="B101" s="59"/>
      <c r="C101" s="54"/>
      <c r="D101" s="55"/>
      <c r="F101" s="58"/>
      <c r="G101" s="59"/>
      <c r="H101" s="54"/>
      <c r="I101" s="55"/>
      <c r="K101" s="58"/>
      <c r="L101" s="59"/>
      <c r="M101" s="54"/>
      <c r="N101" s="55"/>
      <c r="P101" s="58"/>
      <c r="Q101" s="59"/>
      <c r="R101" s="54"/>
      <c r="S101" s="55"/>
    </row>
    <row r="102" spans="1:19" x14ac:dyDescent="0.25">
      <c r="A102" s="58"/>
      <c r="B102" s="59"/>
      <c r="C102" s="54"/>
      <c r="D102" s="55"/>
      <c r="F102" s="58"/>
      <c r="G102" s="59"/>
      <c r="H102" s="54"/>
      <c r="I102" s="55"/>
      <c r="K102" s="58"/>
      <c r="L102" s="59"/>
      <c r="M102" s="54"/>
      <c r="N102" s="55"/>
      <c r="P102" s="58"/>
      <c r="Q102" s="59"/>
      <c r="R102" s="54"/>
      <c r="S102" s="55"/>
    </row>
    <row r="103" spans="1:19" x14ac:dyDescent="0.25">
      <c r="A103" s="58"/>
      <c r="B103" s="59"/>
      <c r="C103" s="54"/>
      <c r="D103" s="55"/>
      <c r="F103" s="58"/>
      <c r="G103" s="59"/>
      <c r="H103" s="54"/>
      <c r="I103" s="55"/>
      <c r="K103" s="58"/>
      <c r="L103" s="59"/>
      <c r="M103" s="54"/>
      <c r="N103" s="55"/>
      <c r="P103" s="58"/>
      <c r="Q103" s="59"/>
      <c r="R103" s="54"/>
      <c r="S103" s="55"/>
    </row>
    <row r="104" spans="1:19" x14ac:dyDescent="0.25">
      <c r="A104" s="58"/>
      <c r="B104" s="59"/>
      <c r="C104" s="54"/>
      <c r="D104" s="55"/>
      <c r="F104" s="58"/>
      <c r="G104" s="59"/>
      <c r="H104" s="54"/>
      <c r="I104" s="55"/>
      <c r="K104" s="58"/>
      <c r="L104" s="59"/>
      <c r="M104" s="54"/>
      <c r="N104" s="55"/>
      <c r="P104" s="58"/>
      <c r="Q104" s="59"/>
      <c r="R104" s="54"/>
      <c r="S104" s="55"/>
    </row>
    <row r="105" spans="1:19" x14ac:dyDescent="0.25">
      <c r="A105" s="58"/>
      <c r="B105" s="59"/>
      <c r="C105" s="54"/>
      <c r="D105" s="55"/>
      <c r="F105" s="58"/>
      <c r="G105" s="59"/>
      <c r="H105" s="54"/>
      <c r="I105" s="55"/>
      <c r="K105" s="58"/>
      <c r="L105" s="59"/>
      <c r="M105" s="54"/>
      <c r="N105" s="55"/>
      <c r="P105" s="58"/>
      <c r="Q105" s="59"/>
      <c r="R105" s="54"/>
      <c r="S105" s="55"/>
    </row>
    <row r="106" spans="1:19" x14ac:dyDescent="0.25">
      <c r="A106" s="58"/>
      <c r="B106" s="59"/>
      <c r="C106" s="54"/>
      <c r="D106" s="55"/>
      <c r="F106" s="58"/>
      <c r="G106" s="59"/>
      <c r="H106" s="54"/>
      <c r="I106" s="55"/>
      <c r="K106" s="58"/>
      <c r="L106" s="59"/>
      <c r="M106" s="54"/>
      <c r="N106" s="55"/>
      <c r="P106" s="58"/>
      <c r="Q106" s="59"/>
      <c r="R106" s="54"/>
      <c r="S106" s="55"/>
    </row>
    <row r="107" spans="1:19" x14ac:dyDescent="0.25">
      <c r="A107" s="58"/>
      <c r="B107" s="59"/>
      <c r="C107" s="54"/>
      <c r="D107" s="55"/>
      <c r="F107" s="58"/>
      <c r="G107" s="59"/>
      <c r="H107" s="54"/>
      <c r="I107" s="55"/>
      <c r="K107" s="58"/>
      <c r="L107" s="59"/>
      <c r="M107" s="54"/>
      <c r="N107" s="55"/>
      <c r="P107" s="58"/>
      <c r="Q107" s="59"/>
      <c r="R107" s="54"/>
      <c r="S107" s="55"/>
    </row>
    <row r="108" spans="1:19" x14ac:dyDescent="0.25">
      <c r="A108" s="58"/>
      <c r="B108" s="59"/>
      <c r="C108" s="54"/>
      <c r="D108" s="55"/>
      <c r="F108" s="58"/>
      <c r="G108" s="59"/>
      <c r="H108" s="54"/>
      <c r="I108" s="55"/>
      <c r="K108" s="58"/>
      <c r="L108" s="59"/>
      <c r="M108" s="54"/>
      <c r="N108" s="55"/>
      <c r="P108" s="58"/>
      <c r="Q108" s="59"/>
      <c r="R108" s="54"/>
      <c r="S108" s="55"/>
    </row>
    <row r="109" spans="1:19" x14ac:dyDescent="0.25">
      <c r="A109" s="58"/>
      <c r="B109" s="59"/>
      <c r="C109" s="54"/>
      <c r="D109" s="55"/>
      <c r="F109" s="58"/>
      <c r="G109" s="59"/>
      <c r="H109" s="54"/>
      <c r="I109" s="55"/>
      <c r="K109" s="58"/>
      <c r="L109" s="59"/>
      <c r="M109" s="54"/>
      <c r="N109" s="55"/>
      <c r="P109" s="58"/>
      <c r="Q109" s="59"/>
      <c r="R109" s="54"/>
      <c r="S109" s="55"/>
    </row>
    <row r="110" spans="1:19" x14ac:dyDescent="0.25">
      <c r="A110" s="58"/>
      <c r="B110" s="59"/>
      <c r="C110" s="54"/>
      <c r="D110" s="55"/>
      <c r="F110" s="58"/>
      <c r="G110" s="59"/>
      <c r="H110" s="54"/>
      <c r="I110" s="55"/>
      <c r="K110" s="58"/>
      <c r="L110" s="59"/>
      <c r="M110" s="54"/>
      <c r="N110" s="55"/>
      <c r="P110" s="58"/>
      <c r="Q110" s="59"/>
      <c r="R110" s="54"/>
      <c r="S110" s="55"/>
    </row>
    <row r="111" spans="1:19" x14ac:dyDescent="0.25">
      <c r="A111" s="58"/>
      <c r="B111" s="59"/>
      <c r="C111" s="54"/>
      <c r="D111" s="55"/>
      <c r="F111" s="58"/>
      <c r="G111" s="59"/>
      <c r="H111" s="54"/>
      <c r="I111" s="55"/>
      <c r="K111" s="58"/>
      <c r="L111" s="59"/>
      <c r="M111" s="54"/>
      <c r="N111" s="55"/>
      <c r="P111" s="58"/>
      <c r="Q111" s="59"/>
      <c r="R111" s="54"/>
      <c r="S111" s="55"/>
    </row>
    <row r="112" spans="1:19" x14ac:dyDescent="0.25">
      <c r="A112" s="58"/>
      <c r="B112" s="59"/>
      <c r="C112" s="54"/>
      <c r="D112" s="55"/>
      <c r="F112" s="58"/>
      <c r="G112" s="59"/>
      <c r="H112" s="54"/>
      <c r="I112" s="55"/>
      <c r="K112" s="58"/>
      <c r="L112" s="59"/>
      <c r="M112" s="54"/>
      <c r="N112" s="55"/>
      <c r="P112" s="58"/>
      <c r="Q112" s="59"/>
      <c r="R112" s="54"/>
      <c r="S112" s="55"/>
    </row>
    <row r="113" spans="1:19" x14ac:dyDescent="0.25">
      <c r="A113" s="58"/>
      <c r="B113" s="59"/>
      <c r="C113" s="54"/>
      <c r="D113" s="55"/>
      <c r="F113" s="58"/>
      <c r="G113" s="59"/>
      <c r="H113" s="54"/>
      <c r="I113" s="55"/>
      <c r="K113" s="58"/>
      <c r="L113" s="59"/>
      <c r="M113" s="54"/>
      <c r="N113" s="55"/>
      <c r="P113" s="58"/>
      <c r="Q113" s="59"/>
      <c r="R113" s="54"/>
      <c r="S113" s="55"/>
    </row>
    <row r="114" spans="1:19" x14ac:dyDescent="0.25">
      <c r="A114" s="58"/>
      <c r="B114" s="59"/>
      <c r="C114" s="54"/>
      <c r="D114" s="55"/>
      <c r="F114" s="58"/>
      <c r="G114" s="59"/>
      <c r="H114" s="54"/>
      <c r="I114" s="55"/>
      <c r="K114" s="58"/>
      <c r="L114" s="59"/>
      <c r="M114" s="54"/>
      <c r="N114" s="55"/>
      <c r="P114" s="58"/>
      <c r="Q114" s="59"/>
      <c r="R114" s="54"/>
      <c r="S114" s="55"/>
    </row>
    <row r="115" spans="1:19" x14ac:dyDescent="0.25">
      <c r="A115" s="58"/>
      <c r="B115" s="59"/>
      <c r="C115" s="54"/>
      <c r="D115" s="55"/>
      <c r="F115" s="58"/>
      <c r="G115" s="59"/>
      <c r="H115" s="54"/>
      <c r="I115" s="55"/>
      <c r="K115" s="58"/>
      <c r="L115" s="59"/>
      <c r="M115" s="54"/>
      <c r="N115" s="55"/>
      <c r="P115" s="58"/>
      <c r="Q115" s="59"/>
      <c r="R115" s="54"/>
      <c r="S115" s="55"/>
    </row>
    <row r="116" spans="1:19" x14ac:dyDescent="0.25">
      <c r="A116" s="58"/>
      <c r="B116" s="59"/>
      <c r="C116" s="54"/>
      <c r="D116" s="55"/>
      <c r="F116" s="58"/>
      <c r="G116" s="59"/>
      <c r="H116" s="54"/>
      <c r="I116" s="55"/>
      <c r="K116" s="58"/>
      <c r="L116" s="59"/>
      <c r="M116" s="54"/>
      <c r="N116" s="55"/>
      <c r="P116" s="58"/>
      <c r="Q116" s="59"/>
      <c r="R116" s="54"/>
      <c r="S116" s="55"/>
    </row>
    <row r="117" spans="1:19" x14ac:dyDescent="0.25">
      <c r="A117" s="58"/>
      <c r="B117" s="59"/>
      <c r="C117" s="54"/>
      <c r="D117" s="55"/>
      <c r="F117" s="58"/>
      <c r="G117" s="59"/>
      <c r="H117" s="54"/>
      <c r="I117" s="55"/>
      <c r="K117" s="58"/>
      <c r="L117" s="59"/>
      <c r="M117" s="54"/>
      <c r="N117" s="55"/>
      <c r="P117" s="58"/>
      <c r="Q117" s="59"/>
      <c r="R117" s="54"/>
      <c r="S117" s="55"/>
    </row>
    <row r="118" spans="1:19" ht="15.75" thickBot="1" x14ac:dyDescent="0.3">
      <c r="A118" s="60"/>
      <c r="B118" s="61"/>
      <c r="C118" s="56"/>
      <c r="D118" s="57"/>
      <c r="F118" s="60"/>
      <c r="G118" s="61"/>
      <c r="H118" s="56"/>
      <c r="I118" s="57"/>
      <c r="K118" s="58"/>
      <c r="L118" s="59"/>
      <c r="M118" s="54"/>
      <c r="N118" s="55"/>
      <c r="P118" s="58"/>
      <c r="Q118" s="59"/>
      <c r="R118" s="54"/>
      <c r="S118" s="55"/>
    </row>
    <row r="119" spans="1:19" x14ac:dyDescent="0.25">
      <c r="K119" s="58"/>
      <c r="L119" s="59"/>
      <c r="M119" s="54"/>
      <c r="N119" s="55"/>
      <c r="P119" s="58"/>
      <c r="Q119" s="59"/>
      <c r="R119" s="54"/>
      <c r="S119" s="55"/>
    </row>
    <row r="120" spans="1:19" x14ac:dyDescent="0.25">
      <c r="K120" s="58"/>
      <c r="L120" s="59"/>
      <c r="M120" s="54"/>
      <c r="N120" s="55"/>
      <c r="P120" s="58"/>
      <c r="Q120" s="59"/>
      <c r="R120" s="54"/>
      <c r="S120" s="55"/>
    </row>
    <row r="121" spans="1:19" x14ac:dyDescent="0.25">
      <c r="K121" s="58"/>
      <c r="L121" s="59"/>
      <c r="M121" s="54"/>
      <c r="N121" s="55"/>
      <c r="P121" s="58"/>
      <c r="Q121" s="59"/>
      <c r="R121" s="54"/>
      <c r="S121" s="55"/>
    </row>
    <row r="122" spans="1:19" x14ac:dyDescent="0.25">
      <c r="K122" s="58"/>
      <c r="L122" s="59"/>
      <c r="M122" s="54"/>
      <c r="N122" s="55"/>
      <c r="P122" s="58"/>
      <c r="Q122" s="59"/>
      <c r="R122" s="54"/>
      <c r="S122" s="55"/>
    </row>
    <row r="123" spans="1:19" x14ac:dyDescent="0.25">
      <c r="K123" s="58"/>
      <c r="L123" s="59"/>
      <c r="M123" s="54"/>
      <c r="N123" s="55"/>
      <c r="P123" s="58"/>
      <c r="Q123" s="59"/>
      <c r="R123" s="54"/>
      <c r="S123" s="55"/>
    </row>
    <row r="124" spans="1:19" x14ac:dyDescent="0.25">
      <c r="K124" s="58"/>
      <c r="L124" s="59"/>
      <c r="M124" s="54"/>
      <c r="N124" s="55"/>
      <c r="P124" s="58"/>
      <c r="Q124" s="59"/>
      <c r="R124" s="54"/>
      <c r="S124" s="55"/>
    </row>
    <row r="125" spans="1:19" x14ac:dyDescent="0.25">
      <c r="K125" s="58"/>
      <c r="L125" s="59"/>
      <c r="M125" s="54"/>
      <c r="N125" s="55"/>
      <c r="P125" s="58"/>
      <c r="Q125" s="59"/>
      <c r="R125" s="54"/>
      <c r="S125" s="55"/>
    </row>
    <row r="126" spans="1:19" x14ac:dyDescent="0.25">
      <c r="K126" s="58"/>
      <c r="L126" s="59"/>
      <c r="M126" s="54"/>
      <c r="N126" s="55"/>
      <c r="P126" s="58"/>
      <c r="Q126" s="59"/>
      <c r="R126" s="54"/>
      <c r="S126" s="55"/>
    </row>
    <row r="127" spans="1:19" x14ac:dyDescent="0.25">
      <c r="K127" s="58"/>
      <c r="L127" s="59"/>
      <c r="M127" s="54"/>
      <c r="N127" s="55"/>
      <c r="P127" s="58"/>
      <c r="Q127" s="59"/>
      <c r="R127" s="54"/>
      <c r="S127" s="55"/>
    </row>
    <row r="128" spans="1:19" x14ac:dyDescent="0.25">
      <c r="K128" s="58"/>
      <c r="L128" s="59"/>
      <c r="M128" s="54"/>
      <c r="N128" s="55"/>
      <c r="P128" s="58"/>
      <c r="Q128" s="59"/>
      <c r="R128" s="54"/>
      <c r="S128" s="55"/>
    </row>
    <row r="129" spans="11:19" x14ac:dyDescent="0.25">
      <c r="K129" s="58"/>
      <c r="L129" s="59"/>
      <c r="M129" s="54"/>
      <c r="N129" s="55"/>
      <c r="P129" s="58"/>
      <c r="Q129" s="59"/>
      <c r="R129" s="54"/>
      <c r="S129" s="55"/>
    </row>
    <row r="130" spans="11:19" x14ac:dyDescent="0.25">
      <c r="K130" s="58"/>
      <c r="L130" s="59"/>
      <c r="M130" s="54"/>
      <c r="N130" s="55"/>
      <c r="P130" s="58"/>
      <c r="Q130" s="59"/>
      <c r="R130" s="54"/>
      <c r="S130" s="55"/>
    </row>
    <row r="131" spans="11:19" x14ac:dyDescent="0.25">
      <c r="K131" s="58"/>
      <c r="L131" s="59"/>
      <c r="M131" s="54"/>
      <c r="N131" s="55"/>
      <c r="P131" s="58"/>
      <c r="Q131" s="59"/>
      <c r="R131" s="54"/>
      <c r="S131" s="55"/>
    </row>
    <row r="132" spans="11:19" x14ac:dyDescent="0.25">
      <c r="K132" s="58"/>
      <c r="L132" s="59"/>
      <c r="M132" s="54"/>
      <c r="N132" s="55"/>
      <c r="P132" s="58"/>
      <c r="Q132" s="59"/>
      <c r="R132" s="54"/>
      <c r="S132" s="55"/>
    </row>
    <row r="133" spans="11:19" x14ac:dyDescent="0.25">
      <c r="K133" s="58"/>
      <c r="L133" s="59"/>
      <c r="M133" s="54"/>
      <c r="N133" s="55"/>
      <c r="P133" s="58"/>
      <c r="Q133" s="59"/>
      <c r="R133" s="54"/>
      <c r="S133" s="55"/>
    </row>
    <row r="134" spans="11:19" x14ac:dyDescent="0.25">
      <c r="K134" s="58"/>
      <c r="L134" s="59"/>
      <c r="M134" s="54"/>
      <c r="N134" s="55"/>
      <c r="P134" s="58"/>
      <c r="Q134" s="59"/>
      <c r="R134" s="54"/>
      <c r="S134" s="55"/>
    </row>
    <row r="135" spans="11:19" x14ac:dyDescent="0.25">
      <c r="K135" s="58"/>
      <c r="L135" s="59"/>
      <c r="M135" s="54"/>
      <c r="N135" s="55"/>
      <c r="P135" s="58"/>
      <c r="Q135" s="59"/>
      <c r="R135" s="54"/>
      <c r="S135" s="55"/>
    </row>
    <row r="136" spans="11:19" x14ac:dyDescent="0.25">
      <c r="K136" s="58"/>
      <c r="L136" s="59"/>
      <c r="M136" s="54"/>
      <c r="N136" s="55"/>
      <c r="P136" s="58"/>
      <c r="Q136" s="59"/>
      <c r="R136" s="54"/>
      <c r="S136" s="55"/>
    </row>
    <row r="137" spans="11:19" x14ac:dyDescent="0.25">
      <c r="K137" s="58"/>
      <c r="L137" s="59"/>
      <c r="M137" s="54"/>
      <c r="N137" s="55"/>
      <c r="P137" s="58"/>
      <c r="Q137" s="59"/>
      <c r="R137" s="54"/>
      <c r="S137" s="55"/>
    </row>
    <row r="138" spans="11:19" x14ac:dyDescent="0.25">
      <c r="K138" s="58"/>
      <c r="L138" s="59"/>
      <c r="M138" s="54"/>
      <c r="N138" s="55"/>
      <c r="P138" s="58"/>
      <c r="Q138" s="59"/>
      <c r="R138" s="54"/>
      <c r="S138" s="55"/>
    </row>
    <row r="139" spans="11:19" x14ac:dyDescent="0.25">
      <c r="K139" s="58"/>
      <c r="L139" s="59"/>
      <c r="M139" s="54"/>
      <c r="N139" s="55"/>
      <c r="P139" s="58"/>
      <c r="Q139" s="59"/>
      <c r="R139" s="54"/>
      <c r="S139" s="55"/>
    </row>
    <row r="140" spans="11:19" x14ac:dyDescent="0.25">
      <c r="K140" s="58"/>
      <c r="L140" s="59"/>
      <c r="M140" s="54"/>
      <c r="N140" s="55"/>
      <c r="P140" s="58"/>
      <c r="Q140" s="59"/>
      <c r="R140" s="54"/>
      <c r="S140" s="55"/>
    </row>
    <row r="141" spans="11:19" x14ac:dyDescent="0.25">
      <c r="K141" s="58"/>
      <c r="L141" s="59"/>
      <c r="M141" s="54"/>
      <c r="N141" s="55"/>
      <c r="P141" s="58"/>
      <c r="Q141" s="59"/>
      <c r="R141" s="54"/>
      <c r="S141" s="55"/>
    </row>
    <row r="142" spans="11:19" x14ac:dyDescent="0.25">
      <c r="K142" s="58"/>
      <c r="L142" s="59"/>
      <c r="M142" s="54"/>
      <c r="N142" s="55"/>
      <c r="P142" s="58"/>
      <c r="Q142" s="59"/>
      <c r="R142" s="54"/>
      <c r="S142" s="55"/>
    </row>
    <row r="143" spans="11:19" x14ac:dyDescent="0.25">
      <c r="K143" s="58"/>
      <c r="L143" s="59"/>
      <c r="M143" s="54"/>
      <c r="N143" s="55"/>
      <c r="P143" s="58"/>
      <c r="Q143" s="59"/>
      <c r="R143" s="54"/>
      <c r="S143" s="55"/>
    </row>
    <row r="144" spans="11:19" x14ac:dyDescent="0.25">
      <c r="K144" s="58"/>
      <c r="L144" s="59"/>
      <c r="M144" s="54"/>
      <c r="N144" s="55"/>
      <c r="P144" s="58"/>
      <c r="Q144" s="59"/>
      <c r="R144" s="54"/>
      <c r="S144" s="55"/>
    </row>
    <row r="145" spans="11:19" x14ac:dyDescent="0.25">
      <c r="K145" s="58"/>
      <c r="L145" s="59"/>
      <c r="M145" s="54"/>
      <c r="N145" s="55"/>
      <c r="P145" s="58"/>
      <c r="Q145" s="59"/>
      <c r="R145" s="54"/>
      <c r="S145" s="55"/>
    </row>
    <row r="146" spans="11:19" x14ac:dyDescent="0.25">
      <c r="K146" s="58"/>
      <c r="L146" s="59"/>
      <c r="M146" s="54"/>
      <c r="N146" s="55"/>
      <c r="P146" s="58"/>
      <c r="Q146" s="59"/>
      <c r="R146" s="54"/>
      <c r="S146" s="55"/>
    </row>
    <row r="147" spans="11:19" x14ac:dyDescent="0.25">
      <c r="K147" s="58"/>
      <c r="L147" s="59"/>
      <c r="M147" s="54"/>
      <c r="N147" s="55"/>
      <c r="P147" s="58"/>
      <c r="Q147" s="59"/>
      <c r="R147" s="54"/>
      <c r="S147" s="55"/>
    </row>
    <row r="148" spans="11:19" x14ac:dyDescent="0.25">
      <c r="K148" s="58"/>
      <c r="L148" s="59"/>
      <c r="M148" s="54"/>
      <c r="N148" s="55"/>
      <c r="P148" s="58"/>
      <c r="Q148" s="59"/>
      <c r="R148" s="54"/>
      <c r="S148" s="55"/>
    </row>
    <row r="149" spans="11:19" x14ac:dyDescent="0.25">
      <c r="K149" s="58"/>
      <c r="L149" s="59"/>
      <c r="M149" s="54"/>
      <c r="N149" s="55"/>
      <c r="P149" s="58"/>
      <c r="Q149" s="59"/>
      <c r="R149" s="54"/>
      <c r="S149" s="55"/>
    </row>
    <row r="150" spans="11:19" x14ac:dyDescent="0.25">
      <c r="K150" s="58"/>
      <c r="L150" s="59"/>
      <c r="M150" s="54"/>
      <c r="N150" s="55"/>
      <c r="P150" s="58"/>
      <c r="Q150" s="59"/>
      <c r="R150" s="54"/>
      <c r="S150" s="55"/>
    </row>
    <row r="151" spans="11:19" x14ac:dyDescent="0.25">
      <c r="K151" s="58"/>
      <c r="L151" s="59"/>
      <c r="M151" s="54"/>
      <c r="N151" s="55"/>
      <c r="P151" s="58"/>
      <c r="Q151" s="59"/>
      <c r="R151" s="54"/>
      <c r="S151" s="55"/>
    </row>
    <row r="152" spans="11:19" x14ac:dyDescent="0.25">
      <c r="K152" s="58"/>
      <c r="L152" s="59"/>
      <c r="M152" s="54"/>
      <c r="N152" s="55"/>
      <c r="P152" s="58"/>
      <c r="Q152" s="59"/>
      <c r="R152" s="54"/>
      <c r="S152" s="55"/>
    </row>
    <row r="153" spans="11:19" x14ac:dyDescent="0.25">
      <c r="K153" s="58"/>
      <c r="L153" s="59"/>
      <c r="M153" s="54"/>
      <c r="N153" s="55"/>
      <c r="P153" s="58"/>
      <c r="Q153" s="59"/>
      <c r="R153" s="54"/>
      <c r="S153" s="55"/>
    </row>
    <row r="154" spans="11:19" x14ac:dyDescent="0.25">
      <c r="K154" s="58"/>
      <c r="L154" s="59"/>
      <c r="M154" s="54"/>
      <c r="N154" s="55"/>
      <c r="P154" s="58"/>
      <c r="Q154" s="59"/>
      <c r="R154" s="54"/>
      <c r="S154" s="55"/>
    </row>
    <row r="155" spans="11:19" x14ac:dyDescent="0.25">
      <c r="K155" s="58"/>
      <c r="L155" s="59"/>
      <c r="M155" s="54"/>
      <c r="N155" s="55"/>
      <c r="P155" s="58"/>
      <c r="Q155" s="59"/>
      <c r="R155" s="54"/>
      <c r="S155" s="55"/>
    </row>
    <row r="156" spans="11:19" x14ac:dyDescent="0.25">
      <c r="K156" s="58"/>
      <c r="L156" s="59"/>
      <c r="M156" s="54"/>
      <c r="N156" s="55"/>
      <c r="P156" s="58"/>
      <c r="Q156" s="59"/>
      <c r="R156" s="54"/>
      <c r="S156" s="55"/>
    </row>
    <row r="157" spans="11:19" x14ac:dyDescent="0.25">
      <c r="K157" s="58"/>
      <c r="L157" s="59"/>
      <c r="M157" s="54"/>
      <c r="N157" s="55"/>
      <c r="P157" s="58"/>
      <c r="Q157" s="59"/>
      <c r="R157" s="54"/>
      <c r="S157" s="55"/>
    </row>
    <row r="158" spans="11:19" x14ac:dyDescent="0.25">
      <c r="K158" s="58"/>
      <c r="L158" s="59"/>
      <c r="M158" s="54"/>
      <c r="N158" s="55"/>
      <c r="P158" s="58"/>
      <c r="Q158" s="59"/>
      <c r="R158" s="54"/>
      <c r="S158" s="55"/>
    </row>
    <row r="159" spans="11:19" x14ac:dyDescent="0.25">
      <c r="K159" s="58"/>
      <c r="L159" s="59"/>
      <c r="M159" s="54"/>
      <c r="N159" s="55"/>
      <c r="P159" s="58"/>
      <c r="Q159" s="59"/>
      <c r="R159" s="54"/>
      <c r="S159" s="55"/>
    </row>
    <row r="160" spans="11:19" x14ac:dyDescent="0.25">
      <c r="K160" s="58"/>
      <c r="L160" s="59"/>
      <c r="M160" s="54"/>
      <c r="N160" s="55"/>
      <c r="P160" s="58"/>
      <c r="Q160" s="59"/>
      <c r="R160" s="54"/>
      <c r="S160" s="55"/>
    </row>
    <row r="161" spans="11:19" x14ac:dyDescent="0.25">
      <c r="K161" s="58"/>
      <c r="L161" s="59"/>
      <c r="M161" s="54"/>
      <c r="N161" s="55"/>
      <c r="P161" s="58"/>
      <c r="Q161" s="59"/>
      <c r="R161" s="54"/>
      <c r="S161" s="55"/>
    </row>
    <row r="162" spans="11:19" x14ac:dyDescent="0.25">
      <c r="K162" s="58"/>
      <c r="L162" s="59"/>
      <c r="M162" s="54"/>
      <c r="N162" s="55"/>
      <c r="P162" s="58"/>
      <c r="Q162" s="59"/>
      <c r="R162" s="54"/>
      <c r="S162" s="55"/>
    </row>
    <row r="163" spans="11:19" x14ac:dyDescent="0.25">
      <c r="K163" s="58"/>
      <c r="L163" s="59"/>
      <c r="M163" s="54"/>
      <c r="N163" s="55"/>
      <c r="P163" s="58"/>
      <c r="Q163" s="59"/>
      <c r="R163" s="54"/>
      <c r="S163" s="55"/>
    </row>
    <row r="164" spans="11:19" x14ac:dyDescent="0.25">
      <c r="K164" s="58"/>
      <c r="L164" s="59"/>
      <c r="M164" s="54"/>
      <c r="N164" s="55"/>
      <c r="P164" s="58"/>
      <c r="Q164" s="59"/>
      <c r="R164" s="54"/>
      <c r="S164" s="55"/>
    </row>
    <row r="165" spans="11:19" x14ac:dyDescent="0.25">
      <c r="K165" s="58"/>
      <c r="L165" s="59"/>
      <c r="M165" s="54"/>
      <c r="N165" s="55"/>
      <c r="P165" s="58"/>
      <c r="Q165" s="59"/>
      <c r="R165" s="54"/>
      <c r="S165" s="55"/>
    </row>
    <row r="166" spans="11:19" x14ac:dyDescent="0.25">
      <c r="K166" s="58"/>
      <c r="L166" s="59"/>
      <c r="M166" s="54"/>
      <c r="N166" s="55"/>
      <c r="P166" s="58"/>
      <c r="Q166" s="59"/>
      <c r="R166" s="54"/>
      <c r="S166" s="55"/>
    </row>
    <row r="167" spans="11:19" x14ac:dyDescent="0.25">
      <c r="K167" s="58"/>
      <c r="L167" s="59"/>
      <c r="M167" s="54"/>
      <c r="N167" s="55"/>
      <c r="P167" s="58"/>
      <c r="Q167" s="59"/>
      <c r="R167" s="54"/>
      <c r="S167" s="55"/>
    </row>
    <row r="168" spans="11:19" x14ac:dyDescent="0.25">
      <c r="K168" s="58"/>
      <c r="L168" s="59"/>
      <c r="M168" s="54"/>
      <c r="N168" s="55"/>
      <c r="P168" s="58"/>
      <c r="Q168" s="59"/>
      <c r="R168" s="54"/>
      <c r="S168" s="55"/>
    </row>
    <row r="169" spans="11:19" x14ac:dyDescent="0.25">
      <c r="K169" s="58"/>
      <c r="L169" s="59"/>
      <c r="M169" s="54"/>
      <c r="N169" s="55"/>
      <c r="P169" s="58"/>
      <c r="Q169" s="59"/>
      <c r="R169" s="54"/>
      <c r="S169" s="55"/>
    </row>
    <row r="170" spans="11:19" x14ac:dyDescent="0.25">
      <c r="K170" s="58"/>
      <c r="L170" s="59"/>
      <c r="M170" s="54"/>
      <c r="N170" s="55"/>
      <c r="P170" s="58"/>
      <c r="Q170" s="59"/>
      <c r="R170" s="54"/>
      <c r="S170" s="55"/>
    </row>
    <row r="171" spans="11:19" x14ac:dyDescent="0.25">
      <c r="K171" s="58"/>
      <c r="L171" s="59"/>
      <c r="M171" s="54"/>
      <c r="N171" s="55"/>
      <c r="P171" s="58"/>
      <c r="Q171" s="59"/>
      <c r="R171" s="54"/>
      <c r="S171" s="55"/>
    </row>
    <row r="172" spans="11:19" x14ac:dyDescent="0.25">
      <c r="K172" s="58"/>
      <c r="L172" s="59"/>
      <c r="M172" s="54"/>
      <c r="N172" s="55"/>
      <c r="P172" s="58"/>
      <c r="Q172" s="59"/>
      <c r="R172" s="54"/>
      <c r="S172" s="55"/>
    </row>
    <row r="173" spans="11:19" x14ac:dyDescent="0.25">
      <c r="K173" s="58"/>
      <c r="L173" s="59"/>
      <c r="M173" s="54"/>
      <c r="N173" s="55"/>
      <c r="P173" s="58"/>
      <c r="Q173" s="59"/>
      <c r="R173" s="54"/>
      <c r="S173" s="55"/>
    </row>
    <row r="174" spans="11:19" x14ac:dyDescent="0.25">
      <c r="K174" s="58"/>
      <c r="L174" s="59"/>
      <c r="M174" s="54"/>
      <c r="N174" s="55"/>
      <c r="P174" s="58"/>
      <c r="Q174" s="59"/>
      <c r="R174" s="54"/>
      <c r="S174" s="55"/>
    </row>
    <row r="175" spans="11:19" x14ac:dyDescent="0.25">
      <c r="K175" s="58"/>
      <c r="L175" s="59"/>
      <c r="M175" s="54"/>
      <c r="N175" s="55"/>
      <c r="P175" s="58"/>
      <c r="Q175" s="59"/>
      <c r="R175" s="54"/>
      <c r="S175" s="55"/>
    </row>
    <row r="176" spans="11:19" x14ac:dyDescent="0.25">
      <c r="K176" s="58"/>
      <c r="L176" s="59"/>
      <c r="M176" s="54"/>
      <c r="N176" s="55"/>
      <c r="P176" s="58"/>
      <c r="Q176" s="59"/>
      <c r="R176" s="54"/>
      <c r="S176" s="55"/>
    </row>
    <row r="177" spans="11:19" x14ac:dyDescent="0.25">
      <c r="K177" s="58"/>
      <c r="L177" s="59"/>
      <c r="M177" s="54"/>
      <c r="N177" s="55"/>
      <c r="P177" s="58"/>
      <c r="Q177" s="59"/>
      <c r="R177" s="54"/>
      <c r="S177" s="55"/>
    </row>
    <row r="178" spans="11:19" x14ac:dyDescent="0.25">
      <c r="K178" s="58"/>
      <c r="L178" s="59"/>
      <c r="M178" s="54"/>
      <c r="N178" s="55"/>
      <c r="P178" s="58"/>
      <c r="Q178" s="59"/>
      <c r="R178" s="54"/>
      <c r="S178" s="55"/>
    </row>
    <row r="179" spans="11:19" x14ac:dyDescent="0.25">
      <c r="K179" s="58"/>
      <c r="L179" s="59"/>
      <c r="M179" s="54"/>
      <c r="N179" s="55"/>
      <c r="P179" s="58"/>
      <c r="Q179" s="59"/>
      <c r="R179" s="54"/>
      <c r="S179" s="55"/>
    </row>
    <row r="180" spans="11:19" x14ac:dyDescent="0.25">
      <c r="K180" s="58"/>
      <c r="L180" s="59"/>
      <c r="M180" s="54"/>
      <c r="N180" s="55"/>
      <c r="P180" s="58"/>
      <c r="Q180" s="59"/>
      <c r="R180" s="54"/>
      <c r="S180" s="55"/>
    </row>
    <row r="181" spans="11:19" x14ac:dyDescent="0.25">
      <c r="K181" s="58"/>
      <c r="L181" s="59"/>
      <c r="M181" s="54"/>
      <c r="N181" s="55"/>
      <c r="P181" s="58"/>
      <c r="Q181" s="59"/>
      <c r="R181" s="54"/>
      <c r="S181" s="55"/>
    </row>
    <row r="182" spans="11:19" x14ac:dyDescent="0.25">
      <c r="K182" s="58"/>
      <c r="L182" s="59"/>
      <c r="M182" s="54"/>
      <c r="N182" s="55"/>
      <c r="P182" s="58"/>
      <c r="Q182" s="59"/>
      <c r="R182" s="54"/>
      <c r="S182" s="55"/>
    </row>
    <row r="183" spans="11:19" x14ac:dyDescent="0.25">
      <c r="K183" s="58"/>
      <c r="L183" s="59"/>
      <c r="M183" s="54"/>
      <c r="N183" s="55"/>
      <c r="P183" s="58"/>
      <c r="Q183" s="59"/>
      <c r="R183" s="54"/>
      <c r="S183" s="55"/>
    </row>
    <row r="184" spans="11:19" x14ac:dyDescent="0.25">
      <c r="K184" s="58"/>
      <c r="L184" s="59"/>
      <c r="M184" s="54"/>
      <c r="N184" s="55"/>
      <c r="P184" s="58"/>
      <c r="Q184" s="59"/>
      <c r="R184" s="54"/>
      <c r="S184" s="55"/>
    </row>
    <row r="185" spans="11:19" x14ac:dyDescent="0.25">
      <c r="K185" s="58"/>
      <c r="L185" s="59"/>
      <c r="M185" s="54"/>
      <c r="N185" s="55"/>
      <c r="P185" s="58"/>
      <c r="Q185" s="59"/>
      <c r="R185" s="54"/>
      <c r="S185" s="55"/>
    </row>
    <row r="186" spans="11:19" x14ac:dyDescent="0.25">
      <c r="K186" s="58"/>
      <c r="L186" s="59"/>
      <c r="M186" s="54"/>
      <c r="N186" s="55"/>
      <c r="P186" s="58"/>
      <c r="Q186" s="59"/>
      <c r="R186" s="54"/>
      <c r="S186" s="55"/>
    </row>
    <row r="187" spans="11:19" x14ac:dyDescent="0.25">
      <c r="K187" s="58"/>
      <c r="L187" s="59"/>
      <c r="M187" s="54"/>
      <c r="N187" s="55"/>
      <c r="P187" s="58"/>
      <c r="Q187" s="59"/>
      <c r="R187" s="54"/>
      <c r="S187" s="55"/>
    </row>
    <row r="188" spans="11:19" x14ac:dyDescent="0.25">
      <c r="K188" s="58"/>
      <c r="L188" s="59"/>
      <c r="M188" s="54"/>
      <c r="N188" s="55"/>
      <c r="P188" s="58"/>
      <c r="Q188" s="59"/>
      <c r="R188" s="54"/>
      <c r="S188" s="55"/>
    </row>
    <row r="189" spans="11:19" x14ac:dyDescent="0.25">
      <c r="K189" s="58"/>
      <c r="L189" s="59"/>
      <c r="M189" s="54"/>
      <c r="N189" s="55"/>
      <c r="P189" s="58"/>
      <c r="Q189" s="59"/>
      <c r="R189" s="54"/>
      <c r="S189" s="55"/>
    </row>
    <row r="190" spans="11:19" x14ac:dyDescent="0.25">
      <c r="K190" s="58"/>
      <c r="L190" s="59"/>
      <c r="M190" s="54"/>
      <c r="N190" s="55"/>
      <c r="P190" s="58"/>
      <c r="Q190" s="59"/>
      <c r="R190" s="54"/>
      <c r="S190" s="55"/>
    </row>
    <row r="191" spans="11:19" x14ac:dyDescent="0.25">
      <c r="K191" s="58"/>
      <c r="L191" s="59"/>
      <c r="M191" s="54"/>
      <c r="N191" s="55"/>
      <c r="P191" s="58"/>
      <c r="Q191" s="59"/>
      <c r="R191" s="54"/>
      <c r="S191" s="55"/>
    </row>
    <row r="192" spans="11:19" x14ac:dyDescent="0.25">
      <c r="K192" s="58"/>
      <c r="L192" s="59"/>
      <c r="M192" s="54"/>
      <c r="N192" s="55"/>
      <c r="P192" s="58"/>
      <c r="Q192" s="59"/>
      <c r="R192" s="54"/>
      <c r="S192" s="55"/>
    </row>
    <row r="193" spans="11:19" x14ac:dyDescent="0.25">
      <c r="K193" s="58"/>
      <c r="L193" s="59"/>
      <c r="M193" s="54"/>
      <c r="N193" s="55"/>
      <c r="P193" s="58"/>
      <c r="Q193" s="59"/>
      <c r="R193" s="54"/>
      <c r="S193" s="55"/>
    </row>
    <row r="194" spans="11:19" x14ac:dyDescent="0.25">
      <c r="K194" s="58"/>
      <c r="L194" s="59"/>
      <c r="M194" s="54"/>
      <c r="N194" s="55"/>
      <c r="P194" s="58"/>
      <c r="Q194" s="59"/>
      <c r="R194" s="54"/>
      <c r="S194" s="55"/>
    </row>
    <row r="195" spans="11:19" x14ac:dyDescent="0.25">
      <c r="K195" s="58"/>
      <c r="L195" s="59"/>
      <c r="M195" s="54"/>
      <c r="N195" s="55"/>
      <c r="P195" s="58"/>
      <c r="Q195" s="59"/>
      <c r="R195" s="54"/>
      <c r="S195" s="55"/>
    </row>
    <row r="196" spans="11:19" x14ac:dyDescent="0.25">
      <c r="K196" s="58"/>
      <c r="L196" s="59"/>
      <c r="M196" s="54"/>
      <c r="N196" s="55"/>
      <c r="P196" s="58"/>
      <c r="Q196" s="59"/>
      <c r="R196" s="54"/>
      <c r="S196" s="55"/>
    </row>
    <row r="197" spans="11:19" x14ac:dyDescent="0.25">
      <c r="K197" s="58"/>
      <c r="L197" s="59"/>
      <c r="M197" s="54"/>
      <c r="N197" s="55"/>
      <c r="P197" s="58"/>
      <c r="Q197" s="59"/>
      <c r="R197" s="54"/>
      <c r="S197" s="55"/>
    </row>
    <row r="198" spans="11:19" x14ac:dyDescent="0.25">
      <c r="K198" s="58"/>
      <c r="L198" s="59"/>
      <c r="M198" s="54"/>
      <c r="N198" s="55"/>
      <c r="P198" s="58"/>
      <c r="Q198" s="59"/>
      <c r="R198" s="54"/>
      <c r="S198" s="55"/>
    </row>
    <row r="199" spans="11:19" x14ac:dyDescent="0.25">
      <c r="K199" s="58"/>
      <c r="L199" s="59"/>
      <c r="M199" s="54"/>
      <c r="N199" s="55"/>
      <c r="P199" s="58"/>
      <c r="Q199" s="59"/>
      <c r="R199" s="54"/>
      <c r="S199" s="55"/>
    </row>
    <row r="200" spans="11:19" x14ac:dyDescent="0.25">
      <c r="K200" s="58"/>
      <c r="L200" s="59"/>
      <c r="M200" s="54"/>
      <c r="N200" s="55"/>
      <c r="P200" s="58"/>
      <c r="Q200" s="59"/>
      <c r="R200" s="54"/>
      <c r="S200" s="55"/>
    </row>
    <row r="201" spans="11:19" x14ac:dyDescent="0.25">
      <c r="K201" s="58"/>
      <c r="L201" s="59"/>
      <c r="M201" s="54"/>
      <c r="N201" s="55"/>
      <c r="P201" s="58"/>
      <c r="Q201" s="59"/>
      <c r="R201" s="54"/>
      <c r="S201" s="55"/>
    </row>
    <row r="202" spans="11:19" x14ac:dyDescent="0.25">
      <c r="K202" s="58"/>
      <c r="L202" s="59"/>
      <c r="M202" s="54"/>
      <c r="N202" s="55"/>
      <c r="P202" s="58"/>
      <c r="Q202" s="59"/>
      <c r="R202" s="54"/>
      <c r="S202" s="55"/>
    </row>
    <row r="203" spans="11:19" x14ac:dyDescent="0.25">
      <c r="K203" s="58"/>
      <c r="L203" s="59"/>
      <c r="M203" s="54"/>
      <c r="N203" s="55"/>
      <c r="P203" s="58"/>
      <c r="Q203" s="59"/>
      <c r="R203" s="54"/>
      <c r="S203" s="55"/>
    </row>
    <row r="204" spans="11:19" x14ac:dyDescent="0.25">
      <c r="K204" s="58"/>
      <c r="L204" s="59"/>
      <c r="M204" s="54"/>
      <c r="N204" s="55"/>
      <c r="P204" s="58"/>
      <c r="Q204" s="59"/>
      <c r="R204" s="54"/>
      <c r="S204" s="55"/>
    </row>
    <row r="205" spans="11:19" x14ac:dyDescent="0.25">
      <c r="K205" s="58"/>
      <c r="L205" s="59"/>
      <c r="M205" s="54"/>
      <c r="N205" s="55"/>
      <c r="P205" s="58"/>
      <c r="Q205" s="59"/>
      <c r="R205" s="54"/>
      <c r="S205" s="55"/>
    </row>
    <row r="206" spans="11:19" x14ac:dyDescent="0.25">
      <c r="K206" s="58"/>
      <c r="L206" s="59"/>
      <c r="M206" s="54"/>
      <c r="N206" s="55"/>
      <c r="P206" s="58"/>
      <c r="Q206" s="59"/>
      <c r="R206" s="54"/>
      <c r="S206" s="55"/>
    </row>
    <row r="207" spans="11:19" x14ac:dyDescent="0.25">
      <c r="K207" s="58"/>
      <c r="L207" s="59"/>
      <c r="M207" s="54"/>
      <c r="N207" s="55"/>
      <c r="P207" s="58"/>
      <c r="Q207" s="59"/>
      <c r="R207" s="54"/>
      <c r="S207" s="55"/>
    </row>
    <row r="208" spans="11:19" x14ac:dyDescent="0.25">
      <c r="K208" s="58"/>
      <c r="L208" s="59"/>
      <c r="M208" s="54"/>
      <c r="N208" s="55"/>
      <c r="P208" s="58"/>
      <c r="Q208" s="59"/>
      <c r="R208" s="54"/>
      <c r="S208" s="55"/>
    </row>
    <row r="209" spans="11:19" x14ac:dyDescent="0.25">
      <c r="K209" s="58"/>
      <c r="L209" s="59"/>
      <c r="M209" s="54"/>
      <c r="N209" s="55"/>
      <c r="P209" s="58"/>
      <c r="Q209" s="59"/>
      <c r="R209" s="54"/>
      <c r="S209" s="55"/>
    </row>
    <row r="210" spans="11:19" x14ac:dyDescent="0.25">
      <c r="K210" s="58"/>
      <c r="L210" s="59"/>
      <c r="M210" s="54"/>
      <c r="N210" s="55"/>
      <c r="P210" s="58"/>
      <c r="Q210" s="59"/>
      <c r="R210" s="54"/>
      <c r="S210" s="55"/>
    </row>
    <row r="211" spans="11:19" x14ac:dyDescent="0.25">
      <c r="K211" s="58"/>
      <c r="L211" s="59"/>
      <c r="M211" s="54"/>
      <c r="N211" s="55"/>
      <c r="P211" s="58"/>
      <c r="Q211" s="59"/>
      <c r="R211" s="54"/>
      <c r="S211" s="55"/>
    </row>
    <row r="212" spans="11:19" x14ac:dyDescent="0.25">
      <c r="K212" s="58"/>
      <c r="L212" s="59"/>
      <c r="M212" s="54"/>
      <c r="N212" s="55"/>
      <c r="P212" s="58"/>
      <c r="Q212" s="59"/>
      <c r="R212" s="54"/>
      <c r="S212" s="55"/>
    </row>
    <row r="213" spans="11:19" x14ac:dyDescent="0.25">
      <c r="K213" s="58"/>
      <c r="L213" s="59"/>
      <c r="M213" s="54"/>
      <c r="N213" s="55"/>
      <c r="P213" s="58"/>
      <c r="Q213" s="59"/>
      <c r="R213" s="54"/>
      <c r="S213" s="55"/>
    </row>
    <row r="214" spans="11:19" x14ac:dyDescent="0.25">
      <c r="K214" s="58"/>
      <c r="L214" s="59"/>
      <c r="M214" s="54"/>
      <c r="N214" s="55"/>
      <c r="P214" s="58"/>
      <c r="Q214" s="59"/>
      <c r="R214" s="54"/>
      <c r="S214" s="55"/>
    </row>
    <row r="215" spans="11:19" x14ac:dyDescent="0.25">
      <c r="K215" s="58"/>
      <c r="L215" s="59"/>
      <c r="M215" s="54"/>
      <c r="N215" s="55"/>
      <c r="P215" s="58"/>
      <c r="Q215" s="59"/>
      <c r="R215" s="54"/>
      <c r="S215" s="55"/>
    </row>
    <row r="216" spans="11:19" x14ac:dyDescent="0.25">
      <c r="K216" s="58"/>
      <c r="L216" s="59"/>
      <c r="M216" s="54"/>
      <c r="N216" s="55"/>
      <c r="P216" s="58"/>
      <c r="Q216" s="59"/>
      <c r="R216" s="54"/>
      <c r="S216" s="55"/>
    </row>
    <row r="217" spans="11:19" x14ac:dyDescent="0.25">
      <c r="K217" s="58"/>
      <c r="L217" s="59"/>
      <c r="M217" s="54"/>
      <c r="N217" s="55"/>
      <c r="P217" s="58"/>
      <c r="Q217" s="59"/>
      <c r="R217" s="54"/>
      <c r="S217" s="55"/>
    </row>
    <row r="218" spans="11:19" x14ac:dyDescent="0.25">
      <c r="K218" s="58"/>
      <c r="L218" s="59"/>
      <c r="M218" s="54"/>
      <c r="N218" s="55"/>
      <c r="P218" s="58"/>
      <c r="Q218" s="59"/>
      <c r="R218" s="54"/>
      <c r="S218" s="55"/>
    </row>
    <row r="219" spans="11:19" x14ac:dyDescent="0.25">
      <c r="K219" s="58"/>
      <c r="L219" s="59"/>
      <c r="M219" s="54"/>
      <c r="N219" s="55"/>
      <c r="P219" s="58"/>
      <c r="Q219" s="59"/>
      <c r="R219" s="54"/>
      <c r="S219" s="55"/>
    </row>
    <row r="220" spans="11:19" x14ac:dyDescent="0.25">
      <c r="K220" s="58"/>
      <c r="L220" s="59"/>
      <c r="M220" s="54"/>
      <c r="N220" s="55"/>
      <c r="P220" s="58"/>
      <c r="Q220" s="59"/>
      <c r="R220" s="54"/>
      <c r="S220" s="55"/>
    </row>
    <row r="221" spans="11:19" x14ac:dyDescent="0.25">
      <c r="K221" s="58"/>
      <c r="L221" s="59"/>
      <c r="M221" s="54"/>
      <c r="N221" s="55"/>
      <c r="P221" s="58"/>
      <c r="Q221" s="59"/>
      <c r="R221" s="54"/>
      <c r="S221" s="55"/>
    </row>
    <row r="222" spans="11:19" x14ac:dyDescent="0.25">
      <c r="K222" s="58"/>
      <c r="L222" s="59"/>
      <c r="M222" s="54"/>
      <c r="N222" s="55"/>
      <c r="P222" s="58"/>
      <c r="Q222" s="59"/>
      <c r="R222" s="54"/>
      <c r="S222" s="55"/>
    </row>
    <row r="223" spans="11:19" x14ac:dyDescent="0.25">
      <c r="K223" s="58"/>
      <c r="L223" s="59"/>
      <c r="M223" s="54"/>
      <c r="N223" s="55"/>
      <c r="P223" s="58"/>
      <c r="Q223" s="59"/>
      <c r="R223" s="54"/>
      <c r="S223" s="55"/>
    </row>
    <row r="224" spans="11:19" x14ac:dyDescent="0.25">
      <c r="K224" s="58"/>
      <c r="L224" s="59"/>
      <c r="M224" s="54"/>
      <c r="N224" s="55"/>
      <c r="P224" s="58"/>
      <c r="Q224" s="59"/>
      <c r="R224" s="54"/>
      <c r="S224" s="55"/>
    </row>
    <row r="225" spans="11:19" x14ac:dyDescent="0.25">
      <c r="K225" s="58"/>
      <c r="L225" s="59"/>
      <c r="M225" s="54"/>
      <c r="N225" s="55"/>
      <c r="P225" s="58"/>
      <c r="Q225" s="59"/>
      <c r="R225" s="54"/>
      <c r="S225" s="55"/>
    </row>
    <row r="226" spans="11:19" x14ac:dyDescent="0.25">
      <c r="K226" s="58"/>
      <c r="L226" s="59"/>
      <c r="M226" s="54"/>
      <c r="N226" s="55"/>
      <c r="P226" s="58"/>
      <c r="Q226" s="59"/>
      <c r="R226" s="54"/>
      <c r="S226" s="55"/>
    </row>
    <row r="227" spans="11:19" x14ac:dyDescent="0.25">
      <c r="K227" s="58"/>
      <c r="L227" s="59"/>
      <c r="M227" s="54"/>
      <c r="N227" s="55"/>
      <c r="P227" s="58"/>
      <c r="Q227" s="59"/>
      <c r="R227" s="54"/>
      <c r="S227" s="55"/>
    </row>
    <row r="228" spans="11:19" x14ac:dyDescent="0.25">
      <c r="K228" s="58"/>
      <c r="L228" s="59"/>
      <c r="M228" s="54"/>
      <c r="N228" s="55"/>
      <c r="P228" s="58"/>
      <c r="Q228" s="59"/>
      <c r="R228" s="54"/>
      <c r="S228" s="55"/>
    </row>
    <row r="229" spans="11:19" x14ac:dyDescent="0.25">
      <c r="K229" s="58"/>
      <c r="L229" s="59"/>
      <c r="M229" s="54"/>
      <c r="N229" s="55"/>
      <c r="P229" s="58"/>
      <c r="Q229" s="59"/>
      <c r="R229" s="54"/>
      <c r="S229" s="55"/>
    </row>
    <row r="230" spans="11:19" x14ac:dyDescent="0.25">
      <c r="K230" s="58"/>
      <c r="L230" s="59"/>
      <c r="M230" s="54"/>
      <c r="N230" s="55"/>
      <c r="P230" s="58"/>
      <c r="Q230" s="59"/>
      <c r="R230" s="54"/>
      <c r="S230" s="55"/>
    </row>
    <row r="231" spans="11:19" x14ac:dyDescent="0.25">
      <c r="K231" s="58"/>
      <c r="L231" s="59"/>
      <c r="M231" s="54"/>
      <c r="N231" s="55"/>
      <c r="P231" s="58"/>
      <c r="Q231" s="59"/>
      <c r="R231" s="54"/>
      <c r="S231" s="55"/>
    </row>
    <row r="232" spans="11:19" x14ac:dyDescent="0.25">
      <c r="K232" s="58"/>
      <c r="L232" s="59"/>
      <c r="M232" s="54"/>
      <c r="N232" s="55"/>
      <c r="P232" s="58"/>
      <c r="Q232" s="59"/>
      <c r="R232" s="54"/>
      <c r="S232" s="55"/>
    </row>
    <row r="233" spans="11:19" x14ac:dyDescent="0.25">
      <c r="K233" s="58"/>
      <c r="L233" s="59"/>
      <c r="M233" s="54"/>
      <c r="N233" s="55"/>
      <c r="P233" s="58"/>
      <c r="Q233" s="59"/>
      <c r="R233" s="54"/>
      <c r="S233" s="55"/>
    </row>
    <row r="234" spans="11:19" x14ac:dyDescent="0.25">
      <c r="K234" s="58"/>
      <c r="L234" s="59"/>
      <c r="M234" s="54"/>
      <c r="N234" s="55"/>
      <c r="P234" s="58"/>
      <c r="Q234" s="59"/>
      <c r="R234" s="54"/>
      <c r="S234" s="55"/>
    </row>
    <row r="235" spans="11:19" x14ac:dyDescent="0.25">
      <c r="K235" s="58"/>
      <c r="L235" s="59"/>
      <c r="M235" s="54"/>
      <c r="N235" s="55"/>
      <c r="P235" s="58"/>
      <c r="Q235" s="59"/>
      <c r="R235" s="54"/>
      <c r="S235" s="55"/>
    </row>
    <row r="236" spans="11:19" x14ac:dyDescent="0.25">
      <c r="K236" s="58"/>
      <c r="L236" s="59"/>
      <c r="M236" s="54"/>
      <c r="N236" s="55"/>
      <c r="P236" s="58"/>
      <c r="Q236" s="59"/>
      <c r="R236" s="54"/>
      <c r="S236" s="55"/>
    </row>
    <row r="237" spans="11:19" x14ac:dyDescent="0.25">
      <c r="K237" s="58"/>
      <c r="L237" s="59"/>
      <c r="M237" s="54"/>
      <c r="N237" s="55"/>
      <c r="P237" s="58"/>
      <c r="Q237" s="59"/>
      <c r="R237" s="54"/>
      <c r="S237" s="55"/>
    </row>
    <row r="238" spans="11:19" x14ac:dyDescent="0.25">
      <c r="K238" s="58"/>
      <c r="L238" s="59"/>
      <c r="M238" s="54"/>
      <c r="N238" s="55"/>
      <c r="P238" s="58"/>
      <c r="Q238" s="59"/>
      <c r="R238" s="54"/>
      <c r="S238" s="55"/>
    </row>
    <row r="239" spans="11:19" x14ac:dyDescent="0.25">
      <c r="K239" s="58"/>
      <c r="L239" s="59"/>
      <c r="M239" s="54"/>
      <c r="N239" s="55"/>
      <c r="P239" s="58"/>
      <c r="Q239" s="59"/>
      <c r="R239" s="54"/>
      <c r="S239" s="55"/>
    </row>
    <row r="240" spans="11:19" x14ac:dyDescent="0.25">
      <c r="K240" s="58"/>
      <c r="L240" s="59"/>
      <c r="M240" s="54"/>
      <c r="N240" s="55"/>
      <c r="P240" s="58"/>
      <c r="Q240" s="59"/>
      <c r="R240" s="54"/>
      <c r="S240" s="55"/>
    </row>
    <row r="241" spans="11:19" x14ac:dyDescent="0.25">
      <c r="K241" s="58"/>
      <c r="L241" s="59"/>
      <c r="M241" s="54"/>
      <c r="N241" s="55"/>
      <c r="P241" s="58"/>
      <c r="Q241" s="59"/>
      <c r="R241" s="54"/>
      <c r="S241" s="55"/>
    </row>
    <row r="242" spans="11:19" x14ac:dyDescent="0.25">
      <c r="K242" s="58"/>
      <c r="L242" s="59"/>
      <c r="M242" s="54"/>
      <c r="N242" s="55"/>
      <c r="P242" s="58"/>
      <c r="Q242" s="59"/>
      <c r="R242" s="54"/>
      <c r="S242" s="55"/>
    </row>
    <row r="243" spans="11:19" x14ac:dyDescent="0.25">
      <c r="K243" s="58"/>
      <c r="L243" s="59"/>
      <c r="M243" s="54"/>
      <c r="N243" s="55"/>
      <c r="P243" s="58"/>
      <c r="Q243" s="59"/>
      <c r="R243" s="54"/>
      <c r="S243" s="55"/>
    </row>
    <row r="244" spans="11:19" x14ac:dyDescent="0.25">
      <c r="K244" s="58"/>
      <c r="L244" s="59"/>
      <c r="M244" s="54"/>
      <c r="N244" s="55"/>
      <c r="P244" s="58"/>
      <c r="Q244" s="59"/>
      <c r="R244" s="54"/>
      <c r="S244" s="55"/>
    </row>
    <row r="245" spans="11:19" x14ac:dyDescent="0.25">
      <c r="K245" s="58"/>
      <c r="L245" s="59"/>
      <c r="M245" s="54"/>
      <c r="N245" s="55"/>
      <c r="P245" s="58"/>
      <c r="Q245" s="59"/>
      <c r="R245" s="54"/>
      <c r="S245" s="55"/>
    </row>
    <row r="246" spans="11:19" x14ac:dyDescent="0.25">
      <c r="K246" s="58"/>
      <c r="L246" s="59"/>
      <c r="M246" s="54"/>
      <c r="N246" s="55"/>
      <c r="P246" s="58"/>
      <c r="Q246" s="59"/>
      <c r="R246" s="54"/>
      <c r="S246" s="55"/>
    </row>
    <row r="247" spans="11:19" x14ac:dyDescent="0.25">
      <c r="K247" s="58"/>
      <c r="L247" s="59"/>
      <c r="M247" s="54"/>
      <c r="N247" s="55"/>
      <c r="P247" s="58"/>
      <c r="Q247" s="59"/>
      <c r="R247" s="54"/>
      <c r="S247" s="55"/>
    </row>
    <row r="248" spans="11:19" x14ac:dyDescent="0.25">
      <c r="K248" s="58"/>
      <c r="L248" s="59"/>
      <c r="M248" s="54"/>
      <c r="N248" s="55"/>
      <c r="P248" s="58"/>
      <c r="Q248" s="59"/>
      <c r="R248" s="54"/>
      <c r="S248" s="55"/>
    </row>
    <row r="249" spans="11:19" x14ac:dyDescent="0.25">
      <c r="K249" s="58"/>
      <c r="L249" s="59"/>
      <c r="M249" s="54"/>
      <c r="N249" s="55"/>
      <c r="P249" s="58"/>
      <c r="Q249" s="59"/>
      <c r="R249" s="54"/>
      <c r="S249" s="55"/>
    </row>
    <row r="250" spans="11:19" x14ac:dyDescent="0.25">
      <c r="K250" s="58"/>
      <c r="L250" s="59"/>
      <c r="M250" s="54"/>
      <c r="N250" s="55"/>
      <c r="P250" s="58"/>
      <c r="Q250" s="59"/>
      <c r="R250" s="54"/>
      <c r="S250" s="55"/>
    </row>
    <row r="251" spans="11:19" x14ac:dyDescent="0.25">
      <c r="K251" s="58"/>
      <c r="L251" s="59"/>
      <c r="M251" s="54"/>
      <c r="N251" s="55"/>
      <c r="P251" s="58"/>
      <c r="Q251" s="59"/>
      <c r="R251" s="54"/>
      <c r="S251" s="55"/>
    </row>
    <row r="252" spans="11:19" x14ac:dyDescent="0.25">
      <c r="K252" s="58"/>
      <c r="L252" s="59"/>
      <c r="M252" s="54"/>
      <c r="N252" s="55"/>
      <c r="P252" s="58"/>
      <c r="Q252" s="59"/>
      <c r="R252" s="54"/>
      <c r="S252" s="55"/>
    </row>
    <row r="253" spans="11:19" x14ac:dyDescent="0.25">
      <c r="K253" s="58"/>
      <c r="L253" s="59"/>
      <c r="M253" s="54"/>
      <c r="N253" s="55"/>
      <c r="P253" s="58"/>
      <c r="Q253" s="59"/>
      <c r="R253" s="54"/>
      <c r="S253" s="55"/>
    </row>
    <row r="254" spans="11:19" x14ac:dyDescent="0.25">
      <c r="K254" s="58"/>
      <c r="L254" s="59"/>
      <c r="M254" s="54"/>
      <c r="N254" s="55"/>
      <c r="P254" s="58"/>
      <c r="Q254" s="59"/>
      <c r="R254" s="54"/>
      <c r="S254" s="55"/>
    </row>
    <row r="255" spans="11:19" x14ac:dyDescent="0.25">
      <c r="K255" s="58"/>
      <c r="L255" s="59"/>
      <c r="M255" s="54"/>
      <c r="N255" s="55"/>
      <c r="P255" s="58"/>
      <c r="Q255" s="59"/>
      <c r="R255" s="54"/>
      <c r="S255" s="55"/>
    </row>
    <row r="256" spans="11:19" x14ac:dyDescent="0.25">
      <c r="K256" s="58"/>
      <c r="L256" s="59"/>
      <c r="M256" s="54"/>
      <c r="N256" s="55"/>
      <c r="P256" s="58"/>
      <c r="Q256" s="59"/>
      <c r="R256" s="54"/>
      <c r="S256" s="55"/>
    </row>
    <row r="257" spans="11:19" x14ac:dyDescent="0.25">
      <c r="K257" s="58"/>
      <c r="L257" s="59"/>
      <c r="M257" s="54"/>
      <c r="N257" s="55"/>
      <c r="P257" s="58"/>
      <c r="Q257" s="59"/>
      <c r="R257" s="54"/>
      <c r="S257" s="55"/>
    </row>
    <row r="258" spans="11:19" x14ac:dyDescent="0.25">
      <c r="K258" s="58"/>
      <c r="L258" s="59"/>
      <c r="M258" s="54"/>
      <c r="N258" s="55"/>
      <c r="P258" s="58"/>
      <c r="Q258" s="59"/>
      <c r="R258" s="54"/>
      <c r="S258" s="55"/>
    </row>
    <row r="259" spans="11:19" x14ac:dyDescent="0.25">
      <c r="K259" s="58"/>
      <c r="L259" s="59"/>
      <c r="M259" s="54"/>
      <c r="N259" s="55"/>
      <c r="P259" s="58"/>
      <c r="Q259" s="59"/>
      <c r="R259" s="54"/>
      <c r="S259" s="55"/>
    </row>
    <row r="260" spans="11:19" x14ac:dyDescent="0.25">
      <c r="K260" s="58"/>
      <c r="L260" s="59"/>
      <c r="M260" s="54"/>
      <c r="N260" s="55"/>
      <c r="P260" s="58"/>
      <c r="Q260" s="59"/>
      <c r="R260" s="54"/>
      <c r="S260" s="55"/>
    </row>
    <row r="261" spans="11:19" x14ac:dyDescent="0.25">
      <c r="K261" s="58"/>
      <c r="L261" s="59"/>
      <c r="M261" s="54"/>
      <c r="N261" s="55"/>
      <c r="P261" s="58"/>
      <c r="Q261" s="59"/>
      <c r="R261" s="54"/>
      <c r="S261" s="55"/>
    </row>
    <row r="262" spans="11:19" x14ac:dyDescent="0.25">
      <c r="K262" s="58"/>
      <c r="L262" s="59"/>
      <c r="M262" s="54"/>
      <c r="N262" s="55"/>
      <c r="P262" s="58"/>
      <c r="Q262" s="59"/>
      <c r="R262" s="54"/>
      <c r="S262" s="55"/>
    </row>
    <row r="263" spans="11:19" x14ac:dyDescent="0.25">
      <c r="K263" s="58"/>
      <c r="L263" s="59"/>
      <c r="M263" s="54"/>
      <c r="N263" s="55"/>
      <c r="P263" s="58"/>
      <c r="Q263" s="59"/>
      <c r="R263" s="54"/>
      <c r="S263" s="55"/>
    </row>
    <row r="264" spans="11:19" x14ac:dyDescent="0.25">
      <c r="K264" s="58"/>
      <c r="L264" s="59"/>
      <c r="M264" s="54"/>
      <c r="N264" s="55"/>
      <c r="P264" s="58"/>
      <c r="Q264" s="59"/>
      <c r="R264" s="54"/>
      <c r="S264" s="55"/>
    </row>
    <row r="265" spans="11:19" x14ac:dyDescent="0.25">
      <c r="K265" s="58"/>
      <c r="L265" s="59"/>
      <c r="M265" s="54"/>
      <c r="N265" s="55"/>
      <c r="P265" s="58"/>
      <c r="Q265" s="59"/>
      <c r="R265" s="54"/>
      <c r="S265" s="55"/>
    </row>
    <row r="266" spans="11:19" x14ac:dyDescent="0.25">
      <c r="K266" s="58"/>
      <c r="L266" s="59"/>
      <c r="M266" s="54"/>
      <c r="N266" s="55"/>
      <c r="P266" s="58"/>
      <c r="Q266" s="59"/>
      <c r="R266" s="54"/>
      <c r="S266" s="55"/>
    </row>
    <row r="267" spans="11:19" x14ac:dyDescent="0.25">
      <c r="K267" s="58"/>
      <c r="L267" s="59"/>
      <c r="M267" s="54"/>
      <c r="N267" s="55"/>
      <c r="P267" s="58"/>
      <c r="Q267" s="59"/>
      <c r="R267" s="54"/>
      <c r="S267" s="55"/>
    </row>
    <row r="268" spans="11:19" x14ac:dyDescent="0.25">
      <c r="K268" s="58"/>
      <c r="L268" s="59"/>
      <c r="M268" s="54"/>
      <c r="N268" s="55"/>
      <c r="P268" s="58"/>
      <c r="Q268" s="59"/>
      <c r="R268" s="54"/>
      <c r="S268" s="55"/>
    </row>
    <row r="269" spans="11:19" x14ac:dyDescent="0.25">
      <c r="K269" s="58"/>
      <c r="L269" s="59"/>
      <c r="M269" s="54"/>
      <c r="N269" s="55"/>
      <c r="P269" s="58"/>
      <c r="Q269" s="59"/>
      <c r="R269" s="54"/>
      <c r="S269" s="55"/>
    </row>
    <row r="270" spans="11:19" x14ac:dyDescent="0.25">
      <c r="K270" s="58"/>
      <c r="L270" s="59"/>
      <c r="M270" s="54"/>
      <c r="N270" s="55"/>
      <c r="P270" s="58"/>
      <c r="Q270" s="59"/>
      <c r="R270" s="54"/>
      <c r="S270" s="55"/>
    </row>
    <row r="271" spans="11:19" x14ac:dyDescent="0.25">
      <c r="K271" s="58"/>
      <c r="L271" s="59"/>
      <c r="M271" s="54"/>
      <c r="N271" s="55"/>
      <c r="P271" s="58"/>
      <c r="Q271" s="59"/>
      <c r="R271" s="54"/>
      <c r="S271" s="55"/>
    </row>
    <row r="272" spans="11:19" x14ac:dyDescent="0.25">
      <c r="K272" s="58"/>
      <c r="L272" s="59"/>
      <c r="M272" s="54"/>
      <c r="N272" s="55"/>
      <c r="P272" s="58"/>
      <c r="Q272" s="59"/>
      <c r="R272" s="54"/>
      <c r="S272" s="55"/>
    </row>
    <row r="273" spans="11:19" x14ac:dyDescent="0.25">
      <c r="K273" s="58"/>
      <c r="L273" s="59"/>
      <c r="M273" s="54"/>
      <c r="N273" s="55"/>
      <c r="P273" s="58"/>
      <c r="Q273" s="59"/>
      <c r="R273" s="54"/>
      <c r="S273" s="55"/>
    </row>
    <row r="274" spans="11:19" x14ac:dyDescent="0.25">
      <c r="K274" s="58"/>
      <c r="L274" s="59"/>
      <c r="M274" s="54"/>
      <c r="N274" s="55"/>
      <c r="P274" s="58"/>
      <c r="Q274" s="59"/>
      <c r="R274" s="54"/>
      <c r="S274" s="55"/>
    </row>
    <row r="275" spans="11:19" x14ac:dyDescent="0.25">
      <c r="K275" s="58"/>
      <c r="L275" s="59"/>
      <c r="M275" s="54"/>
      <c r="N275" s="55"/>
      <c r="P275" s="58"/>
      <c r="Q275" s="59"/>
      <c r="R275" s="54"/>
      <c r="S275" s="55"/>
    </row>
    <row r="276" spans="11:19" x14ac:dyDescent="0.25">
      <c r="K276" s="58"/>
      <c r="L276" s="59"/>
      <c r="M276" s="54"/>
      <c r="N276" s="55"/>
      <c r="P276" s="58"/>
      <c r="Q276" s="59"/>
      <c r="R276" s="54"/>
      <c r="S276" s="55"/>
    </row>
    <row r="277" spans="11:19" x14ac:dyDescent="0.25">
      <c r="K277" s="58"/>
      <c r="L277" s="59"/>
      <c r="M277" s="54"/>
      <c r="N277" s="55"/>
      <c r="P277" s="58"/>
      <c r="Q277" s="59"/>
      <c r="R277" s="54"/>
      <c r="S277" s="55"/>
    </row>
    <row r="278" spans="11:19" x14ac:dyDescent="0.25">
      <c r="K278" s="58"/>
      <c r="L278" s="59"/>
      <c r="M278" s="54"/>
      <c r="N278" s="55"/>
      <c r="P278" s="58"/>
      <c r="Q278" s="59"/>
      <c r="R278" s="54"/>
      <c r="S278" s="55"/>
    </row>
    <row r="279" spans="11:19" x14ac:dyDescent="0.25">
      <c r="K279" s="58"/>
      <c r="L279" s="59"/>
      <c r="M279" s="54"/>
      <c r="N279" s="55"/>
      <c r="P279" s="58"/>
      <c r="Q279" s="59"/>
      <c r="R279" s="54"/>
      <c r="S279" s="55"/>
    </row>
    <row r="280" spans="11:19" x14ac:dyDescent="0.25">
      <c r="K280" s="58"/>
      <c r="L280" s="59"/>
      <c r="M280" s="54"/>
      <c r="N280" s="55"/>
      <c r="P280" s="58"/>
      <c r="Q280" s="59"/>
      <c r="R280" s="54"/>
      <c r="S280" s="55"/>
    </row>
    <row r="281" spans="11:19" x14ac:dyDescent="0.25">
      <c r="K281" s="58"/>
      <c r="L281" s="59"/>
      <c r="M281" s="54"/>
      <c r="N281" s="55"/>
      <c r="P281" s="58"/>
      <c r="Q281" s="59"/>
      <c r="R281" s="54"/>
      <c r="S281" s="55"/>
    </row>
    <row r="282" spans="11:19" x14ac:dyDescent="0.25">
      <c r="K282" s="58"/>
      <c r="L282" s="59"/>
      <c r="M282" s="54"/>
      <c r="N282" s="55"/>
      <c r="P282" s="58"/>
      <c r="Q282" s="59"/>
      <c r="R282" s="54"/>
      <c r="S282" s="55"/>
    </row>
    <row r="283" spans="11:19" x14ac:dyDescent="0.25">
      <c r="K283" s="58"/>
      <c r="L283" s="59"/>
      <c r="M283" s="54"/>
      <c r="N283" s="55"/>
      <c r="P283" s="58"/>
      <c r="Q283" s="59"/>
      <c r="R283" s="54"/>
      <c r="S283" s="55"/>
    </row>
    <row r="284" spans="11:19" x14ac:dyDescent="0.25">
      <c r="K284" s="58"/>
      <c r="L284" s="59"/>
      <c r="M284" s="54"/>
      <c r="N284" s="55"/>
      <c r="P284" s="58"/>
      <c r="Q284" s="59"/>
      <c r="R284" s="54"/>
      <c r="S284" s="55"/>
    </row>
    <row r="285" spans="11:19" x14ac:dyDescent="0.25">
      <c r="K285" s="58"/>
      <c r="L285" s="59"/>
      <c r="M285" s="54"/>
      <c r="N285" s="55"/>
      <c r="P285" s="58"/>
      <c r="Q285" s="59"/>
      <c r="R285" s="54"/>
      <c r="S285" s="55"/>
    </row>
    <row r="286" spans="11:19" x14ac:dyDescent="0.25">
      <c r="K286" s="58"/>
      <c r="L286" s="59"/>
      <c r="M286" s="54"/>
      <c r="N286" s="55"/>
      <c r="P286" s="58"/>
      <c r="Q286" s="59"/>
      <c r="R286" s="54"/>
      <c r="S286" s="55"/>
    </row>
    <row r="287" spans="11:19" x14ac:dyDescent="0.25">
      <c r="K287" s="58"/>
      <c r="L287" s="59"/>
      <c r="M287" s="54"/>
      <c r="N287" s="55"/>
      <c r="P287" s="58"/>
      <c r="Q287" s="59"/>
      <c r="R287" s="54"/>
      <c r="S287" s="55"/>
    </row>
    <row r="288" spans="11:19" x14ac:dyDescent="0.25">
      <c r="K288" s="58"/>
      <c r="L288" s="59"/>
      <c r="M288" s="54"/>
      <c r="N288" s="55"/>
      <c r="P288" s="58"/>
      <c r="Q288" s="59"/>
      <c r="R288" s="54"/>
      <c r="S288" s="55"/>
    </row>
    <row r="289" spans="11:19" x14ac:dyDescent="0.25">
      <c r="K289" s="58"/>
      <c r="L289" s="59"/>
      <c r="M289" s="54"/>
      <c r="N289" s="55"/>
      <c r="P289" s="58"/>
      <c r="Q289" s="59"/>
      <c r="R289" s="54"/>
      <c r="S289" s="55"/>
    </row>
    <row r="290" spans="11:19" x14ac:dyDescent="0.25">
      <c r="K290" s="58"/>
      <c r="L290" s="59"/>
      <c r="M290" s="54"/>
      <c r="N290" s="55"/>
      <c r="P290" s="58"/>
      <c r="Q290" s="59"/>
      <c r="R290" s="54"/>
      <c r="S290" s="55"/>
    </row>
    <row r="291" spans="11:19" x14ac:dyDescent="0.25">
      <c r="K291" s="58"/>
      <c r="L291" s="59"/>
      <c r="M291" s="54"/>
      <c r="N291" s="55"/>
      <c r="P291" s="58"/>
      <c r="Q291" s="59"/>
      <c r="R291" s="54"/>
      <c r="S291" s="55"/>
    </row>
    <row r="292" spans="11:19" x14ac:dyDescent="0.25">
      <c r="K292" s="58"/>
      <c r="L292" s="59"/>
      <c r="M292" s="54"/>
      <c r="N292" s="55"/>
      <c r="P292" s="58"/>
      <c r="Q292" s="59"/>
      <c r="R292" s="54"/>
      <c r="S292" s="55"/>
    </row>
    <row r="293" spans="11:19" x14ac:dyDescent="0.25">
      <c r="K293" s="58"/>
      <c r="L293" s="59"/>
      <c r="M293" s="54"/>
      <c r="N293" s="55"/>
      <c r="P293" s="58"/>
      <c r="Q293" s="59"/>
      <c r="R293" s="54"/>
      <c r="S293" s="55"/>
    </row>
    <row r="294" spans="11:19" x14ac:dyDescent="0.25">
      <c r="K294" s="58"/>
      <c r="L294" s="59"/>
      <c r="M294" s="54"/>
      <c r="N294" s="55"/>
      <c r="P294" s="58"/>
      <c r="Q294" s="59"/>
      <c r="R294" s="54"/>
      <c r="S294" s="55"/>
    </row>
    <row r="295" spans="11:19" x14ac:dyDescent="0.25">
      <c r="K295" s="58"/>
      <c r="L295" s="59"/>
      <c r="M295" s="54"/>
      <c r="N295" s="55"/>
      <c r="P295" s="58"/>
      <c r="Q295" s="59"/>
      <c r="R295" s="54"/>
      <c r="S295" s="55"/>
    </row>
    <row r="296" spans="11:19" x14ac:dyDescent="0.25">
      <c r="K296" s="58"/>
      <c r="L296" s="59"/>
      <c r="M296" s="54"/>
      <c r="N296" s="55"/>
      <c r="P296" s="58"/>
      <c r="Q296" s="59"/>
      <c r="R296" s="54"/>
      <c r="S296" s="55"/>
    </row>
    <row r="297" spans="11:19" x14ac:dyDescent="0.25">
      <c r="K297" s="58"/>
      <c r="L297" s="59"/>
      <c r="M297" s="54"/>
      <c r="N297" s="55"/>
      <c r="P297" s="58"/>
      <c r="Q297" s="59"/>
      <c r="R297" s="54"/>
      <c r="S297" s="55"/>
    </row>
    <row r="298" spans="11:19" x14ac:dyDescent="0.25">
      <c r="K298" s="58"/>
      <c r="L298" s="59"/>
      <c r="M298" s="54"/>
      <c r="N298" s="55"/>
      <c r="P298" s="58"/>
      <c r="Q298" s="59"/>
      <c r="R298" s="54"/>
      <c r="S298" s="55"/>
    </row>
    <row r="299" spans="11:19" x14ac:dyDescent="0.25">
      <c r="K299" s="58"/>
      <c r="L299" s="59"/>
      <c r="M299" s="54"/>
      <c r="N299" s="55"/>
      <c r="P299" s="58"/>
      <c r="Q299" s="59"/>
      <c r="R299" s="54"/>
      <c r="S299" s="55"/>
    </row>
    <row r="300" spans="11:19" x14ac:dyDescent="0.25">
      <c r="K300" s="58"/>
      <c r="L300" s="59"/>
      <c r="M300" s="54"/>
      <c r="N300" s="55"/>
      <c r="P300" s="58"/>
      <c r="Q300" s="59"/>
      <c r="R300" s="54"/>
      <c r="S300" s="55"/>
    </row>
    <row r="301" spans="11:19" x14ac:dyDescent="0.25">
      <c r="K301" s="58"/>
      <c r="L301" s="59"/>
      <c r="M301" s="54"/>
      <c r="N301" s="55"/>
      <c r="P301" s="58"/>
      <c r="Q301" s="59"/>
      <c r="R301" s="54"/>
      <c r="S301" s="55"/>
    </row>
    <row r="302" spans="11:19" x14ac:dyDescent="0.25">
      <c r="K302" s="58"/>
      <c r="L302" s="59"/>
      <c r="M302" s="54"/>
      <c r="N302" s="55"/>
      <c r="P302" s="58"/>
      <c r="Q302" s="59"/>
      <c r="R302" s="54"/>
      <c r="S302" s="55"/>
    </row>
    <row r="303" spans="11:19" x14ac:dyDescent="0.25">
      <c r="K303" s="58"/>
      <c r="L303" s="59"/>
      <c r="M303" s="54"/>
      <c r="N303" s="55"/>
      <c r="P303" s="58"/>
      <c r="Q303" s="59"/>
      <c r="R303" s="54"/>
      <c r="S303" s="55"/>
    </row>
    <row r="304" spans="11:19" x14ac:dyDescent="0.25">
      <c r="K304" s="58"/>
      <c r="L304" s="59"/>
      <c r="M304" s="54"/>
      <c r="N304" s="55"/>
      <c r="P304" s="58"/>
      <c r="Q304" s="59"/>
      <c r="R304" s="54"/>
      <c r="S304" s="55"/>
    </row>
    <row r="305" spans="11:19" x14ac:dyDescent="0.25">
      <c r="K305" s="58"/>
      <c r="L305" s="59"/>
      <c r="M305" s="54"/>
      <c r="N305" s="55"/>
      <c r="P305" s="58"/>
      <c r="Q305" s="59"/>
      <c r="R305" s="54"/>
      <c r="S305" s="55"/>
    </row>
    <row r="306" spans="11:19" x14ac:dyDescent="0.25">
      <c r="K306" s="58"/>
      <c r="L306" s="59"/>
      <c r="M306" s="54"/>
      <c r="N306" s="55"/>
      <c r="P306" s="58"/>
      <c r="Q306" s="59"/>
      <c r="R306" s="54"/>
      <c r="S306" s="55"/>
    </row>
    <row r="307" spans="11:19" x14ac:dyDescent="0.25">
      <c r="K307" s="58"/>
      <c r="L307" s="59"/>
      <c r="M307" s="54"/>
      <c r="N307" s="55"/>
      <c r="P307" s="58"/>
      <c r="Q307" s="59"/>
      <c r="R307" s="54"/>
      <c r="S307" s="55"/>
    </row>
    <row r="308" spans="11:19" x14ac:dyDescent="0.25">
      <c r="K308" s="58"/>
      <c r="L308" s="59"/>
      <c r="M308" s="54"/>
      <c r="N308" s="55"/>
      <c r="P308" s="58"/>
      <c r="Q308" s="59"/>
      <c r="R308" s="54"/>
      <c r="S308" s="55"/>
    </row>
    <row r="309" spans="11:19" x14ac:dyDescent="0.25">
      <c r="K309" s="58"/>
      <c r="L309" s="59"/>
      <c r="M309" s="54"/>
      <c r="N309" s="55"/>
      <c r="P309" s="58"/>
      <c r="Q309" s="59"/>
      <c r="R309" s="54"/>
      <c r="S309" s="55"/>
    </row>
    <row r="310" spans="11:19" x14ac:dyDescent="0.25">
      <c r="K310" s="58"/>
      <c r="L310" s="59"/>
      <c r="M310" s="54"/>
      <c r="N310" s="55"/>
      <c r="P310" s="58"/>
      <c r="Q310" s="59"/>
      <c r="R310" s="54"/>
      <c r="S310" s="55"/>
    </row>
    <row r="311" spans="11:19" x14ac:dyDescent="0.25">
      <c r="K311" s="58"/>
      <c r="L311" s="59"/>
      <c r="M311" s="54"/>
      <c r="N311" s="55"/>
      <c r="P311" s="58"/>
      <c r="Q311" s="59"/>
      <c r="R311" s="54"/>
      <c r="S311" s="55"/>
    </row>
    <row r="312" spans="11:19" x14ac:dyDescent="0.25">
      <c r="K312" s="58"/>
      <c r="L312" s="59"/>
      <c r="M312" s="54"/>
      <c r="N312" s="55"/>
      <c r="P312" s="58"/>
      <c r="Q312" s="59"/>
      <c r="R312" s="54"/>
      <c r="S312" s="55"/>
    </row>
    <row r="313" spans="11:19" x14ac:dyDescent="0.25">
      <c r="K313" s="58"/>
      <c r="L313" s="59"/>
      <c r="M313" s="54"/>
      <c r="N313" s="55"/>
      <c r="P313" s="58"/>
      <c r="Q313" s="59"/>
      <c r="R313" s="54"/>
      <c r="S313" s="55"/>
    </row>
    <row r="314" spans="11:19" x14ac:dyDescent="0.25">
      <c r="K314" s="58"/>
      <c r="L314" s="59"/>
      <c r="M314" s="54"/>
      <c r="N314" s="55"/>
      <c r="P314" s="58"/>
      <c r="Q314" s="59"/>
      <c r="R314" s="54"/>
      <c r="S314" s="55"/>
    </row>
    <row r="315" spans="11:19" x14ac:dyDescent="0.25">
      <c r="K315" s="58"/>
      <c r="L315" s="59"/>
      <c r="M315" s="54"/>
      <c r="N315" s="55"/>
      <c r="P315" s="58"/>
      <c r="Q315" s="59"/>
      <c r="R315" s="54"/>
      <c r="S315" s="55"/>
    </row>
    <row r="316" spans="11:19" x14ac:dyDescent="0.25">
      <c r="K316" s="58"/>
      <c r="L316" s="59"/>
      <c r="M316" s="54"/>
      <c r="N316" s="55"/>
      <c r="P316" s="58"/>
      <c r="Q316" s="59"/>
      <c r="R316" s="54"/>
      <c r="S316" s="55"/>
    </row>
    <row r="317" spans="11:19" x14ac:dyDescent="0.25">
      <c r="K317" s="58"/>
      <c r="L317" s="59"/>
      <c r="M317" s="54"/>
      <c r="N317" s="55"/>
      <c r="P317" s="58"/>
      <c r="Q317" s="59"/>
      <c r="R317" s="54"/>
      <c r="S317" s="55"/>
    </row>
    <row r="318" spans="11:19" x14ac:dyDescent="0.25">
      <c r="K318" s="58"/>
      <c r="L318" s="59"/>
      <c r="M318" s="54"/>
      <c r="N318" s="55"/>
      <c r="P318" s="58"/>
      <c r="Q318" s="59"/>
      <c r="R318" s="54"/>
      <c r="S318" s="55"/>
    </row>
    <row r="319" spans="11:19" x14ac:dyDescent="0.25">
      <c r="K319" s="58"/>
      <c r="L319" s="59"/>
      <c r="M319" s="54"/>
      <c r="N319" s="55"/>
      <c r="P319" s="58"/>
      <c r="Q319" s="59"/>
      <c r="R319" s="54"/>
      <c r="S319" s="55"/>
    </row>
    <row r="320" spans="11:19" x14ac:dyDescent="0.25">
      <c r="K320" s="58"/>
      <c r="L320" s="59"/>
      <c r="M320" s="54"/>
      <c r="N320" s="55"/>
      <c r="P320" s="58"/>
      <c r="Q320" s="59"/>
      <c r="R320" s="54"/>
      <c r="S320" s="55"/>
    </row>
    <row r="321" spans="11:19" x14ac:dyDescent="0.25">
      <c r="K321" s="58"/>
      <c r="L321" s="59"/>
      <c r="M321" s="54"/>
      <c r="N321" s="55"/>
      <c r="P321" s="58"/>
      <c r="Q321" s="59"/>
      <c r="R321" s="54"/>
      <c r="S321" s="55"/>
    </row>
    <row r="322" spans="11:19" x14ac:dyDescent="0.25">
      <c r="K322" s="58"/>
      <c r="L322" s="59"/>
      <c r="M322" s="54"/>
      <c r="N322" s="55"/>
      <c r="P322" s="58"/>
      <c r="Q322" s="59"/>
      <c r="R322" s="54"/>
      <c r="S322" s="55"/>
    </row>
    <row r="323" spans="11:19" x14ac:dyDescent="0.25">
      <c r="K323" s="58"/>
      <c r="L323" s="59"/>
      <c r="M323" s="54"/>
      <c r="N323" s="55"/>
      <c r="P323" s="58"/>
      <c r="Q323" s="59"/>
      <c r="R323" s="54"/>
      <c r="S323" s="55"/>
    </row>
    <row r="324" spans="11:19" x14ac:dyDescent="0.25">
      <c r="K324" s="58"/>
      <c r="L324" s="59"/>
      <c r="M324" s="54"/>
      <c r="N324" s="55"/>
      <c r="P324" s="58"/>
      <c r="Q324" s="59"/>
      <c r="R324" s="54"/>
      <c r="S324" s="55"/>
    </row>
    <row r="325" spans="11:19" x14ac:dyDescent="0.25">
      <c r="K325" s="58"/>
      <c r="L325" s="59"/>
      <c r="M325" s="54"/>
      <c r="N325" s="55"/>
      <c r="P325" s="58"/>
      <c r="Q325" s="59"/>
      <c r="R325" s="54"/>
      <c r="S325" s="55"/>
    </row>
    <row r="326" spans="11:19" x14ac:dyDescent="0.25">
      <c r="K326" s="58"/>
      <c r="L326" s="59"/>
      <c r="M326" s="54"/>
      <c r="N326" s="55"/>
      <c r="P326" s="58"/>
      <c r="Q326" s="59"/>
      <c r="R326" s="54"/>
      <c r="S326" s="55"/>
    </row>
    <row r="327" spans="11:19" x14ac:dyDescent="0.25">
      <c r="K327" s="58"/>
      <c r="L327" s="59"/>
      <c r="M327" s="54"/>
      <c r="N327" s="55"/>
      <c r="P327" s="58"/>
      <c r="Q327" s="59"/>
      <c r="R327" s="54"/>
      <c r="S327" s="55"/>
    </row>
    <row r="328" spans="11:19" x14ac:dyDescent="0.25">
      <c r="K328" s="58"/>
      <c r="L328" s="59"/>
      <c r="M328" s="54"/>
      <c r="N328" s="55"/>
      <c r="P328" s="58"/>
      <c r="Q328" s="59"/>
      <c r="R328" s="54"/>
      <c r="S328" s="55"/>
    </row>
    <row r="329" spans="11:19" x14ac:dyDescent="0.25">
      <c r="K329" s="58"/>
      <c r="L329" s="59"/>
      <c r="M329" s="54"/>
      <c r="N329" s="55"/>
      <c r="P329" s="58"/>
      <c r="Q329" s="59"/>
      <c r="R329" s="54"/>
      <c r="S329" s="55"/>
    </row>
    <row r="330" spans="11:19" x14ac:dyDescent="0.25">
      <c r="K330" s="58"/>
      <c r="L330" s="59"/>
      <c r="M330" s="54"/>
      <c r="N330" s="55"/>
      <c r="P330" s="58"/>
      <c r="Q330" s="59"/>
      <c r="R330" s="54"/>
      <c r="S330" s="55"/>
    </row>
    <row r="331" spans="11:19" x14ac:dyDescent="0.25">
      <c r="K331" s="58"/>
      <c r="L331" s="59"/>
      <c r="M331" s="54"/>
      <c r="N331" s="55"/>
      <c r="P331" s="58"/>
      <c r="Q331" s="59"/>
      <c r="R331" s="54"/>
      <c r="S331" s="55"/>
    </row>
    <row r="332" spans="11:19" x14ac:dyDescent="0.25">
      <c r="K332" s="58"/>
      <c r="L332" s="59"/>
      <c r="M332" s="54"/>
      <c r="N332" s="55"/>
      <c r="P332" s="58"/>
      <c r="Q332" s="59"/>
      <c r="R332" s="54"/>
      <c r="S332" s="55"/>
    </row>
    <row r="333" spans="11:19" x14ac:dyDescent="0.25">
      <c r="K333" s="58"/>
      <c r="L333" s="59"/>
      <c r="M333" s="54"/>
      <c r="N333" s="55"/>
      <c r="P333" s="58"/>
      <c r="Q333" s="59"/>
      <c r="R333" s="54"/>
      <c r="S333" s="55"/>
    </row>
    <row r="334" spans="11:19" x14ac:dyDescent="0.25">
      <c r="K334" s="58"/>
      <c r="L334" s="59"/>
      <c r="M334" s="54"/>
      <c r="N334" s="55"/>
      <c r="P334" s="58"/>
      <c r="Q334" s="59"/>
      <c r="R334" s="54"/>
      <c r="S334" s="55"/>
    </row>
    <row r="335" spans="11:19" x14ac:dyDescent="0.25">
      <c r="K335" s="58"/>
      <c r="L335" s="59"/>
      <c r="M335" s="54"/>
      <c r="N335" s="55"/>
      <c r="P335" s="58"/>
      <c r="Q335" s="59"/>
      <c r="R335" s="54"/>
      <c r="S335" s="55"/>
    </row>
    <row r="336" spans="11:19" x14ac:dyDescent="0.25">
      <c r="K336" s="58"/>
      <c r="L336" s="59"/>
      <c r="M336" s="54"/>
      <c r="N336" s="55"/>
      <c r="P336" s="58"/>
      <c r="Q336" s="59"/>
      <c r="R336" s="54"/>
      <c r="S336" s="55"/>
    </row>
    <row r="337" spans="11:19" x14ac:dyDescent="0.25">
      <c r="K337" s="58"/>
      <c r="L337" s="59"/>
      <c r="M337" s="54"/>
      <c r="N337" s="55"/>
      <c r="P337" s="58"/>
      <c r="Q337" s="59"/>
      <c r="R337" s="54"/>
      <c r="S337" s="55"/>
    </row>
    <row r="338" spans="11:19" x14ac:dyDescent="0.25">
      <c r="K338" s="58"/>
      <c r="L338" s="59"/>
      <c r="M338" s="54"/>
      <c r="N338" s="55"/>
      <c r="P338" s="58"/>
      <c r="Q338" s="59"/>
      <c r="R338" s="54"/>
      <c r="S338" s="55"/>
    </row>
    <row r="339" spans="11:19" x14ac:dyDescent="0.25">
      <c r="K339" s="58"/>
      <c r="L339" s="59"/>
      <c r="M339" s="54"/>
      <c r="N339" s="55"/>
      <c r="P339" s="58"/>
      <c r="Q339" s="59"/>
      <c r="R339" s="54"/>
      <c r="S339" s="55"/>
    </row>
    <row r="340" spans="11:19" x14ac:dyDescent="0.25">
      <c r="K340" s="58"/>
      <c r="L340" s="59"/>
      <c r="M340" s="54"/>
      <c r="N340" s="55"/>
      <c r="P340" s="58"/>
      <c r="Q340" s="59"/>
      <c r="R340" s="54"/>
      <c r="S340" s="55"/>
    </row>
    <row r="341" spans="11:19" x14ac:dyDescent="0.25">
      <c r="K341" s="58"/>
      <c r="L341" s="59"/>
      <c r="M341" s="54"/>
      <c r="N341" s="55"/>
      <c r="P341" s="58"/>
      <c r="Q341" s="59"/>
      <c r="R341" s="54"/>
      <c r="S341" s="55"/>
    </row>
    <row r="342" spans="11:19" x14ac:dyDescent="0.25">
      <c r="K342" s="58"/>
      <c r="L342" s="59"/>
      <c r="M342" s="54"/>
      <c r="N342" s="55"/>
      <c r="P342" s="58"/>
      <c r="Q342" s="59"/>
      <c r="R342" s="54"/>
      <c r="S342" s="55"/>
    </row>
    <row r="343" spans="11:19" x14ac:dyDescent="0.25">
      <c r="K343" s="58"/>
      <c r="L343" s="59"/>
      <c r="M343" s="54"/>
      <c r="N343" s="55"/>
      <c r="P343" s="58"/>
      <c r="Q343" s="59"/>
      <c r="R343" s="54"/>
      <c r="S343" s="55"/>
    </row>
    <row r="344" spans="11:19" x14ac:dyDescent="0.25">
      <c r="K344" s="58"/>
      <c r="L344" s="59"/>
      <c r="M344" s="54"/>
      <c r="N344" s="55"/>
      <c r="P344" s="58"/>
      <c r="Q344" s="59"/>
      <c r="R344" s="54"/>
      <c r="S344" s="55"/>
    </row>
    <row r="345" spans="11:19" x14ac:dyDescent="0.25">
      <c r="K345" s="58"/>
      <c r="L345" s="59"/>
      <c r="M345" s="54"/>
      <c r="N345" s="55"/>
      <c r="P345" s="58"/>
      <c r="Q345" s="59"/>
      <c r="R345" s="54"/>
      <c r="S345" s="55"/>
    </row>
    <row r="346" spans="11:19" x14ac:dyDescent="0.25">
      <c r="K346" s="58"/>
      <c r="L346" s="59"/>
      <c r="M346" s="54"/>
      <c r="N346" s="55"/>
      <c r="P346" s="58"/>
      <c r="Q346" s="59"/>
      <c r="R346" s="54"/>
      <c r="S346" s="55"/>
    </row>
    <row r="347" spans="11:19" x14ac:dyDescent="0.25">
      <c r="K347" s="58"/>
      <c r="L347" s="59"/>
      <c r="M347" s="54"/>
      <c r="N347" s="55"/>
      <c r="P347" s="58"/>
      <c r="Q347" s="59"/>
      <c r="R347" s="54"/>
      <c r="S347" s="55"/>
    </row>
    <row r="348" spans="11:19" ht="15.75" thickBot="1" x14ac:dyDescent="0.3">
      <c r="K348" s="60"/>
      <c r="L348" s="61"/>
      <c r="M348" s="56"/>
      <c r="N348" s="57"/>
      <c r="P348" s="60"/>
      <c r="Q348" s="61"/>
      <c r="R348" s="56"/>
      <c r="S348" s="57"/>
    </row>
  </sheetData>
  <mergeCells count="4">
    <mergeCell ref="A8:D8"/>
    <mergeCell ref="F8:I8"/>
    <mergeCell ref="K8:N8"/>
    <mergeCell ref="P8:S8"/>
  </mergeCells>
  <conditionalFormatting sqref="G3">
    <cfRule type="cellIs" dxfId="34" priority="5" operator="greaterThan">
      <formula>$J$4</formula>
    </cfRule>
  </conditionalFormatting>
  <conditionalFormatting sqref="T5">
    <cfRule type="cellIs" dxfId="33" priority="1" operator="greaterThan">
      <formula>$T$6</formula>
    </cfRule>
    <cfRule type="cellIs" dxfId="32" priority="4" operator="lessThan">
      <formula>$T$6</formula>
    </cfRule>
  </conditionalFormatting>
  <conditionalFormatting sqref="T6">
    <cfRule type="cellIs" dxfId="31" priority="2" operator="greaterThan">
      <formula>$T$5</formula>
    </cfRule>
    <cfRule type="cellIs" dxfId="30" priority="3" operator="lessThan">
      <formula>$T$5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2A14F-B54E-4767-8E8C-2F2C480B8826}">
  <sheetPr codeName="Sheet25"/>
  <dimension ref="A1:T348"/>
  <sheetViews>
    <sheetView zoomScale="70" zoomScaleNormal="70" workbookViewId="0">
      <pane ySplit="9" topLeftCell="A10" activePane="bottomLeft" state="frozen"/>
      <selection pane="bottomLeft" activeCell="H16" sqref="H16"/>
    </sheetView>
  </sheetViews>
  <sheetFormatPr baseColWidth="10" defaultColWidth="9.140625" defaultRowHeight="15" x14ac:dyDescent="0.25"/>
  <cols>
    <col min="2" max="2" width="11.85546875" bestFit="1" customWidth="1"/>
    <col min="3" max="3" width="13.85546875" customWidth="1"/>
    <col min="4" max="4" width="14.5703125" customWidth="1"/>
    <col min="5" max="8" width="14.5703125" bestFit="1" customWidth="1"/>
    <col min="9" max="9" width="11.42578125" bestFit="1" customWidth="1"/>
    <col min="10" max="10" width="12.140625" bestFit="1" customWidth="1"/>
    <col min="12" max="12" width="11.85546875" bestFit="1" customWidth="1"/>
    <col min="13" max="13" width="13.85546875" bestFit="1" customWidth="1"/>
    <col min="14" max="14" width="12.7109375" bestFit="1" customWidth="1"/>
    <col min="15" max="15" width="8.7109375" customWidth="1"/>
    <col min="18" max="18" width="13.85546875" bestFit="1" customWidth="1"/>
    <col min="19" max="19" width="11.5703125" bestFit="1" customWidth="1"/>
    <col min="20" max="20" width="12.42578125" bestFit="1" customWidth="1"/>
    <col min="22" max="23" width="14.5703125" bestFit="1" customWidth="1"/>
    <col min="24" max="24" width="15.85546875" bestFit="1" customWidth="1"/>
    <col min="26" max="26" width="15.85546875" bestFit="1" customWidth="1"/>
  </cols>
  <sheetData>
    <row r="1" spans="1:20" ht="15.75" thickBot="1" x14ac:dyDescent="0.3">
      <c r="C1" s="1" t="s">
        <v>0</v>
      </c>
      <c r="D1" s="2" t="s">
        <v>1</v>
      </c>
      <c r="E1" s="1" t="s">
        <v>2</v>
      </c>
      <c r="F1" s="2" t="s">
        <v>3</v>
      </c>
      <c r="G1" s="63" t="s">
        <v>4</v>
      </c>
      <c r="H1" s="81" t="s">
        <v>24</v>
      </c>
      <c r="I1" s="66" t="s">
        <v>5</v>
      </c>
      <c r="J1" s="3">
        <v>368</v>
      </c>
      <c r="M1" s="1" t="s">
        <v>5</v>
      </c>
      <c r="N1" s="4" t="s">
        <v>6</v>
      </c>
      <c r="P1" t="s">
        <v>0</v>
      </c>
      <c r="Q1">
        <f>SUM(E10:E54)</f>
        <v>19</v>
      </c>
      <c r="R1" t="s">
        <v>2</v>
      </c>
      <c r="S1">
        <f>(M3/M2)*Q1</f>
        <v>12.666666666666668</v>
      </c>
      <c r="T1">
        <f>S1-12</f>
        <v>0.66666666666666785</v>
      </c>
    </row>
    <row r="2" spans="1:20" ht="15.75" thickBot="1" x14ac:dyDescent="0.3">
      <c r="B2" s="5" t="s">
        <v>7</v>
      </c>
      <c r="C2" s="6">
        <f>SUMPRODUCT(C10:C118,E10:E118)</f>
        <v>5736876</v>
      </c>
      <c r="D2" s="7">
        <f>SUMPRODUCT(H10:H118,J10:J118)</f>
        <v>3904908.9999999995</v>
      </c>
      <c r="E2" s="6">
        <f>SUMPRODUCT(M10:M348,O10:O348)</f>
        <v>7425461.333333334</v>
      </c>
      <c r="F2" s="7">
        <f>SUMPRODUCT(R10:R348,T10:T348)</f>
        <v>7702623</v>
      </c>
      <c r="G2" s="64">
        <f>C2+D2+E2+F2</f>
        <v>24769869.333333336</v>
      </c>
      <c r="H2" s="82">
        <v>24786935</v>
      </c>
      <c r="I2" s="67" t="s">
        <v>6</v>
      </c>
      <c r="J2" s="8">
        <v>334</v>
      </c>
      <c r="L2" s="5" t="s">
        <v>8</v>
      </c>
      <c r="M2" s="9">
        <v>0.6</v>
      </c>
      <c r="N2" s="10">
        <v>0.25</v>
      </c>
      <c r="P2" t="s">
        <v>3</v>
      </c>
      <c r="Q2">
        <f>SUM(T10:T64)</f>
        <v>20</v>
      </c>
      <c r="R2" t="s">
        <v>1</v>
      </c>
      <c r="S2">
        <f>(N2/N3)*Q2</f>
        <v>6.6666666666666661</v>
      </c>
      <c r="T2">
        <f>S2-6</f>
        <v>0.66666666666666607</v>
      </c>
    </row>
    <row r="3" spans="1:20" ht="15.75" thickBot="1" x14ac:dyDescent="0.3">
      <c r="B3" s="11" t="s">
        <v>9</v>
      </c>
      <c r="C3" s="12">
        <f>SUMPRODUCT(B10:B118,E10:E118)</f>
        <v>576.19565217391312</v>
      </c>
      <c r="D3" s="13">
        <f>SUMPRODUCT(G10:G118,J10:J118)</f>
        <v>222.75449101796406</v>
      </c>
      <c r="E3" s="12">
        <f>SUMPRODUCT(L10:L348,O10:O348)</f>
        <v>384.1304347826088</v>
      </c>
      <c r="F3" s="13">
        <f>SUMPRODUCT(Q10:Q348,T10:T348)</f>
        <v>668.26347305389186</v>
      </c>
      <c r="G3" s="65">
        <f>SUM(C3:F3)</f>
        <v>1851.3440510283779</v>
      </c>
      <c r="H3" s="80">
        <f>(H2-G2)/G2</f>
        <v>6.8896878045693018E-4</v>
      </c>
      <c r="I3" s="67" t="s">
        <v>10</v>
      </c>
      <c r="J3" s="8">
        <f>11160</f>
        <v>11160</v>
      </c>
      <c r="L3" s="14" t="s">
        <v>11</v>
      </c>
      <c r="M3" s="15">
        <v>0.4</v>
      </c>
      <c r="N3" s="16">
        <v>0.75</v>
      </c>
      <c r="P3" t="s">
        <v>0</v>
      </c>
      <c r="Q3">
        <v>1</v>
      </c>
      <c r="R3" t="s">
        <v>2</v>
      </c>
      <c r="S3">
        <f>(M3/M2)*Q3</f>
        <v>0.66666666666666674</v>
      </c>
    </row>
    <row r="4" spans="1:20" ht="15.75" thickBot="1" x14ac:dyDescent="0.3">
      <c r="B4" s="14" t="s">
        <v>12</v>
      </c>
      <c r="C4" s="17">
        <f>SUM(E10:E118)*J3</f>
        <v>212040</v>
      </c>
      <c r="D4" s="18">
        <f>SUM(J10:J118)*J3</f>
        <v>74400</v>
      </c>
      <c r="E4" s="17">
        <f>SUM(O10:O348)*J3</f>
        <v>141360</v>
      </c>
      <c r="F4" s="18">
        <f>SUM(T10:T348)*J3</f>
        <v>223200</v>
      </c>
      <c r="G4" s="19">
        <f>SUM(C4:F4)</f>
        <v>651000</v>
      </c>
      <c r="H4" s="20"/>
      <c r="I4" s="21" t="s">
        <v>13</v>
      </c>
      <c r="J4" s="22">
        <v>100000</v>
      </c>
      <c r="L4" s="5" t="s">
        <v>14</v>
      </c>
      <c r="M4" s="76">
        <f>C4/(C4+E4)</f>
        <v>0.6</v>
      </c>
      <c r="N4" s="77">
        <f>D4/(D4+F4)</f>
        <v>0.25</v>
      </c>
      <c r="O4" s="23"/>
      <c r="P4" t="s">
        <v>3</v>
      </c>
      <c r="Q4">
        <v>1</v>
      </c>
      <c r="R4" t="s">
        <v>1</v>
      </c>
      <c r="S4">
        <f>(N2/N3)*Q4</f>
        <v>0.33333333333333331</v>
      </c>
    </row>
    <row r="5" spans="1:20" ht="15.75" thickBot="1" x14ac:dyDescent="0.3">
      <c r="B5" s="24" t="s">
        <v>15</v>
      </c>
      <c r="C5" s="25">
        <v>217620</v>
      </c>
      <c r="D5" s="26">
        <v>74400</v>
      </c>
      <c r="E5" s="27">
        <v>145080</v>
      </c>
      <c r="F5" s="26">
        <v>223200</v>
      </c>
      <c r="G5" s="28">
        <f>SUM(C5:F5)</f>
        <v>660300</v>
      </c>
      <c r="H5" s="20"/>
      <c r="I5" s="20"/>
      <c r="L5" s="29" t="s">
        <v>16</v>
      </c>
      <c r="M5" s="78">
        <f>E4/(C4+E4)</f>
        <v>0.4</v>
      </c>
      <c r="N5" s="79">
        <f>F4/(D4+F4)</f>
        <v>0.75</v>
      </c>
      <c r="O5" s="23"/>
      <c r="P5" t="s">
        <v>0</v>
      </c>
      <c r="Q5">
        <v>-6998.1003584229393</v>
      </c>
      <c r="R5" t="s">
        <v>2</v>
      </c>
      <c r="S5">
        <v>8075.2917562724015</v>
      </c>
      <c r="T5">
        <f>Q5*Q3+S5*S3</f>
        <v>-1614.5725209080047</v>
      </c>
    </row>
    <row r="6" spans="1:20" ht="15.75" thickBot="1" x14ac:dyDescent="0.3">
      <c r="B6" s="24" t="s">
        <v>17</v>
      </c>
      <c r="C6" s="27">
        <f>C5-C4</f>
        <v>5580</v>
      </c>
      <c r="D6" s="30">
        <f>D5-D4</f>
        <v>0</v>
      </c>
      <c r="E6" s="27">
        <f>E5-E4</f>
        <v>3720</v>
      </c>
      <c r="F6" s="30">
        <f>F5-F4</f>
        <v>0</v>
      </c>
      <c r="H6" s="20">
        <v>22169390</v>
      </c>
      <c r="I6" s="20"/>
      <c r="J6" s="62"/>
      <c r="N6" s="23"/>
      <c r="O6" s="23"/>
      <c r="P6" t="s">
        <v>3</v>
      </c>
      <c r="Q6">
        <v>-7110.5188172043008</v>
      </c>
      <c r="R6" t="s">
        <v>1</v>
      </c>
      <c r="S6">
        <v>13744.279569892473</v>
      </c>
      <c r="T6">
        <f>Q6*Q4+S6*S4</f>
        <v>-2529.0922939068105</v>
      </c>
    </row>
    <row r="7" spans="1:20" ht="15.75" thickBot="1" x14ac:dyDescent="0.3"/>
    <row r="8" spans="1:20" ht="15.75" thickBot="1" x14ac:dyDescent="0.3">
      <c r="A8" s="113" t="s">
        <v>18</v>
      </c>
      <c r="B8" s="114"/>
      <c r="C8" s="114"/>
      <c r="D8" s="115"/>
      <c r="E8" s="31"/>
      <c r="F8" s="113" t="s">
        <v>19</v>
      </c>
      <c r="G8" s="114"/>
      <c r="H8" s="114"/>
      <c r="I8" s="115"/>
      <c r="J8" s="31"/>
      <c r="K8" s="113" t="s">
        <v>20</v>
      </c>
      <c r="L8" s="114"/>
      <c r="M8" s="114"/>
      <c r="N8" s="115"/>
      <c r="O8" s="31"/>
      <c r="P8" s="113" t="s">
        <v>21</v>
      </c>
      <c r="Q8" s="114"/>
      <c r="R8" s="114"/>
      <c r="S8" s="115"/>
    </row>
    <row r="9" spans="1:20" ht="15.75" thickBot="1" x14ac:dyDescent="0.3">
      <c r="A9" s="32" t="s">
        <v>22</v>
      </c>
      <c r="B9" s="33" t="s">
        <v>9</v>
      </c>
      <c r="C9" s="33" t="s">
        <v>7</v>
      </c>
      <c r="D9" s="34" t="s">
        <v>23</v>
      </c>
      <c r="E9" s="31"/>
      <c r="F9" s="32" t="s">
        <v>22</v>
      </c>
      <c r="G9" s="33" t="s">
        <v>9</v>
      </c>
      <c r="H9" s="33" t="s">
        <v>7</v>
      </c>
      <c r="I9" s="34" t="s">
        <v>23</v>
      </c>
      <c r="J9" s="31"/>
      <c r="K9" s="32" t="s">
        <v>22</v>
      </c>
      <c r="L9" s="33" t="s">
        <v>9</v>
      </c>
      <c r="M9" s="33" t="s">
        <v>7</v>
      </c>
      <c r="N9" s="34" t="s">
        <v>23</v>
      </c>
      <c r="O9" s="31"/>
      <c r="P9" s="35" t="s">
        <v>22</v>
      </c>
      <c r="Q9" s="36" t="s">
        <v>9</v>
      </c>
      <c r="R9" s="36" t="s">
        <v>7</v>
      </c>
      <c r="S9" s="37" t="s">
        <v>23</v>
      </c>
    </row>
    <row r="10" spans="1:20" x14ac:dyDescent="0.25">
      <c r="A10" s="38">
        <v>15</v>
      </c>
      <c r="B10" s="39">
        <f>$J$3/$J$1</f>
        <v>30.326086956521738</v>
      </c>
      <c r="C10" s="40">
        <v>823261</v>
      </c>
      <c r="D10" s="41">
        <f>C10/B10</f>
        <v>27146.957706093192</v>
      </c>
      <c r="E10">
        <v>1</v>
      </c>
      <c r="F10" s="74">
        <v>9</v>
      </c>
      <c r="G10" s="70">
        <f>$J$3/$J$2</f>
        <v>33.41317365269461</v>
      </c>
      <c r="H10" s="75">
        <v>839159</v>
      </c>
      <c r="I10" s="71">
        <f>H10/G10</f>
        <v>25114.615232974909</v>
      </c>
      <c r="J10">
        <v>0</v>
      </c>
      <c r="K10" s="38">
        <v>99</v>
      </c>
      <c r="L10" s="39">
        <f>$J$3/$J$1</f>
        <v>30.326086956521738</v>
      </c>
      <c r="M10" s="40">
        <v>891762</v>
      </c>
      <c r="N10" s="41">
        <f>M10/L10</f>
        <v>29405.772043010755</v>
      </c>
      <c r="O10">
        <v>1</v>
      </c>
      <c r="P10" s="42">
        <v>31</v>
      </c>
      <c r="Q10" s="43">
        <f>$J$3/$J$2</f>
        <v>33.41317365269461</v>
      </c>
      <c r="R10" s="44">
        <v>828146</v>
      </c>
      <c r="S10" s="45">
        <f>R10/Q10</f>
        <v>24785.014695340502</v>
      </c>
      <c r="T10">
        <v>1</v>
      </c>
    </row>
    <row r="11" spans="1:20" x14ac:dyDescent="0.25">
      <c r="A11" s="46">
        <v>4</v>
      </c>
      <c r="B11" s="39">
        <f t="shared" ref="B11:B54" si="0">$J$3/$J$1</f>
        <v>30.326086956521738</v>
      </c>
      <c r="C11" s="47">
        <v>748702</v>
      </c>
      <c r="D11" s="41">
        <f t="shared" ref="D11:D54" si="1">C11/B11</f>
        <v>24688.381362007171</v>
      </c>
      <c r="E11">
        <v>1</v>
      </c>
      <c r="F11" s="48">
        <v>1</v>
      </c>
      <c r="G11" s="43">
        <f t="shared" ref="G11:G54" si="2">$J$3/$J$2</f>
        <v>33.41317365269461</v>
      </c>
      <c r="H11" s="49">
        <v>816679</v>
      </c>
      <c r="I11" s="45">
        <f t="shared" ref="I11:I54" si="3">H11/G11</f>
        <v>24441.826702508963</v>
      </c>
      <c r="J11">
        <v>1</v>
      </c>
      <c r="K11" s="46">
        <v>22</v>
      </c>
      <c r="L11" s="39">
        <f t="shared" ref="L11:L64" si="4">$J$3/$J$1</f>
        <v>30.326086956521738</v>
      </c>
      <c r="M11" s="47">
        <v>787867</v>
      </c>
      <c r="N11" s="41">
        <f t="shared" ref="N11:N64" si="5">M11/L11</f>
        <v>25979.843727598567</v>
      </c>
      <c r="O11">
        <v>1</v>
      </c>
      <c r="P11" s="48">
        <v>95</v>
      </c>
      <c r="Q11" s="43">
        <f t="shared" ref="Q11:Q64" si="6">$J$3/$J$2</f>
        <v>33.41317365269461</v>
      </c>
      <c r="R11" s="49">
        <v>778683</v>
      </c>
      <c r="S11" s="45">
        <f t="shared" ref="S11:S64" si="7">R11/Q11</f>
        <v>23304.670430107526</v>
      </c>
      <c r="T11">
        <v>1</v>
      </c>
    </row>
    <row r="12" spans="1:20" x14ac:dyDescent="0.25">
      <c r="A12" s="46">
        <v>75</v>
      </c>
      <c r="B12" s="39">
        <f t="shared" si="0"/>
        <v>30.326086956521738</v>
      </c>
      <c r="C12" s="47">
        <v>700923</v>
      </c>
      <c r="D12" s="41">
        <f t="shared" si="1"/>
        <v>23112.873118279571</v>
      </c>
      <c r="E12">
        <v>1</v>
      </c>
      <c r="F12" s="48">
        <v>3</v>
      </c>
      <c r="G12" s="43">
        <f t="shared" si="2"/>
        <v>33.41317365269461</v>
      </c>
      <c r="H12" s="49">
        <v>637399</v>
      </c>
      <c r="I12" s="45">
        <f t="shared" si="3"/>
        <v>19076.278315412186</v>
      </c>
      <c r="J12">
        <v>1</v>
      </c>
      <c r="K12" s="46">
        <v>83</v>
      </c>
      <c r="L12" s="39">
        <f t="shared" si="4"/>
        <v>30.326086956521738</v>
      </c>
      <c r="M12" s="47">
        <v>776669</v>
      </c>
      <c r="N12" s="41">
        <f t="shared" si="5"/>
        <v>25610.590681003585</v>
      </c>
      <c r="O12">
        <v>1</v>
      </c>
      <c r="P12" s="48">
        <v>32</v>
      </c>
      <c r="Q12" s="43">
        <f t="shared" si="6"/>
        <v>33.41317365269461</v>
      </c>
      <c r="R12" s="49">
        <v>742165</v>
      </c>
      <c r="S12" s="45">
        <f t="shared" si="7"/>
        <v>22211.748207885306</v>
      </c>
      <c r="T12">
        <v>1</v>
      </c>
    </row>
    <row r="13" spans="1:20" x14ac:dyDescent="0.25">
      <c r="A13" s="46">
        <v>61</v>
      </c>
      <c r="B13" s="39">
        <f t="shared" si="0"/>
        <v>30.326086956521738</v>
      </c>
      <c r="C13" s="47">
        <v>594344</v>
      </c>
      <c r="D13" s="41">
        <f t="shared" si="1"/>
        <v>19598.440143369175</v>
      </c>
      <c r="E13">
        <v>1</v>
      </c>
      <c r="F13" s="48">
        <v>89</v>
      </c>
      <c r="G13" s="43">
        <f t="shared" si="2"/>
        <v>33.41317365269461</v>
      </c>
      <c r="H13" s="49">
        <v>626952</v>
      </c>
      <c r="I13" s="45">
        <f t="shared" si="3"/>
        <v>18763.617204301077</v>
      </c>
      <c r="J13">
        <v>1</v>
      </c>
      <c r="K13" s="46">
        <v>57</v>
      </c>
      <c r="L13" s="39">
        <f t="shared" si="4"/>
        <v>30.326086956521738</v>
      </c>
      <c r="M13" s="47">
        <v>764937</v>
      </c>
      <c r="N13" s="41">
        <f t="shared" si="5"/>
        <v>25223.729032258067</v>
      </c>
      <c r="O13">
        <v>1</v>
      </c>
      <c r="P13" s="48">
        <v>86</v>
      </c>
      <c r="Q13" s="43">
        <f t="shared" si="6"/>
        <v>33.41317365269461</v>
      </c>
      <c r="R13" s="49">
        <v>708838</v>
      </c>
      <c r="S13" s="45">
        <f t="shared" si="7"/>
        <v>21214.327240143371</v>
      </c>
      <c r="T13">
        <v>1</v>
      </c>
    </row>
    <row r="14" spans="1:20" x14ac:dyDescent="0.25">
      <c r="A14" s="46">
        <v>2</v>
      </c>
      <c r="B14" s="39">
        <f t="shared" si="0"/>
        <v>30.326086956521738</v>
      </c>
      <c r="C14" s="47">
        <v>573963</v>
      </c>
      <c r="D14" s="41">
        <f t="shared" si="1"/>
        <v>18926.378494623656</v>
      </c>
      <c r="E14">
        <v>1</v>
      </c>
      <c r="F14" s="48">
        <v>74</v>
      </c>
      <c r="G14" s="43">
        <f t="shared" si="2"/>
        <v>33.41317365269461</v>
      </c>
      <c r="H14" s="49">
        <v>528188</v>
      </c>
      <c r="I14" s="45">
        <f t="shared" si="3"/>
        <v>15807.7770609319</v>
      </c>
      <c r="J14">
        <v>1</v>
      </c>
      <c r="K14" s="50">
        <v>33</v>
      </c>
      <c r="L14" s="70">
        <f t="shared" si="4"/>
        <v>30.326086956521738</v>
      </c>
      <c r="M14" s="51">
        <v>739492</v>
      </c>
      <c r="N14" s="71">
        <f t="shared" si="5"/>
        <v>24384.682437275987</v>
      </c>
      <c r="O14">
        <v>0</v>
      </c>
      <c r="P14" s="48">
        <v>44</v>
      </c>
      <c r="Q14" s="43">
        <f t="shared" si="6"/>
        <v>33.41317365269461</v>
      </c>
      <c r="R14" s="49">
        <v>644475</v>
      </c>
      <c r="S14" s="45">
        <f t="shared" si="7"/>
        <v>19288.051075268817</v>
      </c>
      <c r="T14">
        <v>1</v>
      </c>
    </row>
    <row r="15" spans="1:20" x14ac:dyDescent="0.25">
      <c r="A15" s="46">
        <v>66</v>
      </c>
      <c r="B15" s="39">
        <f t="shared" si="0"/>
        <v>30.326086956521738</v>
      </c>
      <c r="C15" s="47">
        <v>543888</v>
      </c>
      <c r="D15" s="41">
        <f t="shared" si="1"/>
        <v>17934.65806451613</v>
      </c>
      <c r="E15">
        <v>1</v>
      </c>
      <c r="F15" s="48">
        <v>7</v>
      </c>
      <c r="G15" s="43">
        <f t="shared" si="2"/>
        <v>33.41317365269461</v>
      </c>
      <c r="H15" s="49">
        <v>517706</v>
      </c>
      <c r="I15" s="45">
        <f t="shared" si="3"/>
        <v>15494.068458781363</v>
      </c>
      <c r="J15">
        <v>1</v>
      </c>
      <c r="K15" s="46">
        <v>34</v>
      </c>
      <c r="L15" s="39">
        <f t="shared" si="4"/>
        <v>30.326086956521738</v>
      </c>
      <c r="M15" s="47">
        <v>706466</v>
      </c>
      <c r="N15" s="41">
        <f t="shared" si="5"/>
        <v>23295.653046594984</v>
      </c>
      <c r="O15">
        <v>1</v>
      </c>
      <c r="P15" s="48">
        <v>43</v>
      </c>
      <c r="Q15" s="43">
        <f t="shared" si="6"/>
        <v>33.41317365269461</v>
      </c>
      <c r="R15" s="49">
        <v>600711</v>
      </c>
      <c r="S15" s="45">
        <f t="shared" si="7"/>
        <v>17978.268279569893</v>
      </c>
      <c r="T15">
        <v>1.0000000000000007</v>
      </c>
    </row>
    <row r="16" spans="1:20" x14ac:dyDescent="0.25">
      <c r="A16" s="46">
        <v>9</v>
      </c>
      <c r="B16" s="39">
        <f t="shared" si="0"/>
        <v>30.326086956521738</v>
      </c>
      <c r="C16" s="47">
        <v>458407</v>
      </c>
      <c r="D16" s="41">
        <f t="shared" si="1"/>
        <v>15115.929749103943</v>
      </c>
      <c r="E16">
        <v>1</v>
      </c>
      <c r="F16" s="48">
        <v>16</v>
      </c>
      <c r="G16" s="43">
        <f t="shared" si="2"/>
        <v>33.41317365269461</v>
      </c>
      <c r="H16" s="49">
        <v>471825</v>
      </c>
      <c r="I16" s="45">
        <f t="shared" si="3"/>
        <v>14120.927419354839</v>
      </c>
      <c r="J16">
        <v>1</v>
      </c>
      <c r="K16" s="50">
        <v>54</v>
      </c>
      <c r="L16" s="70">
        <f t="shared" si="4"/>
        <v>30.326086956521738</v>
      </c>
      <c r="M16" s="51">
        <v>704680</v>
      </c>
      <c r="N16" s="71">
        <f t="shared" si="5"/>
        <v>23236.759856630826</v>
      </c>
      <c r="O16">
        <v>0</v>
      </c>
      <c r="P16" s="48">
        <v>54</v>
      </c>
      <c r="Q16" s="43">
        <f t="shared" si="6"/>
        <v>33.41317365269461</v>
      </c>
      <c r="R16" s="49">
        <v>600526</v>
      </c>
      <c r="S16" s="45">
        <f t="shared" si="7"/>
        <v>17972.73154121864</v>
      </c>
      <c r="T16">
        <v>1</v>
      </c>
    </row>
    <row r="17" spans="1:20" x14ac:dyDescent="0.25">
      <c r="A17" s="46">
        <v>6</v>
      </c>
      <c r="B17" s="39">
        <f t="shared" si="0"/>
        <v>30.326086956521738</v>
      </c>
      <c r="C17" s="47">
        <v>413342</v>
      </c>
      <c r="D17" s="41">
        <f t="shared" si="1"/>
        <v>13629.915412186379</v>
      </c>
      <c r="E17">
        <v>1</v>
      </c>
      <c r="F17" s="50">
        <v>20</v>
      </c>
      <c r="G17" s="70">
        <f t="shared" si="2"/>
        <v>33.41317365269461</v>
      </c>
      <c r="H17" s="51">
        <v>465526</v>
      </c>
      <c r="I17" s="71">
        <f t="shared" si="3"/>
        <v>13932.408960573477</v>
      </c>
      <c r="J17">
        <v>0</v>
      </c>
      <c r="K17" s="46">
        <v>46</v>
      </c>
      <c r="L17" s="39">
        <f t="shared" si="4"/>
        <v>30.326086956521738</v>
      </c>
      <c r="M17" s="47">
        <v>647685</v>
      </c>
      <c r="N17" s="41">
        <f t="shared" si="5"/>
        <v>21357.354838709678</v>
      </c>
      <c r="O17">
        <v>1</v>
      </c>
      <c r="P17" s="48">
        <v>33</v>
      </c>
      <c r="Q17" s="43">
        <f t="shared" si="6"/>
        <v>33.41317365269461</v>
      </c>
      <c r="R17" s="49">
        <v>533105</v>
      </c>
      <c r="S17" s="45">
        <f t="shared" si="7"/>
        <v>15954.934587813621</v>
      </c>
      <c r="T17">
        <v>1</v>
      </c>
    </row>
    <row r="18" spans="1:20" x14ac:dyDescent="0.25">
      <c r="A18" s="46">
        <v>90</v>
      </c>
      <c r="B18" s="39">
        <f t="shared" si="0"/>
        <v>30.326086956521738</v>
      </c>
      <c r="C18" s="47">
        <v>390167</v>
      </c>
      <c r="D18" s="41">
        <f t="shared" si="1"/>
        <v>12865.721863799283</v>
      </c>
      <c r="E18">
        <v>1</v>
      </c>
      <c r="F18" s="52">
        <v>71</v>
      </c>
      <c r="G18" s="72">
        <f t="shared" si="2"/>
        <v>33.41317365269461</v>
      </c>
      <c r="H18" s="53">
        <v>459240</v>
      </c>
      <c r="I18" s="73">
        <f t="shared" si="3"/>
        <v>13744.279569892473</v>
      </c>
      <c r="J18">
        <v>0.66666666666666607</v>
      </c>
      <c r="K18" s="46">
        <v>35</v>
      </c>
      <c r="L18" s="39">
        <f t="shared" si="4"/>
        <v>30.326086956521738</v>
      </c>
      <c r="M18" s="47">
        <v>520964</v>
      </c>
      <c r="N18" s="41">
        <f t="shared" si="5"/>
        <v>17178.741218637992</v>
      </c>
      <c r="O18">
        <v>1</v>
      </c>
      <c r="P18" s="48">
        <v>29</v>
      </c>
      <c r="Q18" s="43">
        <f t="shared" si="6"/>
        <v>33.41317365269461</v>
      </c>
      <c r="R18" s="49">
        <v>466819</v>
      </c>
      <c r="S18" s="45">
        <f t="shared" si="7"/>
        <v>13971.106272401434</v>
      </c>
      <c r="T18">
        <v>1</v>
      </c>
    </row>
    <row r="19" spans="1:20" x14ac:dyDescent="0.25">
      <c r="A19" s="46">
        <v>10</v>
      </c>
      <c r="B19" s="39">
        <f t="shared" si="0"/>
        <v>30.326086956521738</v>
      </c>
      <c r="C19" s="47">
        <v>374487</v>
      </c>
      <c r="D19" s="41">
        <f t="shared" si="1"/>
        <v>12348.675268817206</v>
      </c>
      <c r="E19">
        <v>1</v>
      </c>
      <c r="F19" s="58">
        <v>73</v>
      </c>
      <c r="G19" s="68">
        <f t="shared" si="2"/>
        <v>33.41317365269461</v>
      </c>
      <c r="H19" s="54">
        <v>435675</v>
      </c>
      <c r="I19" s="69">
        <f t="shared" si="3"/>
        <v>13039.018817204302</v>
      </c>
      <c r="K19" s="46">
        <v>28</v>
      </c>
      <c r="L19" s="39">
        <f t="shared" si="4"/>
        <v>30.326086956521738</v>
      </c>
      <c r="M19" s="47">
        <v>485282</v>
      </c>
      <c r="N19" s="41">
        <f t="shared" si="5"/>
        <v>16002.130465949822</v>
      </c>
      <c r="O19">
        <v>1</v>
      </c>
      <c r="P19" s="48">
        <v>39</v>
      </c>
      <c r="Q19" s="43">
        <f t="shared" si="6"/>
        <v>33.41317365269461</v>
      </c>
      <c r="R19" s="49">
        <v>443533</v>
      </c>
      <c r="S19" s="45">
        <f t="shared" si="7"/>
        <v>13274.195519713261</v>
      </c>
      <c r="T19">
        <v>1</v>
      </c>
    </row>
    <row r="20" spans="1:20" x14ac:dyDescent="0.25">
      <c r="A20" s="46">
        <v>72</v>
      </c>
      <c r="B20" s="39">
        <f t="shared" si="0"/>
        <v>30.326086956521738</v>
      </c>
      <c r="C20" s="47">
        <v>339217</v>
      </c>
      <c r="D20" s="41">
        <f t="shared" si="1"/>
        <v>11185.65017921147</v>
      </c>
      <c r="E20">
        <v>1</v>
      </c>
      <c r="F20" s="50">
        <v>4</v>
      </c>
      <c r="G20" s="70">
        <f t="shared" si="2"/>
        <v>33.41317365269461</v>
      </c>
      <c r="H20" s="51">
        <v>435251</v>
      </c>
      <c r="I20" s="71">
        <f t="shared" si="3"/>
        <v>13026.329211469534</v>
      </c>
      <c r="J20">
        <v>0</v>
      </c>
      <c r="K20" s="46">
        <v>25</v>
      </c>
      <c r="L20" s="39">
        <f t="shared" si="4"/>
        <v>30.326086956521738</v>
      </c>
      <c r="M20" s="47">
        <v>428682</v>
      </c>
      <c r="N20" s="41">
        <f t="shared" si="5"/>
        <v>14135.750537634409</v>
      </c>
      <c r="O20">
        <v>1</v>
      </c>
      <c r="P20" s="48">
        <v>85</v>
      </c>
      <c r="Q20" s="43">
        <f t="shared" si="6"/>
        <v>33.41317365269461</v>
      </c>
      <c r="R20" s="49">
        <v>400656</v>
      </c>
      <c r="S20" s="45">
        <f t="shared" si="7"/>
        <v>11990.959139784947</v>
      </c>
      <c r="T20">
        <v>1</v>
      </c>
    </row>
    <row r="21" spans="1:20" x14ac:dyDescent="0.25">
      <c r="A21" s="46">
        <v>63</v>
      </c>
      <c r="B21" s="39">
        <f t="shared" si="0"/>
        <v>30.326086956521738</v>
      </c>
      <c r="C21" s="47">
        <v>148379</v>
      </c>
      <c r="D21" s="41">
        <f t="shared" si="1"/>
        <v>4892.7842293906815</v>
      </c>
      <c r="E21">
        <v>1</v>
      </c>
      <c r="F21" s="58">
        <v>58</v>
      </c>
      <c r="G21" s="68">
        <f t="shared" si="2"/>
        <v>33.41317365269461</v>
      </c>
      <c r="H21" s="54">
        <v>425212</v>
      </c>
      <c r="I21" s="69">
        <f t="shared" si="3"/>
        <v>12725.878853046595</v>
      </c>
      <c r="K21" s="46">
        <v>53</v>
      </c>
      <c r="L21" s="39">
        <f t="shared" si="4"/>
        <v>30.326086956521738</v>
      </c>
      <c r="M21" s="47">
        <v>427876</v>
      </c>
      <c r="N21" s="41">
        <f t="shared" si="5"/>
        <v>14109.17275985663</v>
      </c>
      <c r="O21">
        <v>1</v>
      </c>
      <c r="P21" s="48">
        <v>51</v>
      </c>
      <c r="Q21" s="43">
        <f t="shared" si="6"/>
        <v>33.41317365269461</v>
      </c>
      <c r="R21" s="49">
        <v>295735</v>
      </c>
      <c r="S21" s="45">
        <f t="shared" si="7"/>
        <v>8850.8503584229402</v>
      </c>
      <c r="T21">
        <v>1</v>
      </c>
    </row>
    <row r="22" spans="1:20" x14ac:dyDescent="0.25">
      <c r="A22" s="46">
        <v>5</v>
      </c>
      <c r="B22" s="39">
        <f t="shared" si="0"/>
        <v>30.326086956521738</v>
      </c>
      <c r="C22" s="47">
        <v>135603</v>
      </c>
      <c r="D22" s="41">
        <f t="shared" si="1"/>
        <v>4471.4967741935488</v>
      </c>
      <c r="E22">
        <v>1</v>
      </c>
      <c r="F22" s="58">
        <v>69</v>
      </c>
      <c r="G22" s="68">
        <f t="shared" si="2"/>
        <v>33.41317365269461</v>
      </c>
      <c r="H22" s="54">
        <v>301059</v>
      </c>
      <c r="I22" s="69">
        <f t="shared" si="3"/>
        <v>9010.188709677419</v>
      </c>
      <c r="K22" s="46">
        <v>30</v>
      </c>
      <c r="L22" s="39">
        <f t="shared" si="4"/>
        <v>30.326086956521738</v>
      </c>
      <c r="M22" s="47">
        <v>412457</v>
      </c>
      <c r="N22" s="41">
        <f t="shared" si="5"/>
        <v>13600.732616487456</v>
      </c>
      <c r="O22">
        <v>1</v>
      </c>
      <c r="P22" s="48">
        <v>84</v>
      </c>
      <c r="Q22" s="43">
        <f t="shared" si="6"/>
        <v>33.41317365269461</v>
      </c>
      <c r="R22" s="49">
        <v>277116</v>
      </c>
      <c r="S22" s="45">
        <f t="shared" si="7"/>
        <v>8293.6150537634403</v>
      </c>
      <c r="T22">
        <v>1</v>
      </c>
    </row>
    <row r="23" spans="1:20" x14ac:dyDescent="0.25">
      <c r="A23" s="50">
        <v>89</v>
      </c>
      <c r="B23" s="70">
        <f t="shared" si="0"/>
        <v>30.326086956521738</v>
      </c>
      <c r="C23" s="51">
        <v>43767</v>
      </c>
      <c r="D23" s="71">
        <f t="shared" si="1"/>
        <v>1443.2129032258065</v>
      </c>
      <c r="E23">
        <v>0</v>
      </c>
      <c r="F23" s="58">
        <v>91</v>
      </c>
      <c r="G23" s="68">
        <f t="shared" si="2"/>
        <v>33.41317365269461</v>
      </c>
      <c r="H23" s="54">
        <v>248437</v>
      </c>
      <c r="I23" s="69">
        <f t="shared" si="3"/>
        <v>7435.3008960573479</v>
      </c>
      <c r="K23" s="46">
        <v>45</v>
      </c>
      <c r="L23" s="39">
        <f t="shared" si="4"/>
        <v>30.326086956521738</v>
      </c>
      <c r="M23" s="47">
        <v>411553</v>
      </c>
      <c r="N23" s="41">
        <f t="shared" si="5"/>
        <v>13570.923297491039</v>
      </c>
      <c r="O23">
        <v>1</v>
      </c>
      <c r="P23" s="48">
        <v>100</v>
      </c>
      <c r="Q23" s="43">
        <f t="shared" si="6"/>
        <v>33.41317365269461</v>
      </c>
      <c r="R23" s="49">
        <v>196154</v>
      </c>
      <c r="S23" s="45">
        <f t="shared" si="7"/>
        <v>5870.5587813620077</v>
      </c>
      <c r="T23">
        <v>1</v>
      </c>
    </row>
    <row r="24" spans="1:20" x14ac:dyDescent="0.25">
      <c r="A24" s="46">
        <v>8</v>
      </c>
      <c r="B24" s="39">
        <f t="shared" si="0"/>
        <v>30.326086956521738</v>
      </c>
      <c r="C24" s="47">
        <v>-31569</v>
      </c>
      <c r="D24" s="41">
        <f t="shared" si="1"/>
        <v>-1040.9849462365592</v>
      </c>
      <c r="E24">
        <v>1</v>
      </c>
      <c r="F24" s="50">
        <v>75</v>
      </c>
      <c r="G24" s="70">
        <f t="shared" si="2"/>
        <v>33.41317365269461</v>
      </c>
      <c r="H24" s="51">
        <v>241104</v>
      </c>
      <c r="I24" s="71">
        <f t="shared" si="3"/>
        <v>7215.8365591397851</v>
      </c>
      <c r="J24">
        <v>0</v>
      </c>
      <c r="K24" s="50">
        <v>43</v>
      </c>
      <c r="L24" s="70">
        <f t="shared" si="4"/>
        <v>30.326086956521738</v>
      </c>
      <c r="M24" s="51">
        <v>287718</v>
      </c>
      <c r="N24" s="71">
        <f t="shared" si="5"/>
        <v>9487.4752688172048</v>
      </c>
      <c r="O24">
        <v>0</v>
      </c>
      <c r="P24" s="48">
        <v>56</v>
      </c>
      <c r="Q24" s="43">
        <f t="shared" si="6"/>
        <v>33.41317365269461</v>
      </c>
      <c r="R24" s="49">
        <v>175558</v>
      </c>
      <c r="S24" s="45">
        <f t="shared" si="7"/>
        <v>5254.1551971326162</v>
      </c>
      <c r="T24">
        <v>1</v>
      </c>
    </row>
    <row r="25" spans="1:20" x14ac:dyDescent="0.25">
      <c r="A25" s="46">
        <v>62</v>
      </c>
      <c r="B25" s="39">
        <f t="shared" si="0"/>
        <v>30.326086956521738</v>
      </c>
      <c r="C25" s="47">
        <v>-50310</v>
      </c>
      <c r="D25" s="41">
        <f t="shared" si="1"/>
        <v>-1658.9677419354839</v>
      </c>
      <c r="E25">
        <v>1</v>
      </c>
      <c r="F25" s="58">
        <v>21</v>
      </c>
      <c r="G25" s="68">
        <f t="shared" si="2"/>
        <v>33.41317365269461</v>
      </c>
      <c r="H25" s="54">
        <v>182068</v>
      </c>
      <c r="I25" s="69">
        <f t="shared" si="3"/>
        <v>5448.9885304659501</v>
      </c>
      <c r="K25" s="52">
        <v>47</v>
      </c>
      <c r="L25" s="72">
        <f t="shared" si="4"/>
        <v>30.326086956521738</v>
      </c>
      <c r="M25" s="53">
        <v>244892</v>
      </c>
      <c r="N25" s="73">
        <f t="shared" si="5"/>
        <v>8075.2917562724015</v>
      </c>
      <c r="O25">
        <v>0.66666666666666785</v>
      </c>
      <c r="P25" s="48">
        <v>24</v>
      </c>
      <c r="Q25" s="43">
        <f t="shared" si="6"/>
        <v>33.41317365269461</v>
      </c>
      <c r="R25" s="49">
        <v>71007</v>
      </c>
      <c r="S25" s="45">
        <f t="shared" si="7"/>
        <v>2125.1198924731184</v>
      </c>
      <c r="T25">
        <v>1</v>
      </c>
    </row>
    <row r="26" spans="1:20" x14ac:dyDescent="0.25">
      <c r="A26" s="46">
        <v>20</v>
      </c>
      <c r="B26" s="39">
        <f t="shared" si="0"/>
        <v>30.326086956521738</v>
      </c>
      <c r="C26" s="47">
        <v>-55320</v>
      </c>
      <c r="D26" s="41">
        <f t="shared" si="1"/>
        <v>-1824.1720430107528</v>
      </c>
      <c r="E26">
        <v>1</v>
      </c>
      <c r="F26" s="50">
        <v>59</v>
      </c>
      <c r="G26" s="70">
        <f t="shared" si="2"/>
        <v>33.41317365269461</v>
      </c>
      <c r="H26" s="51">
        <v>167225</v>
      </c>
      <c r="I26" s="71">
        <f t="shared" si="3"/>
        <v>5004.7625448028675</v>
      </c>
      <c r="J26">
        <v>0</v>
      </c>
      <c r="K26" s="58">
        <v>27</v>
      </c>
      <c r="L26" s="68">
        <f t="shared" si="4"/>
        <v>30.326086956521738</v>
      </c>
      <c r="M26" s="54">
        <v>217246</v>
      </c>
      <c r="N26" s="69">
        <f t="shared" si="5"/>
        <v>7163.6673835125448</v>
      </c>
      <c r="P26" s="48">
        <v>94</v>
      </c>
      <c r="Q26" s="43">
        <f t="shared" si="6"/>
        <v>33.41317365269461</v>
      </c>
      <c r="R26" s="49">
        <v>48569</v>
      </c>
      <c r="S26" s="45">
        <f t="shared" si="7"/>
        <v>1453.5883512544804</v>
      </c>
      <c r="T26">
        <v>1</v>
      </c>
    </row>
    <row r="27" spans="1:20" x14ac:dyDescent="0.25">
      <c r="A27" s="46">
        <v>14</v>
      </c>
      <c r="B27" s="39">
        <f t="shared" si="0"/>
        <v>30.326086956521738</v>
      </c>
      <c r="C27" s="47">
        <v>-99929</v>
      </c>
      <c r="D27" s="41">
        <f t="shared" si="1"/>
        <v>-3295.1498207885306</v>
      </c>
      <c r="E27">
        <v>1</v>
      </c>
      <c r="F27" s="50">
        <v>63</v>
      </c>
      <c r="G27" s="70">
        <f t="shared" si="2"/>
        <v>33.41317365269461</v>
      </c>
      <c r="H27" s="51">
        <v>-59023</v>
      </c>
      <c r="I27" s="71">
        <f t="shared" si="3"/>
        <v>-1766.4589605734768</v>
      </c>
      <c r="J27">
        <v>0</v>
      </c>
      <c r="K27" s="50">
        <v>98</v>
      </c>
      <c r="L27" s="70">
        <f t="shared" si="4"/>
        <v>30.326086956521738</v>
      </c>
      <c r="M27" s="51">
        <v>186371</v>
      </c>
      <c r="N27" s="71">
        <f t="shared" si="5"/>
        <v>6145.5670250896055</v>
      </c>
      <c r="O27">
        <v>0</v>
      </c>
      <c r="P27" s="48">
        <v>98</v>
      </c>
      <c r="Q27" s="43">
        <f t="shared" si="6"/>
        <v>33.41317365269461</v>
      </c>
      <c r="R27" s="49">
        <v>42432</v>
      </c>
      <c r="S27" s="45">
        <f t="shared" si="7"/>
        <v>1269.9182795698925</v>
      </c>
      <c r="T27">
        <v>1</v>
      </c>
    </row>
    <row r="28" spans="1:20" x14ac:dyDescent="0.25">
      <c r="A28" s="46">
        <v>59</v>
      </c>
      <c r="B28" s="39">
        <f t="shared" si="0"/>
        <v>30.326086956521738</v>
      </c>
      <c r="C28" s="47">
        <v>-120499</v>
      </c>
      <c r="D28" s="41">
        <f t="shared" si="1"/>
        <v>-3973.4437275985665</v>
      </c>
      <c r="E28">
        <v>1</v>
      </c>
      <c r="F28" s="58">
        <v>70</v>
      </c>
      <c r="G28" s="68">
        <f t="shared" si="2"/>
        <v>33.41317365269461</v>
      </c>
      <c r="H28" s="54">
        <v>-82956</v>
      </c>
      <c r="I28" s="69">
        <f t="shared" si="3"/>
        <v>-2482.7333333333336</v>
      </c>
      <c r="K28" s="58">
        <v>82</v>
      </c>
      <c r="L28" s="68">
        <f t="shared" si="4"/>
        <v>30.326086956521738</v>
      </c>
      <c r="M28" s="54">
        <v>157735</v>
      </c>
      <c r="N28" s="69">
        <f t="shared" si="5"/>
        <v>5201.2974910394269</v>
      </c>
      <c r="P28" s="48">
        <v>79</v>
      </c>
      <c r="Q28" s="43">
        <f t="shared" si="6"/>
        <v>33.41317365269461</v>
      </c>
      <c r="R28" s="49">
        <v>-17472</v>
      </c>
      <c r="S28" s="45">
        <f t="shared" si="7"/>
        <v>-522.9075268817204</v>
      </c>
      <c r="T28">
        <v>1</v>
      </c>
    </row>
    <row r="29" spans="1:20" x14ac:dyDescent="0.25">
      <c r="A29" s="46">
        <v>11</v>
      </c>
      <c r="B29" s="39">
        <f t="shared" si="0"/>
        <v>30.326086956521738</v>
      </c>
      <c r="C29" s="47">
        <v>-150180</v>
      </c>
      <c r="D29" s="41">
        <f t="shared" si="1"/>
        <v>-4952.1720430107525</v>
      </c>
      <c r="E29">
        <v>1</v>
      </c>
      <c r="F29" s="58">
        <v>64</v>
      </c>
      <c r="G29" s="68">
        <f t="shared" si="2"/>
        <v>33.41317365269461</v>
      </c>
      <c r="H29" s="54">
        <v>-163863</v>
      </c>
      <c r="I29" s="69">
        <f t="shared" si="3"/>
        <v>-4904.1435483870973</v>
      </c>
      <c r="K29" s="50">
        <v>39</v>
      </c>
      <c r="L29" s="70">
        <f t="shared" si="4"/>
        <v>30.326086956521738</v>
      </c>
      <c r="M29" s="51">
        <v>75371</v>
      </c>
      <c r="N29" s="71">
        <f t="shared" si="5"/>
        <v>2485.3519713261649</v>
      </c>
      <c r="O29">
        <v>0</v>
      </c>
      <c r="P29" s="50">
        <v>30</v>
      </c>
      <c r="Q29" s="70">
        <f t="shared" si="6"/>
        <v>33.41317365269461</v>
      </c>
      <c r="R29" s="51">
        <v>-18899</v>
      </c>
      <c r="S29" s="71">
        <f t="shared" si="7"/>
        <v>-565.61523297491044</v>
      </c>
      <c r="T29">
        <v>0</v>
      </c>
    </row>
    <row r="30" spans="1:20" x14ac:dyDescent="0.25">
      <c r="A30" s="58">
        <v>19</v>
      </c>
      <c r="B30" s="68">
        <f t="shared" si="0"/>
        <v>30.326086956521738</v>
      </c>
      <c r="C30" s="54">
        <v>-212225</v>
      </c>
      <c r="D30" s="69">
        <f t="shared" si="1"/>
        <v>-6998.1003584229393</v>
      </c>
      <c r="F30" s="50">
        <v>8</v>
      </c>
      <c r="G30" s="70">
        <f t="shared" si="2"/>
        <v>33.41317365269461</v>
      </c>
      <c r="H30" s="51">
        <v>-187009</v>
      </c>
      <c r="I30" s="71">
        <f t="shared" si="3"/>
        <v>-5596.8643369175625</v>
      </c>
      <c r="J30">
        <v>0</v>
      </c>
      <c r="K30" s="50">
        <v>79</v>
      </c>
      <c r="L30" s="70">
        <f t="shared" si="4"/>
        <v>30.326086956521738</v>
      </c>
      <c r="M30" s="51">
        <v>42924</v>
      </c>
      <c r="N30" s="71">
        <f t="shared" si="5"/>
        <v>1415.4150537634409</v>
      </c>
      <c r="O30">
        <v>0</v>
      </c>
      <c r="P30" s="50">
        <v>99</v>
      </c>
      <c r="Q30" s="70">
        <f t="shared" si="6"/>
        <v>33.41317365269461</v>
      </c>
      <c r="R30" s="51">
        <v>-53380</v>
      </c>
      <c r="S30" s="71">
        <f t="shared" si="7"/>
        <v>-1597.573476702509</v>
      </c>
    </row>
    <row r="31" spans="1:20" x14ac:dyDescent="0.25">
      <c r="A31" s="50">
        <v>7</v>
      </c>
      <c r="B31" s="70">
        <f t="shared" si="0"/>
        <v>30.326086956521738</v>
      </c>
      <c r="C31" s="51">
        <v>-425925</v>
      </c>
      <c r="D31" s="71">
        <f t="shared" si="1"/>
        <v>-14044.83870967742</v>
      </c>
      <c r="E31">
        <v>0</v>
      </c>
      <c r="F31" s="50">
        <v>61</v>
      </c>
      <c r="G31" s="70">
        <f t="shared" si="2"/>
        <v>33.41317365269461</v>
      </c>
      <c r="H31" s="51">
        <v>-223907</v>
      </c>
      <c r="I31" s="71">
        <f t="shared" si="3"/>
        <v>-6701.159318996416</v>
      </c>
      <c r="J31">
        <v>0</v>
      </c>
      <c r="K31" s="58">
        <v>49</v>
      </c>
      <c r="L31" s="68">
        <f t="shared" si="4"/>
        <v>30.326086956521738</v>
      </c>
      <c r="M31" s="54">
        <v>-35135</v>
      </c>
      <c r="N31" s="69">
        <f t="shared" si="5"/>
        <v>-1158.573476702509</v>
      </c>
      <c r="P31" s="48">
        <v>76</v>
      </c>
      <c r="Q31" s="43">
        <f t="shared" si="6"/>
        <v>33.41317365269461</v>
      </c>
      <c r="R31" s="49">
        <v>-134133</v>
      </c>
      <c r="S31" s="45">
        <f t="shared" si="7"/>
        <v>-4014.3747311827956</v>
      </c>
      <c r="T31">
        <v>1</v>
      </c>
    </row>
    <row r="32" spans="1:20" x14ac:dyDescent="0.25">
      <c r="A32" s="58">
        <v>88</v>
      </c>
      <c r="B32" s="68">
        <f t="shared" si="0"/>
        <v>30.326086956521738</v>
      </c>
      <c r="C32" s="54">
        <v>-426293</v>
      </c>
      <c r="D32" s="69">
        <f t="shared" si="1"/>
        <v>-14056.973476702509</v>
      </c>
      <c r="F32" s="58">
        <v>92</v>
      </c>
      <c r="G32" s="68">
        <f t="shared" si="2"/>
        <v>33.41317365269461</v>
      </c>
      <c r="H32" s="54">
        <v>-299484</v>
      </c>
      <c r="I32" s="69">
        <f t="shared" si="3"/>
        <v>-8963.0516129032258</v>
      </c>
      <c r="K32" s="50">
        <v>86</v>
      </c>
      <c r="L32" s="70">
        <f t="shared" si="4"/>
        <v>30.326086956521738</v>
      </c>
      <c r="M32" s="51">
        <v>-36114</v>
      </c>
      <c r="N32" s="71">
        <f t="shared" si="5"/>
        <v>-1190.8559139784948</v>
      </c>
      <c r="O32">
        <v>0</v>
      </c>
      <c r="P32" s="58">
        <v>27</v>
      </c>
      <c r="Q32" s="68">
        <f t="shared" si="6"/>
        <v>33.41317365269461</v>
      </c>
      <c r="R32" s="54">
        <v>-237585</v>
      </c>
      <c r="S32" s="69">
        <f t="shared" si="7"/>
        <v>-7110.5188172043008</v>
      </c>
    </row>
    <row r="33" spans="1:20" x14ac:dyDescent="0.25">
      <c r="A33" s="50">
        <v>1</v>
      </c>
      <c r="B33" s="70">
        <f t="shared" si="0"/>
        <v>30.326086956521738</v>
      </c>
      <c r="C33" s="51">
        <v>-436549</v>
      </c>
      <c r="D33" s="71">
        <f t="shared" si="1"/>
        <v>-14395.164157706093</v>
      </c>
      <c r="E33">
        <v>0</v>
      </c>
      <c r="F33" s="58">
        <v>93</v>
      </c>
      <c r="G33" s="68">
        <f t="shared" si="2"/>
        <v>33.41317365269461</v>
      </c>
      <c r="H33" s="54">
        <v>-392062</v>
      </c>
      <c r="I33" s="69">
        <f t="shared" si="3"/>
        <v>-11733.755197132617</v>
      </c>
      <c r="K33" s="50">
        <v>95</v>
      </c>
      <c r="L33" s="70">
        <f t="shared" si="4"/>
        <v>30.326086956521738</v>
      </c>
      <c r="M33" s="51">
        <v>-117870</v>
      </c>
      <c r="N33" s="71">
        <f t="shared" si="5"/>
        <v>-3886.7526881720432</v>
      </c>
      <c r="O33">
        <v>0</v>
      </c>
      <c r="P33" s="58">
        <v>49</v>
      </c>
      <c r="Q33" s="68">
        <f t="shared" si="6"/>
        <v>33.41317365269461</v>
      </c>
      <c r="R33" s="54">
        <v>-320509</v>
      </c>
      <c r="S33" s="69">
        <f t="shared" si="7"/>
        <v>-9592.2944444444438</v>
      </c>
    </row>
    <row r="34" spans="1:20" x14ac:dyDescent="0.25">
      <c r="A34" s="50">
        <v>16</v>
      </c>
      <c r="B34" s="70">
        <f t="shared" si="0"/>
        <v>30.326086956521738</v>
      </c>
      <c r="C34" s="51">
        <v>-516654</v>
      </c>
      <c r="D34" s="71">
        <f t="shared" si="1"/>
        <v>-17036.619354838709</v>
      </c>
      <c r="E34">
        <v>0</v>
      </c>
      <c r="F34" s="58">
        <v>17</v>
      </c>
      <c r="G34" s="68">
        <f t="shared" si="2"/>
        <v>33.41317365269461</v>
      </c>
      <c r="H34" s="54">
        <v>-421127</v>
      </c>
      <c r="I34" s="69">
        <f t="shared" si="3"/>
        <v>-12603.621684587813</v>
      </c>
      <c r="K34" s="58">
        <v>42</v>
      </c>
      <c r="L34" s="68">
        <f t="shared" si="4"/>
        <v>30.326086956521738</v>
      </c>
      <c r="M34" s="54">
        <v>-137859</v>
      </c>
      <c r="N34" s="69">
        <f t="shared" si="5"/>
        <v>-4545.8881720430109</v>
      </c>
      <c r="P34" s="52">
        <v>47</v>
      </c>
      <c r="Q34" s="72">
        <f t="shared" si="6"/>
        <v>33.41317365269461</v>
      </c>
      <c r="R34" s="53">
        <v>-338573</v>
      </c>
      <c r="S34" s="73">
        <f t="shared" si="7"/>
        <v>-10132.919534050179</v>
      </c>
      <c r="T34">
        <v>0</v>
      </c>
    </row>
    <row r="35" spans="1:20" x14ac:dyDescent="0.25">
      <c r="A35" s="58">
        <v>73</v>
      </c>
      <c r="B35" s="68">
        <f t="shared" si="0"/>
        <v>30.326086956521738</v>
      </c>
      <c r="C35" s="54">
        <v>-526062</v>
      </c>
      <c r="D35" s="69">
        <f t="shared" si="1"/>
        <v>-17346.847311827958</v>
      </c>
      <c r="F35" s="50">
        <v>5</v>
      </c>
      <c r="G35" s="70">
        <f t="shared" si="2"/>
        <v>33.41317365269461</v>
      </c>
      <c r="H35" s="51">
        <v>-473972</v>
      </c>
      <c r="I35" s="71">
        <f t="shared" si="3"/>
        <v>-14185.183512544803</v>
      </c>
      <c r="J35">
        <v>0</v>
      </c>
      <c r="K35" s="58">
        <v>50</v>
      </c>
      <c r="L35" s="68">
        <f t="shared" si="4"/>
        <v>30.326086956521738</v>
      </c>
      <c r="M35" s="54">
        <v>-141217</v>
      </c>
      <c r="N35" s="69">
        <f t="shared" si="5"/>
        <v>-4656.6179211469534</v>
      </c>
      <c r="P35" s="50">
        <v>34</v>
      </c>
      <c r="Q35" s="70">
        <f t="shared" si="6"/>
        <v>33.41317365269461</v>
      </c>
      <c r="R35" s="51">
        <v>-343537</v>
      </c>
      <c r="S35" s="71">
        <f t="shared" si="7"/>
        <v>-10281.483691756273</v>
      </c>
    </row>
    <row r="36" spans="1:20" x14ac:dyDescent="0.25">
      <c r="A36" s="58">
        <v>69</v>
      </c>
      <c r="B36" s="68">
        <f t="shared" si="0"/>
        <v>30.326086956521738</v>
      </c>
      <c r="C36" s="54">
        <v>-582190</v>
      </c>
      <c r="D36" s="69">
        <f t="shared" si="1"/>
        <v>-19197.663082437277</v>
      </c>
      <c r="F36" s="58">
        <v>67</v>
      </c>
      <c r="G36" s="68">
        <f t="shared" si="2"/>
        <v>33.41317365269461</v>
      </c>
      <c r="H36" s="54">
        <v>-479440</v>
      </c>
      <c r="I36" s="69">
        <f t="shared" si="3"/>
        <v>-14348.831541218638</v>
      </c>
      <c r="K36" s="50">
        <v>24</v>
      </c>
      <c r="L36" s="70">
        <f t="shared" si="4"/>
        <v>30.326086956521738</v>
      </c>
      <c r="M36" s="51">
        <v>-265494</v>
      </c>
      <c r="N36" s="71">
        <f t="shared" si="5"/>
        <v>-8754.6408602150532</v>
      </c>
      <c r="O36">
        <v>0</v>
      </c>
      <c r="P36" s="58">
        <v>26</v>
      </c>
      <c r="Q36" s="68">
        <f t="shared" si="6"/>
        <v>33.41317365269461</v>
      </c>
      <c r="R36" s="54">
        <v>-410208</v>
      </c>
      <c r="S36" s="69">
        <f t="shared" si="7"/>
        <v>-12276.834408602152</v>
      </c>
    </row>
    <row r="37" spans="1:20" x14ac:dyDescent="0.25">
      <c r="A37" s="58">
        <v>17</v>
      </c>
      <c r="B37" s="68">
        <f t="shared" si="0"/>
        <v>30.326086956521738</v>
      </c>
      <c r="C37" s="54">
        <v>-710390</v>
      </c>
      <c r="D37" s="69">
        <f t="shared" si="1"/>
        <v>-23425.046594982079</v>
      </c>
      <c r="F37" s="58">
        <v>65</v>
      </c>
      <c r="G37" s="68">
        <f t="shared" si="2"/>
        <v>33.41317365269461</v>
      </c>
      <c r="H37" s="54">
        <v>-681880</v>
      </c>
      <c r="I37" s="69">
        <f t="shared" si="3"/>
        <v>-20407.519713261649</v>
      </c>
      <c r="K37" s="50">
        <v>44</v>
      </c>
      <c r="L37" s="70">
        <f t="shared" si="4"/>
        <v>30.326086956521738</v>
      </c>
      <c r="M37" s="51">
        <v>-279807</v>
      </c>
      <c r="N37" s="71">
        <f t="shared" si="5"/>
        <v>-9226.6107526881715</v>
      </c>
      <c r="O37">
        <v>0</v>
      </c>
      <c r="P37" s="58">
        <v>55</v>
      </c>
      <c r="Q37" s="68">
        <f t="shared" si="6"/>
        <v>33.41317365269461</v>
      </c>
      <c r="R37" s="54">
        <v>-412943</v>
      </c>
      <c r="S37" s="69">
        <f t="shared" si="7"/>
        <v>-12358.688351254481</v>
      </c>
    </row>
    <row r="38" spans="1:20" x14ac:dyDescent="0.25">
      <c r="A38" s="58">
        <v>12</v>
      </c>
      <c r="B38" s="68">
        <f t="shared" si="0"/>
        <v>30.326086956521738</v>
      </c>
      <c r="C38" s="54">
        <v>-753136</v>
      </c>
      <c r="D38" s="69">
        <f t="shared" si="1"/>
        <v>-24834.592114695341</v>
      </c>
      <c r="F38" s="50">
        <v>15</v>
      </c>
      <c r="G38" s="70">
        <f t="shared" si="2"/>
        <v>33.41317365269461</v>
      </c>
      <c r="H38" s="51">
        <v>-737370</v>
      </c>
      <c r="I38" s="71">
        <f t="shared" si="3"/>
        <v>-22068.241935483871</v>
      </c>
      <c r="J38">
        <v>0</v>
      </c>
      <c r="K38" s="58">
        <v>78</v>
      </c>
      <c r="L38" s="68">
        <f t="shared" si="4"/>
        <v>30.326086956521738</v>
      </c>
      <c r="M38" s="54">
        <v>-450754</v>
      </c>
      <c r="N38" s="69">
        <f t="shared" si="5"/>
        <v>-14863.572759856632</v>
      </c>
      <c r="P38" s="50">
        <v>22</v>
      </c>
      <c r="Q38" s="70">
        <f t="shared" si="6"/>
        <v>33.41317365269461</v>
      </c>
      <c r="R38" s="51">
        <v>-443480</v>
      </c>
      <c r="S38" s="71">
        <f t="shared" si="7"/>
        <v>-13272.609318996416</v>
      </c>
    </row>
    <row r="39" spans="1:20" x14ac:dyDescent="0.25">
      <c r="A39" s="58">
        <v>58</v>
      </c>
      <c r="B39" s="68">
        <f t="shared" si="0"/>
        <v>30.326086956521738</v>
      </c>
      <c r="C39" s="54">
        <v>-793953</v>
      </c>
      <c r="D39" s="69">
        <f t="shared" si="1"/>
        <v>-26180.529032258066</v>
      </c>
      <c r="F39" s="50">
        <v>6</v>
      </c>
      <c r="G39" s="70">
        <f t="shared" si="2"/>
        <v>33.41317365269461</v>
      </c>
      <c r="H39" s="51">
        <v>-760719</v>
      </c>
      <c r="I39" s="71">
        <f t="shared" si="3"/>
        <v>-22767.038172043012</v>
      </c>
      <c r="J39">
        <v>0</v>
      </c>
      <c r="K39" s="58">
        <v>81</v>
      </c>
      <c r="L39" s="68">
        <f t="shared" si="4"/>
        <v>30.326086956521738</v>
      </c>
      <c r="M39" s="54">
        <v>-460974</v>
      </c>
      <c r="N39" s="69">
        <f t="shared" si="5"/>
        <v>-15200.576344086023</v>
      </c>
      <c r="P39" s="58">
        <v>97</v>
      </c>
      <c r="Q39" s="68">
        <f t="shared" si="6"/>
        <v>33.41317365269461</v>
      </c>
      <c r="R39" s="54">
        <v>-474669</v>
      </c>
      <c r="S39" s="69">
        <f t="shared" si="7"/>
        <v>-14206.043548387097</v>
      </c>
    </row>
    <row r="40" spans="1:20" x14ac:dyDescent="0.25">
      <c r="A40" s="58">
        <v>68</v>
      </c>
      <c r="B40" s="68">
        <f t="shared" si="0"/>
        <v>30.326086956521738</v>
      </c>
      <c r="C40" s="54">
        <v>-803861</v>
      </c>
      <c r="D40" s="69">
        <f t="shared" si="1"/>
        <v>-26507.244444444445</v>
      </c>
      <c r="F40" s="58">
        <v>18</v>
      </c>
      <c r="G40" s="68">
        <f t="shared" si="2"/>
        <v>33.41317365269461</v>
      </c>
      <c r="H40" s="54">
        <v>-824942</v>
      </c>
      <c r="I40" s="69">
        <f t="shared" si="3"/>
        <v>-24689.124372759856</v>
      </c>
      <c r="K40" s="58">
        <v>48</v>
      </c>
      <c r="L40" s="68">
        <f t="shared" si="4"/>
        <v>30.326086956521738</v>
      </c>
      <c r="M40" s="54">
        <v>-522318</v>
      </c>
      <c r="N40" s="69">
        <f t="shared" si="5"/>
        <v>-17223.389247311829</v>
      </c>
      <c r="P40" s="50">
        <v>57</v>
      </c>
      <c r="Q40" s="70">
        <f t="shared" si="6"/>
        <v>33.41317365269461</v>
      </c>
      <c r="R40" s="51">
        <v>-519769</v>
      </c>
      <c r="S40" s="71">
        <f t="shared" si="7"/>
        <v>-15555.810573476703</v>
      </c>
    </row>
    <row r="41" spans="1:20" x14ac:dyDescent="0.25">
      <c r="A41" s="58">
        <v>60</v>
      </c>
      <c r="B41" s="68">
        <f t="shared" si="0"/>
        <v>30.326086956521738</v>
      </c>
      <c r="C41" s="54">
        <v>-850901</v>
      </c>
      <c r="D41" s="69">
        <f t="shared" si="1"/>
        <v>-28058.384229390682</v>
      </c>
      <c r="F41" s="50">
        <v>11</v>
      </c>
      <c r="G41" s="70">
        <f t="shared" si="2"/>
        <v>33.41317365269461</v>
      </c>
      <c r="H41" s="51">
        <v>-906527</v>
      </c>
      <c r="I41" s="71">
        <f t="shared" si="3"/>
        <v>-27130.825985663083</v>
      </c>
      <c r="J41">
        <v>0</v>
      </c>
      <c r="K41" s="58">
        <v>87</v>
      </c>
      <c r="L41" s="68">
        <f t="shared" si="4"/>
        <v>30.326086956521738</v>
      </c>
      <c r="M41" s="54">
        <v>-542332</v>
      </c>
      <c r="N41" s="69">
        <f t="shared" si="5"/>
        <v>-17883.349103942652</v>
      </c>
      <c r="P41" s="50">
        <v>35</v>
      </c>
      <c r="Q41" s="70">
        <f t="shared" si="6"/>
        <v>33.41317365269461</v>
      </c>
      <c r="R41" s="51">
        <v>-552149</v>
      </c>
      <c r="S41" s="71">
        <f t="shared" si="7"/>
        <v>-16524.889426523299</v>
      </c>
      <c r="T41">
        <v>0</v>
      </c>
    </row>
    <row r="42" spans="1:20" x14ac:dyDescent="0.25">
      <c r="A42" s="50">
        <v>74</v>
      </c>
      <c r="B42" s="70">
        <f t="shared" si="0"/>
        <v>30.326086956521738</v>
      </c>
      <c r="C42" s="51">
        <v>-871942</v>
      </c>
      <c r="D42" s="71">
        <f t="shared" si="1"/>
        <v>-28752.209318996418</v>
      </c>
      <c r="E42">
        <v>0</v>
      </c>
      <c r="F42" s="50">
        <v>14</v>
      </c>
      <c r="G42" s="70">
        <f t="shared" si="2"/>
        <v>33.41317365269461</v>
      </c>
      <c r="H42" s="51">
        <v>-923878</v>
      </c>
      <c r="I42" s="71">
        <f t="shared" si="3"/>
        <v>-27650.112186379931</v>
      </c>
      <c r="J42">
        <v>0</v>
      </c>
      <c r="K42" s="58">
        <v>41</v>
      </c>
      <c r="L42" s="68">
        <f t="shared" si="4"/>
        <v>30.326086956521738</v>
      </c>
      <c r="M42" s="54">
        <v>-545075</v>
      </c>
      <c r="N42" s="69">
        <f t="shared" si="5"/>
        <v>-17973.799283154123</v>
      </c>
      <c r="P42" s="58">
        <v>81</v>
      </c>
      <c r="Q42" s="68">
        <f t="shared" si="6"/>
        <v>33.41317365269461</v>
      </c>
      <c r="R42" s="54">
        <v>-553719</v>
      </c>
      <c r="S42" s="69">
        <f t="shared" si="7"/>
        <v>-16571.876881720429</v>
      </c>
    </row>
    <row r="43" spans="1:20" x14ac:dyDescent="0.25">
      <c r="A43" s="52">
        <v>71</v>
      </c>
      <c r="B43" s="72">
        <f t="shared" si="0"/>
        <v>30.326086956521738</v>
      </c>
      <c r="C43" s="53">
        <v>-879757</v>
      </c>
      <c r="D43" s="73">
        <f t="shared" si="1"/>
        <v>-29009.908243727601</v>
      </c>
      <c r="F43" s="50">
        <v>90</v>
      </c>
      <c r="G43" s="70">
        <f t="shared" si="2"/>
        <v>33.41317365269461</v>
      </c>
      <c r="H43" s="51">
        <v>-944796</v>
      </c>
      <c r="I43" s="71">
        <f t="shared" si="3"/>
        <v>-28276.152688172042</v>
      </c>
      <c r="J43">
        <v>0</v>
      </c>
      <c r="K43" s="58">
        <v>23</v>
      </c>
      <c r="L43" s="68">
        <f t="shared" si="4"/>
        <v>30.326086956521738</v>
      </c>
      <c r="M43" s="54">
        <v>-550483</v>
      </c>
      <c r="N43" s="69">
        <f t="shared" si="5"/>
        <v>-18152.127598566309</v>
      </c>
      <c r="P43" s="50">
        <v>25</v>
      </c>
      <c r="Q43" s="70">
        <f t="shared" si="6"/>
        <v>33.41317365269461</v>
      </c>
      <c r="R43" s="51">
        <v>-602771</v>
      </c>
      <c r="S43" s="71">
        <f t="shared" si="7"/>
        <v>-18039.920609318997</v>
      </c>
      <c r="T43">
        <v>0</v>
      </c>
    </row>
    <row r="44" spans="1:20" x14ac:dyDescent="0.25">
      <c r="A44" s="58">
        <v>13</v>
      </c>
      <c r="B44" s="68">
        <f t="shared" si="0"/>
        <v>30.326086956521738</v>
      </c>
      <c r="C44" s="54">
        <v>-1072053</v>
      </c>
      <c r="D44" s="69">
        <f t="shared" si="1"/>
        <v>-35350.851612903229</v>
      </c>
      <c r="F44" s="58">
        <v>88</v>
      </c>
      <c r="G44" s="68">
        <f t="shared" si="2"/>
        <v>33.41317365269461</v>
      </c>
      <c r="H44" s="54">
        <v>-964689</v>
      </c>
      <c r="I44" s="69">
        <f t="shared" si="3"/>
        <v>-28871.516666666666</v>
      </c>
      <c r="K44" s="58">
        <v>55</v>
      </c>
      <c r="L44" s="68">
        <f t="shared" si="4"/>
        <v>30.326086956521738</v>
      </c>
      <c r="M44" s="54">
        <v>-592287</v>
      </c>
      <c r="N44" s="69">
        <f t="shared" si="5"/>
        <v>-19530.610752688171</v>
      </c>
      <c r="P44" s="58">
        <v>23</v>
      </c>
      <c r="Q44" s="68">
        <f t="shared" si="6"/>
        <v>33.41317365269461</v>
      </c>
      <c r="R44" s="54">
        <v>-625997</v>
      </c>
      <c r="S44" s="69">
        <f t="shared" si="7"/>
        <v>-18735.035663082439</v>
      </c>
    </row>
    <row r="45" spans="1:20" x14ac:dyDescent="0.25">
      <c r="A45" s="58">
        <v>92</v>
      </c>
      <c r="B45" s="68">
        <f t="shared" si="0"/>
        <v>30.326086956521738</v>
      </c>
      <c r="C45" s="54">
        <v>-1105120</v>
      </c>
      <c r="D45" s="69">
        <f t="shared" si="1"/>
        <v>-36441.232974910396</v>
      </c>
      <c r="F45" s="50">
        <v>10</v>
      </c>
      <c r="G45" s="70">
        <f t="shared" si="2"/>
        <v>33.41317365269461</v>
      </c>
      <c r="H45" s="51">
        <v>-1019506</v>
      </c>
      <c r="I45" s="71">
        <f t="shared" si="3"/>
        <v>-30512.097132616487</v>
      </c>
      <c r="J45">
        <v>0</v>
      </c>
      <c r="K45" s="50">
        <v>31</v>
      </c>
      <c r="L45" s="70">
        <f t="shared" si="4"/>
        <v>30.326086956521738</v>
      </c>
      <c r="M45" s="51">
        <v>-620072</v>
      </c>
      <c r="N45" s="71">
        <f t="shared" si="5"/>
        <v>-20446.818637992834</v>
      </c>
      <c r="O45">
        <v>0</v>
      </c>
      <c r="P45" s="58">
        <v>78</v>
      </c>
      <c r="Q45" s="68">
        <f t="shared" si="6"/>
        <v>33.41317365269461</v>
      </c>
      <c r="R45" s="54">
        <v>-732192</v>
      </c>
      <c r="S45" s="69">
        <f t="shared" si="7"/>
        <v>-21913.273118279569</v>
      </c>
    </row>
    <row r="46" spans="1:20" x14ac:dyDescent="0.25">
      <c r="A46" s="58">
        <v>21</v>
      </c>
      <c r="B46" s="68">
        <f t="shared" si="0"/>
        <v>30.326086956521738</v>
      </c>
      <c r="C46" s="54">
        <v>-1124143</v>
      </c>
      <c r="D46" s="69">
        <f t="shared" si="1"/>
        <v>-37068.514695340506</v>
      </c>
      <c r="F46" s="50">
        <v>2</v>
      </c>
      <c r="G46" s="70">
        <f t="shared" si="2"/>
        <v>33.41317365269461</v>
      </c>
      <c r="H46" s="51">
        <v>-1048073</v>
      </c>
      <c r="I46" s="71">
        <f t="shared" si="3"/>
        <v>-31367.059318996417</v>
      </c>
      <c r="J46">
        <v>0</v>
      </c>
      <c r="K46" s="58">
        <v>40</v>
      </c>
      <c r="L46" s="68">
        <f t="shared" si="4"/>
        <v>30.326086956521738</v>
      </c>
      <c r="M46" s="54">
        <v>-658386</v>
      </c>
      <c r="N46" s="69">
        <f t="shared" si="5"/>
        <v>-21710.219354838711</v>
      </c>
      <c r="P46" s="58">
        <v>41</v>
      </c>
      <c r="Q46" s="68">
        <f t="shared" si="6"/>
        <v>33.41317365269461</v>
      </c>
      <c r="R46" s="54">
        <v>-890843</v>
      </c>
      <c r="S46" s="69">
        <f t="shared" si="7"/>
        <v>-26661.430286738352</v>
      </c>
    </row>
    <row r="47" spans="1:20" x14ac:dyDescent="0.25">
      <c r="A47" s="58">
        <v>64</v>
      </c>
      <c r="B47" s="68">
        <f t="shared" si="0"/>
        <v>30.326086956521738</v>
      </c>
      <c r="C47" s="54">
        <v>-1198677</v>
      </c>
      <c r="D47" s="69">
        <f t="shared" si="1"/>
        <v>-39526.26666666667</v>
      </c>
      <c r="F47" s="58">
        <v>12</v>
      </c>
      <c r="G47" s="68">
        <f t="shared" si="2"/>
        <v>33.41317365269461</v>
      </c>
      <c r="H47" s="54">
        <v>-1098022</v>
      </c>
      <c r="I47" s="69">
        <f t="shared" si="3"/>
        <v>-32861.948745519716</v>
      </c>
      <c r="K47" s="58">
        <v>97</v>
      </c>
      <c r="L47" s="68">
        <f t="shared" si="4"/>
        <v>30.326086956521738</v>
      </c>
      <c r="M47" s="54">
        <v>-661431</v>
      </c>
      <c r="N47" s="69">
        <f t="shared" si="5"/>
        <v>-21810.627956989247</v>
      </c>
      <c r="P47" s="58">
        <v>48</v>
      </c>
      <c r="Q47" s="68">
        <f t="shared" si="6"/>
        <v>33.41317365269461</v>
      </c>
      <c r="R47" s="54">
        <v>-914243</v>
      </c>
      <c r="S47" s="69">
        <f t="shared" si="7"/>
        <v>-27361.752867383515</v>
      </c>
    </row>
    <row r="48" spans="1:20" x14ac:dyDescent="0.25">
      <c r="A48" s="50">
        <v>3</v>
      </c>
      <c r="B48" s="70">
        <f t="shared" si="0"/>
        <v>30.326086956521738</v>
      </c>
      <c r="C48" s="51">
        <v>-1231829</v>
      </c>
      <c r="D48" s="71">
        <f t="shared" si="1"/>
        <v>-40619.450896057351</v>
      </c>
      <c r="E48">
        <v>0</v>
      </c>
      <c r="F48" s="50">
        <v>72</v>
      </c>
      <c r="G48" s="70">
        <f t="shared" si="2"/>
        <v>33.41317365269461</v>
      </c>
      <c r="H48" s="51">
        <v>-1168137</v>
      </c>
      <c r="I48" s="71">
        <f t="shared" si="3"/>
        <v>-34960.372580645162</v>
      </c>
      <c r="J48">
        <v>0</v>
      </c>
      <c r="K48" s="50">
        <v>56</v>
      </c>
      <c r="L48" s="70">
        <f t="shared" si="4"/>
        <v>30.326086956521738</v>
      </c>
      <c r="M48" s="51">
        <v>-736742</v>
      </c>
      <c r="N48" s="71">
        <f t="shared" si="5"/>
        <v>-24294.001433691756</v>
      </c>
      <c r="O48">
        <v>0</v>
      </c>
      <c r="P48" s="58">
        <v>96</v>
      </c>
      <c r="Q48" s="68">
        <f t="shared" si="6"/>
        <v>33.41317365269461</v>
      </c>
      <c r="R48" s="54">
        <v>-944950</v>
      </c>
      <c r="S48" s="69">
        <f t="shared" si="7"/>
        <v>-28280.76164874552</v>
      </c>
    </row>
    <row r="49" spans="1:20" x14ac:dyDescent="0.25">
      <c r="A49" s="58">
        <v>70</v>
      </c>
      <c r="B49" s="68">
        <f t="shared" si="0"/>
        <v>30.326086956521738</v>
      </c>
      <c r="C49" s="54">
        <v>-1290356</v>
      </c>
      <c r="D49" s="69">
        <f t="shared" si="1"/>
        <v>-42549.373476702509</v>
      </c>
      <c r="F49" s="50">
        <v>62</v>
      </c>
      <c r="G49" s="70">
        <f t="shared" si="2"/>
        <v>33.41317365269461</v>
      </c>
      <c r="H49" s="51">
        <v>-1177761</v>
      </c>
      <c r="I49" s="71">
        <f t="shared" si="3"/>
        <v>-35248.402688172042</v>
      </c>
      <c r="J49">
        <v>0</v>
      </c>
      <c r="K49" s="50">
        <v>85</v>
      </c>
      <c r="L49" s="70">
        <f t="shared" si="4"/>
        <v>30.326086956521738</v>
      </c>
      <c r="M49" s="51">
        <v>-789944</v>
      </c>
      <c r="N49" s="71">
        <f t="shared" si="5"/>
        <v>-26048.332616487456</v>
      </c>
      <c r="O49">
        <v>0</v>
      </c>
      <c r="P49" s="58">
        <v>82</v>
      </c>
      <c r="Q49" s="68">
        <f t="shared" si="6"/>
        <v>33.41317365269461</v>
      </c>
      <c r="R49" s="54">
        <v>-954865</v>
      </c>
      <c r="S49" s="69">
        <f t="shared" si="7"/>
        <v>-28577.500896057347</v>
      </c>
    </row>
    <row r="50" spans="1:20" x14ac:dyDescent="0.25">
      <c r="A50" s="58">
        <v>65</v>
      </c>
      <c r="B50" s="68">
        <f t="shared" si="0"/>
        <v>30.326086956521738</v>
      </c>
      <c r="C50" s="54">
        <v>-1335361</v>
      </c>
      <c r="D50" s="69">
        <f t="shared" si="1"/>
        <v>-44033.409318996419</v>
      </c>
      <c r="F50" s="58">
        <v>19</v>
      </c>
      <c r="G50" s="68">
        <f t="shared" si="2"/>
        <v>33.41317365269461</v>
      </c>
      <c r="H50" s="54">
        <v>-1251057</v>
      </c>
      <c r="I50" s="69">
        <f t="shared" si="3"/>
        <v>-37442.028494623657</v>
      </c>
      <c r="K50" s="58">
        <v>26</v>
      </c>
      <c r="L50" s="68">
        <f t="shared" si="4"/>
        <v>30.326086956521738</v>
      </c>
      <c r="M50" s="54">
        <v>-946136</v>
      </c>
      <c r="N50" s="69">
        <f t="shared" si="5"/>
        <v>-31198.749820788533</v>
      </c>
      <c r="P50" s="58">
        <v>50</v>
      </c>
      <c r="Q50" s="68">
        <f t="shared" si="6"/>
        <v>33.41317365269461</v>
      </c>
      <c r="R50" s="54">
        <v>-1011749</v>
      </c>
      <c r="S50" s="69">
        <f t="shared" si="7"/>
        <v>-30279.943189964157</v>
      </c>
    </row>
    <row r="51" spans="1:20" x14ac:dyDescent="0.25">
      <c r="A51" s="58">
        <v>18</v>
      </c>
      <c r="B51" s="68">
        <f t="shared" si="0"/>
        <v>30.326086956521738</v>
      </c>
      <c r="C51" s="54">
        <v>-1388548</v>
      </c>
      <c r="D51" s="69">
        <f t="shared" si="1"/>
        <v>-45787.2458781362</v>
      </c>
      <c r="F51" s="58">
        <v>68</v>
      </c>
      <c r="G51" s="68">
        <f t="shared" si="2"/>
        <v>33.41317365269461</v>
      </c>
      <c r="H51" s="54">
        <v>-1292553</v>
      </c>
      <c r="I51" s="69">
        <f t="shared" si="3"/>
        <v>-38683.933870967739</v>
      </c>
      <c r="K51" s="50">
        <v>84</v>
      </c>
      <c r="L51" s="70">
        <f t="shared" si="4"/>
        <v>30.326086956521738</v>
      </c>
      <c r="M51" s="51">
        <v>-948146</v>
      </c>
      <c r="N51" s="71">
        <f t="shared" si="5"/>
        <v>-31265.029390681004</v>
      </c>
      <c r="O51">
        <v>0</v>
      </c>
      <c r="P51" s="58">
        <v>40</v>
      </c>
      <c r="Q51" s="68">
        <f t="shared" si="6"/>
        <v>33.41317365269461</v>
      </c>
      <c r="R51" s="54">
        <v>-1028317</v>
      </c>
      <c r="S51" s="69">
        <f t="shared" si="7"/>
        <v>-30775.795519713261</v>
      </c>
    </row>
    <row r="52" spans="1:20" x14ac:dyDescent="0.25">
      <c r="A52" s="58">
        <v>91</v>
      </c>
      <c r="B52" s="68">
        <f t="shared" si="0"/>
        <v>30.326086956521738</v>
      </c>
      <c r="C52" s="54">
        <v>-1477388</v>
      </c>
      <c r="D52" s="69">
        <f t="shared" si="1"/>
        <v>-48716.736917562725</v>
      </c>
      <c r="F52" s="58">
        <v>60</v>
      </c>
      <c r="G52" s="68">
        <f t="shared" si="2"/>
        <v>33.41317365269461</v>
      </c>
      <c r="H52" s="54">
        <v>-1363928</v>
      </c>
      <c r="I52" s="69">
        <f t="shared" si="3"/>
        <v>-40820.067383512549</v>
      </c>
      <c r="K52" s="58">
        <v>37</v>
      </c>
      <c r="L52" s="68">
        <f t="shared" si="4"/>
        <v>30.326086956521738</v>
      </c>
      <c r="M52" s="54">
        <v>-1123636</v>
      </c>
      <c r="N52" s="69">
        <f t="shared" si="5"/>
        <v>-37051.796415770608</v>
      </c>
      <c r="P52" s="50">
        <v>45</v>
      </c>
      <c r="Q52" s="70">
        <f t="shared" si="6"/>
        <v>33.41317365269461</v>
      </c>
      <c r="R52" s="51">
        <v>-1108132</v>
      </c>
      <c r="S52" s="71">
        <f t="shared" si="7"/>
        <v>-33164.524014336916</v>
      </c>
      <c r="T52">
        <v>0</v>
      </c>
    </row>
    <row r="53" spans="1:20" x14ac:dyDescent="0.25">
      <c r="A53" s="58">
        <v>67</v>
      </c>
      <c r="B53" s="68">
        <f t="shared" si="0"/>
        <v>30.326086956521738</v>
      </c>
      <c r="C53" s="54">
        <v>-1558535</v>
      </c>
      <c r="D53" s="69">
        <f t="shared" si="1"/>
        <v>-51392.551971326167</v>
      </c>
      <c r="F53" s="50">
        <v>66</v>
      </c>
      <c r="G53" s="70">
        <f t="shared" si="2"/>
        <v>33.41317365269461</v>
      </c>
      <c r="H53" s="51">
        <v>-1541082</v>
      </c>
      <c r="I53" s="71">
        <f t="shared" si="3"/>
        <v>-46121.988172043013</v>
      </c>
      <c r="J53">
        <v>0</v>
      </c>
      <c r="K53" s="58">
        <v>77</v>
      </c>
      <c r="L53" s="68">
        <f t="shared" si="4"/>
        <v>30.326086956521738</v>
      </c>
      <c r="M53" s="54">
        <v>-1136517</v>
      </c>
      <c r="N53" s="69">
        <f t="shared" si="5"/>
        <v>-37476.546236559137</v>
      </c>
      <c r="P53" s="58">
        <v>37</v>
      </c>
      <c r="Q53" s="68">
        <f t="shared" si="6"/>
        <v>33.41317365269461</v>
      </c>
      <c r="R53" s="54">
        <v>-1231599</v>
      </c>
      <c r="S53" s="69">
        <f t="shared" si="7"/>
        <v>-36859.683333333334</v>
      </c>
    </row>
    <row r="54" spans="1:20" x14ac:dyDescent="0.25">
      <c r="A54" s="58">
        <v>93</v>
      </c>
      <c r="B54" s="68">
        <f t="shared" si="0"/>
        <v>30.326086956521738</v>
      </c>
      <c r="C54" s="54">
        <v>-1560391</v>
      </c>
      <c r="D54" s="69">
        <f t="shared" si="1"/>
        <v>-51453.753405017924</v>
      </c>
      <c r="F54" s="58">
        <v>13</v>
      </c>
      <c r="G54" s="68">
        <f t="shared" si="2"/>
        <v>33.41317365269461</v>
      </c>
      <c r="H54" s="54">
        <v>-1570807</v>
      </c>
      <c r="I54" s="69">
        <f t="shared" si="3"/>
        <v>-47011.607347670251</v>
      </c>
      <c r="K54" s="50">
        <v>94</v>
      </c>
      <c r="L54" s="70">
        <f t="shared" si="4"/>
        <v>30.326086956521738</v>
      </c>
      <c r="M54" s="51">
        <v>-1189690</v>
      </c>
      <c r="N54" s="71">
        <f t="shared" si="5"/>
        <v>-39229.921146953406</v>
      </c>
      <c r="O54">
        <v>0</v>
      </c>
      <c r="P54" s="58">
        <v>80</v>
      </c>
      <c r="Q54" s="68">
        <f t="shared" si="6"/>
        <v>33.41317365269461</v>
      </c>
      <c r="R54" s="54">
        <v>-1261366</v>
      </c>
      <c r="S54" s="69">
        <f t="shared" si="7"/>
        <v>-37750.559498207884</v>
      </c>
    </row>
    <row r="55" spans="1:20" x14ac:dyDescent="0.25">
      <c r="A55" s="58"/>
      <c r="B55" s="59"/>
      <c r="C55" s="54"/>
      <c r="D55" s="55"/>
      <c r="F55" s="58"/>
      <c r="G55" s="59"/>
      <c r="H55" s="54"/>
      <c r="I55" s="55"/>
      <c r="K55" s="50">
        <v>32</v>
      </c>
      <c r="L55" s="70">
        <f t="shared" si="4"/>
        <v>30.326086956521738</v>
      </c>
      <c r="M55" s="51">
        <v>-1238968</v>
      </c>
      <c r="N55" s="71">
        <f t="shared" si="5"/>
        <v>-40854.858781362011</v>
      </c>
      <c r="O55">
        <v>0</v>
      </c>
      <c r="P55" s="58">
        <v>52</v>
      </c>
      <c r="Q55" s="68">
        <f t="shared" si="6"/>
        <v>33.41317365269461</v>
      </c>
      <c r="R55" s="54">
        <v>-1306284</v>
      </c>
      <c r="S55" s="69">
        <f t="shared" si="7"/>
        <v>-39094.879569892473</v>
      </c>
    </row>
    <row r="56" spans="1:20" x14ac:dyDescent="0.25">
      <c r="A56" s="58"/>
      <c r="B56" s="59"/>
      <c r="C56" s="54"/>
      <c r="D56" s="55"/>
      <c r="F56" s="58"/>
      <c r="G56" s="59"/>
      <c r="H56" s="54"/>
      <c r="I56" s="55"/>
      <c r="K56" s="58">
        <v>36</v>
      </c>
      <c r="L56" s="68">
        <f t="shared" si="4"/>
        <v>30.326086956521738</v>
      </c>
      <c r="M56" s="54">
        <v>-1281241</v>
      </c>
      <c r="N56" s="69">
        <f t="shared" si="5"/>
        <v>-42248.807168458785</v>
      </c>
      <c r="P56" s="58">
        <v>38</v>
      </c>
      <c r="Q56" s="68">
        <f t="shared" si="6"/>
        <v>33.41317365269461</v>
      </c>
      <c r="R56" s="54">
        <v>-1308829</v>
      </c>
      <c r="S56" s="69">
        <f t="shared" si="7"/>
        <v>-39171.047132616492</v>
      </c>
    </row>
    <row r="57" spans="1:20" x14ac:dyDescent="0.25">
      <c r="A57" s="58"/>
      <c r="B57" s="59"/>
      <c r="C57" s="54"/>
      <c r="D57" s="55"/>
      <c r="F57" s="58"/>
      <c r="G57" s="59"/>
      <c r="H57" s="54"/>
      <c r="I57" s="55"/>
      <c r="K57" s="50">
        <v>29</v>
      </c>
      <c r="L57" s="70">
        <f t="shared" si="4"/>
        <v>30.326086956521738</v>
      </c>
      <c r="M57" s="51">
        <v>-1329121</v>
      </c>
      <c r="N57" s="71">
        <f t="shared" si="5"/>
        <v>-43827.645878136202</v>
      </c>
      <c r="O57">
        <v>0</v>
      </c>
      <c r="P57" s="50">
        <v>46</v>
      </c>
      <c r="Q57" s="70">
        <f t="shared" si="6"/>
        <v>33.41317365269461</v>
      </c>
      <c r="R57" s="51">
        <v>-1311822</v>
      </c>
      <c r="S57" s="71">
        <f t="shared" si="7"/>
        <v>-39260.622580645162</v>
      </c>
      <c r="T57">
        <v>0</v>
      </c>
    </row>
    <row r="58" spans="1:20" x14ac:dyDescent="0.25">
      <c r="A58" s="58"/>
      <c r="B58" s="59"/>
      <c r="C58" s="54"/>
      <c r="D58" s="55"/>
      <c r="F58" s="58"/>
      <c r="G58" s="59"/>
      <c r="H58" s="54"/>
      <c r="I58" s="55"/>
      <c r="K58" s="58">
        <v>80</v>
      </c>
      <c r="L58" s="68">
        <f t="shared" si="4"/>
        <v>30.326086956521738</v>
      </c>
      <c r="M58" s="54">
        <v>-1382584</v>
      </c>
      <c r="N58" s="69">
        <f t="shared" si="5"/>
        <v>-45590.583512544807</v>
      </c>
      <c r="P58" s="50">
        <v>53</v>
      </c>
      <c r="Q58" s="70">
        <f t="shared" si="6"/>
        <v>33.41317365269461</v>
      </c>
      <c r="R58" s="51">
        <v>-1316172</v>
      </c>
      <c r="S58" s="71">
        <f t="shared" si="7"/>
        <v>-39390.810752688172</v>
      </c>
      <c r="T58">
        <v>0</v>
      </c>
    </row>
    <row r="59" spans="1:20" x14ac:dyDescent="0.25">
      <c r="A59" s="58"/>
      <c r="B59" s="59"/>
      <c r="C59" s="54"/>
      <c r="D59" s="55"/>
      <c r="F59" s="58"/>
      <c r="G59" s="59"/>
      <c r="H59" s="54"/>
      <c r="I59" s="55"/>
      <c r="K59" s="58">
        <v>38</v>
      </c>
      <c r="L59" s="68">
        <f t="shared" si="4"/>
        <v>30.326086956521738</v>
      </c>
      <c r="M59" s="54">
        <v>-1454904</v>
      </c>
      <c r="N59" s="69">
        <f t="shared" si="5"/>
        <v>-47975.329032258065</v>
      </c>
      <c r="P59" s="58">
        <v>87</v>
      </c>
      <c r="Q59" s="68">
        <f t="shared" si="6"/>
        <v>33.41317365269461</v>
      </c>
      <c r="R59" s="54">
        <v>-1394051</v>
      </c>
      <c r="S59" s="69">
        <f t="shared" si="7"/>
        <v>-41721.598028673834</v>
      </c>
    </row>
    <row r="60" spans="1:20" x14ac:dyDescent="0.25">
      <c r="A60" s="58"/>
      <c r="B60" s="59"/>
      <c r="C60" s="54"/>
      <c r="D60" s="55"/>
      <c r="F60" s="58"/>
      <c r="G60" s="59"/>
      <c r="H60" s="54"/>
      <c r="I60" s="55"/>
      <c r="K60" s="58">
        <v>96</v>
      </c>
      <c r="L60" s="68">
        <f t="shared" si="4"/>
        <v>30.326086956521738</v>
      </c>
      <c r="M60" s="54">
        <v>-1495940</v>
      </c>
      <c r="N60" s="69">
        <f t="shared" si="5"/>
        <v>-49328.487455197137</v>
      </c>
      <c r="P60" s="58">
        <v>36</v>
      </c>
      <c r="Q60" s="68">
        <f t="shared" si="6"/>
        <v>33.41317365269461</v>
      </c>
      <c r="R60" s="54">
        <v>-1395762</v>
      </c>
      <c r="S60" s="69">
        <f t="shared" si="7"/>
        <v>-41772.805376344084</v>
      </c>
    </row>
    <row r="61" spans="1:20" x14ac:dyDescent="0.25">
      <c r="A61" s="58"/>
      <c r="B61" s="59"/>
      <c r="C61" s="54"/>
      <c r="D61" s="55"/>
      <c r="F61" s="58"/>
      <c r="G61" s="59"/>
      <c r="H61" s="54"/>
      <c r="I61" s="55"/>
      <c r="K61" s="50">
        <v>76</v>
      </c>
      <c r="L61" s="70">
        <f t="shared" si="4"/>
        <v>30.326086956521738</v>
      </c>
      <c r="M61" s="51">
        <v>-1505954</v>
      </c>
      <c r="N61" s="71">
        <f t="shared" si="5"/>
        <v>-49658.698207885303</v>
      </c>
      <c r="O61">
        <v>0</v>
      </c>
      <c r="P61" s="58">
        <v>42</v>
      </c>
      <c r="Q61" s="68">
        <f t="shared" si="6"/>
        <v>33.41317365269461</v>
      </c>
      <c r="R61" s="54">
        <v>-1449513</v>
      </c>
      <c r="S61" s="69">
        <f t="shared" si="7"/>
        <v>-43381.48225806452</v>
      </c>
    </row>
    <row r="62" spans="1:20" x14ac:dyDescent="0.25">
      <c r="A62" s="58"/>
      <c r="B62" s="59"/>
      <c r="C62" s="54"/>
      <c r="D62" s="55"/>
      <c r="F62" s="58"/>
      <c r="G62" s="59"/>
      <c r="H62" s="54"/>
      <c r="I62" s="55"/>
      <c r="K62" s="58">
        <v>52</v>
      </c>
      <c r="L62" s="68">
        <f t="shared" si="4"/>
        <v>30.326086956521738</v>
      </c>
      <c r="M62" s="54">
        <v>-1572435</v>
      </c>
      <c r="N62" s="69">
        <f t="shared" si="5"/>
        <v>-51850.903225806454</v>
      </c>
      <c r="P62" s="50">
        <v>28</v>
      </c>
      <c r="Q62" s="70">
        <f t="shared" si="6"/>
        <v>33.41317365269461</v>
      </c>
      <c r="R62" s="51">
        <v>-1475625</v>
      </c>
      <c r="S62" s="71">
        <f t="shared" si="7"/>
        <v>-44162.970430107525</v>
      </c>
      <c r="T62">
        <v>0</v>
      </c>
    </row>
    <row r="63" spans="1:20" x14ac:dyDescent="0.25">
      <c r="A63" s="58"/>
      <c r="B63" s="59"/>
      <c r="C63" s="54"/>
      <c r="D63" s="55"/>
      <c r="F63" s="58"/>
      <c r="G63" s="59"/>
      <c r="H63" s="54"/>
      <c r="I63" s="55"/>
      <c r="K63" s="50">
        <v>100</v>
      </c>
      <c r="L63" s="70">
        <f t="shared" si="4"/>
        <v>30.326086956521738</v>
      </c>
      <c r="M63" s="51">
        <v>-1597710</v>
      </c>
      <c r="N63" s="71">
        <f t="shared" si="5"/>
        <v>-52684.344086021505</v>
      </c>
      <c r="O63">
        <v>0</v>
      </c>
      <c r="P63" s="50">
        <v>83</v>
      </c>
      <c r="Q63" s="70">
        <f t="shared" si="6"/>
        <v>33.41317365269461</v>
      </c>
      <c r="R63" s="51">
        <v>-1533913</v>
      </c>
      <c r="S63" s="71">
        <f t="shared" si="7"/>
        <v>-45907.432078853046</v>
      </c>
    </row>
    <row r="64" spans="1:20" x14ac:dyDescent="0.25">
      <c r="A64" s="58"/>
      <c r="B64" s="59"/>
      <c r="C64" s="54"/>
      <c r="D64" s="55"/>
      <c r="F64" s="58"/>
      <c r="G64" s="59"/>
      <c r="H64" s="54"/>
      <c r="I64" s="55"/>
      <c r="K64" s="50">
        <v>51</v>
      </c>
      <c r="L64" s="70">
        <f t="shared" si="4"/>
        <v>30.326086956521738</v>
      </c>
      <c r="M64" s="51">
        <v>-1602000</v>
      </c>
      <c r="N64" s="71">
        <f t="shared" si="5"/>
        <v>-52825.806451612902</v>
      </c>
      <c r="O64">
        <v>0</v>
      </c>
      <c r="P64" s="58">
        <v>77</v>
      </c>
      <c r="Q64" s="68">
        <f t="shared" si="6"/>
        <v>33.41317365269461</v>
      </c>
      <c r="R64" s="54">
        <v>-1545855</v>
      </c>
      <c r="S64" s="69">
        <f t="shared" si="7"/>
        <v>-46264.836021505376</v>
      </c>
    </row>
    <row r="65" spans="1:19" x14ac:dyDescent="0.25">
      <c r="A65" s="58"/>
      <c r="B65" s="59"/>
      <c r="C65" s="54"/>
      <c r="D65" s="55"/>
      <c r="F65" s="58"/>
      <c r="G65" s="59"/>
      <c r="H65" s="54"/>
      <c r="I65" s="55"/>
      <c r="K65" s="58"/>
      <c r="L65" s="59"/>
      <c r="M65" s="54"/>
      <c r="N65" s="55"/>
      <c r="P65" s="58"/>
      <c r="Q65" s="59"/>
      <c r="R65" s="54"/>
      <c r="S65" s="55"/>
    </row>
    <row r="66" spans="1:19" x14ac:dyDescent="0.25">
      <c r="A66" s="58"/>
      <c r="B66" s="59"/>
      <c r="C66" s="54"/>
      <c r="D66" s="55"/>
      <c r="F66" s="58"/>
      <c r="G66" s="59"/>
      <c r="H66" s="54"/>
      <c r="I66" s="55"/>
      <c r="K66" s="58"/>
      <c r="L66" s="59"/>
      <c r="M66" s="54"/>
      <c r="N66" s="55"/>
      <c r="P66" s="58"/>
      <c r="Q66" s="59"/>
      <c r="R66" s="54"/>
      <c r="S66" s="55"/>
    </row>
    <row r="67" spans="1:19" x14ac:dyDescent="0.25">
      <c r="A67" s="58"/>
      <c r="B67" s="59"/>
      <c r="C67" s="54"/>
      <c r="D67" s="55"/>
      <c r="F67" s="58"/>
      <c r="G67" s="59"/>
      <c r="H67" s="54"/>
      <c r="I67" s="55"/>
      <c r="K67" s="58"/>
      <c r="L67" s="59"/>
      <c r="M67" s="54"/>
      <c r="N67" s="55"/>
      <c r="P67" s="58"/>
      <c r="Q67" s="59"/>
      <c r="R67" s="54"/>
      <c r="S67" s="55"/>
    </row>
    <row r="68" spans="1:19" x14ac:dyDescent="0.25">
      <c r="A68" s="58"/>
      <c r="B68" s="59"/>
      <c r="C68" s="54"/>
      <c r="D68" s="55"/>
      <c r="F68" s="58"/>
      <c r="G68" s="59"/>
      <c r="H68" s="54"/>
      <c r="I68" s="55"/>
      <c r="K68" s="58"/>
      <c r="L68" s="59"/>
      <c r="M68" s="54"/>
      <c r="N68" s="55"/>
      <c r="P68" s="58"/>
      <c r="Q68" s="59"/>
      <c r="R68" s="54"/>
      <c r="S68" s="55"/>
    </row>
    <row r="69" spans="1:19" x14ac:dyDescent="0.25">
      <c r="A69" s="58"/>
      <c r="B69" s="59"/>
      <c r="C69" s="54"/>
      <c r="D69" s="55"/>
      <c r="F69" s="58"/>
      <c r="G69" s="59"/>
      <c r="H69" s="54"/>
      <c r="I69" s="55"/>
      <c r="K69" s="58"/>
      <c r="L69" s="59"/>
      <c r="M69" s="54"/>
      <c r="N69" s="55"/>
      <c r="P69" s="58"/>
      <c r="Q69" s="59"/>
      <c r="R69" s="54"/>
      <c r="S69" s="55"/>
    </row>
    <row r="70" spans="1:19" x14ac:dyDescent="0.25">
      <c r="A70" s="58"/>
      <c r="B70" s="59"/>
      <c r="C70" s="54"/>
      <c r="D70" s="55"/>
      <c r="F70" s="58"/>
      <c r="G70" s="59"/>
      <c r="H70" s="54"/>
      <c r="I70" s="55"/>
      <c r="K70" s="58"/>
      <c r="L70" s="59"/>
      <c r="M70" s="54"/>
      <c r="N70" s="55"/>
      <c r="P70" s="58"/>
      <c r="Q70" s="59"/>
      <c r="R70" s="54"/>
      <c r="S70" s="55"/>
    </row>
    <row r="71" spans="1:19" x14ac:dyDescent="0.25">
      <c r="A71" s="58"/>
      <c r="B71" s="59"/>
      <c r="C71" s="54"/>
      <c r="D71" s="55"/>
      <c r="F71" s="58"/>
      <c r="G71" s="59"/>
      <c r="H71" s="54"/>
      <c r="I71" s="55"/>
      <c r="K71" s="58"/>
      <c r="L71" s="59"/>
      <c r="M71" s="54"/>
      <c r="N71" s="55"/>
      <c r="P71" s="58"/>
      <c r="Q71" s="59"/>
      <c r="R71" s="54"/>
      <c r="S71" s="55"/>
    </row>
    <row r="72" spans="1:19" x14ac:dyDescent="0.25">
      <c r="A72" s="58"/>
      <c r="B72" s="59"/>
      <c r="C72" s="54"/>
      <c r="D72" s="55"/>
      <c r="F72" s="58"/>
      <c r="G72" s="59"/>
      <c r="H72" s="54"/>
      <c r="I72" s="55"/>
      <c r="K72" s="58"/>
      <c r="L72" s="59"/>
      <c r="M72" s="54"/>
      <c r="N72" s="55"/>
      <c r="P72" s="58"/>
      <c r="Q72" s="59"/>
      <c r="R72" s="54"/>
      <c r="S72" s="55"/>
    </row>
    <row r="73" spans="1:19" x14ac:dyDescent="0.25">
      <c r="A73" s="58"/>
      <c r="B73" s="59"/>
      <c r="C73" s="54"/>
      <c r="D73" s="55"/>
      <c r="F73" s="58"/>
      <c r="G73" s="59"/>
      <c r="H73" s="54"/>
      <c r="I73" s="55"/>
      <c r="K73" s="58"/>
      <c r="L73" s="59"/>
      <c r="M73" s="54"/>
      <c r="N73" s="55"/>
      <c r="P73" s="58"/>
      <c r="Q73" s="59"/>
      <c r="R73" s="54"/>
      <c r="S73" s="55"/>
    </row>
    <row r="74" spans="1:19" x14ac:dyDescent="0.25">
      <c r="A74" s="58"/>
      <c r="B74" s="59"/>
      <c r="C74" s="54"/>
      <c r="D74" s="55"/>
      <c r="F74" s="58"/>
      <c r="G74" s="59"/>
      <c r="H74" s="54"/>
      <c r="I74" s="55"/>
      <c r="K74" s="58"/>
      <c r="L74" s="59"/>
      <c r="M74" s="54"/>
      <c r="N74" s="55"/>
      <c r="P74" s="58"/>
      <c r="Q74" s="59"/>
      <c r="R74" s="54"/>
      <c r="S74" s="55"/>
    </row>
    <row r="75" spans="1:19" x14ac:dyDescent="0.25">
      <c r="A75" s="58"/>
      <c r="B75" s="59"/>
      <c r="C75" s="54"/>
      <c r="D75" s="55"/>
      <c r="F75" s="58"/>
      <c r="G75" s="59"/>
      <c r="H75" s="54"/>
      <c r="I75" s="55"/>
      <c r="K75" s="58"/>
      <c r="L75" s="59"/>
      <c r="M75" s="54"/>
      <c r="N75" s="55"/>
      <c r="P75" s="58"/>
      <c r="Q75" s="59"/>
      <c r="R75" s="54"/>
      <c r="S75" s="55"/>
    </row>
    <row r="76" spans="1:19" x14ac:dyDescent="0.25">
      <c r="A76" s="58"/>
      <c r="B76" s="59"/>
      <c r="C76" s="54"/>
      <c r="D76" s="55"/>
      <c r="F76" s="58"/>
      <c r="G76" s="59"/>
      <c r="H76" s="54"/>
      <c r="I76" s="55"/>
      <c r="K76" s="58"/>
      <c r="L76" s="59"/>
      <c r="M76" s="54"/>
      <c r="N76" s="55"/>
      <c r="P76" s="58"/>
      <c r="Q76" s="59"/>
      <c r="R76" s="54"/>
      <c r="S76" s="55"/>
    </row>
    <row r="77" spans="1:19" x14ac:dyDescent="0.25">
      <c r="A77" s="58"/>
      <c r="B77" s="59"/>
      <c r="C77" s="54"/>
      <c r="D77" s="55"/>
      <c r="F77" s="58"/>
      <c r="G77" s="59"/>
      <c r="H77" s="54"/>
      <c r="I77" s="55"/>
      <c r="K77" s="58"/>
      <c r="L77" s="59"/>
      <c r="M77" s="54"/>
      <c r="N77" s="55"/>
      <c r="P77" s="58"/>
      <c r="Q77" s="59"/>
      <c r="R77" s="54"/>
      <c r="S77" s="55"/>
    </row>
    <row r="78" spans="1:19" x14ac:dyDescent="0.25">
      <c r="A78" s="58"/>
      <c r="B78" s="59"/>
      <c r="C78" s="54"/>
      <c r="D78" s="55"/>
      <c r="F78" s="58"/>
      <c r="G78" s="59"/>
      <c r="H78" s="54"/>
      <c r="I78" s="55"/>
      <c r="K78" s="58"/>
      <c r="L78" s="59"/>
      <c r="M78" s="54"/>
      <c r="N78" s="55"/>
      <c r="P78" s="58"/>
      <c r="Q78" s="59"/>
      <c r="R78" s="54"/>
      <c r="S78" s="55"/>
    </row>
    <row r="79" spans="1:19" x14ac:dyDescent="0.25">
      <c r="A79" s="58"/>
      <c r="B79" s="59"/>
      <c r="C79" s="54"/>
      <c r="D79" s="55"/>
      <c r="F79" s="58"/>
      <c r="G79" s="59"/>
      <c r="H79" s="54"/>
      <c r="I79" s="55"/>
      <c r="K79" s="58"/>
      <c r="L79" s="59"/>
      <c r="M79" s="54"/>
      <c r="N79" s="55"/>
      <c r="P79" s="58"/>
      <c r="Q79" s="59"/>
      <c r="R79" s="54"/>
      <c r="S79" s="55"/>
    </row>
    <row r="80" spans="1:19" x14ac:dyDescent="0.25">
      <c r="A80" s="58"/>
      <c r="B80" s="59"/>
      <c r="C80" s="54"/>
      <c r="D80" s="55"/>
      <c r="F80" s="58"/>
      <c r="G80" s="59"/>
      <c r="H80" s="54"/>
      <c r="I80" s="55"/>
      <c r="K80" s="58"/>
      <c r="L80" s="59"/>
      <c r="M80" s="54"/>
      <c r="N80" s="55"/>
      <c r="P80" s="58"/>
      <c r="Q80" s="59"/>
      <c r="R80" s="54"/>
      <c r="S80" s="55"/>
    </row>
    <row r="81" spans="1:19" x14ac:dyDescent="0.25">
      <c r="A81" s="58"/>
      <c r="B81" s="59"/>
      <c r="C81" s="54"/>
      <c r="D81" s="55"/>
      <c r="F81" s="58"/>
      <c r="G81" s="59"/>
      <c r="H81" s="54"/>
      <c r="I81" s="55"/>
      <c r="K81" s="58"/>
      <c r="L81" s="59"/>
      <c r="M81" s="54"/>
      <c r="N81" s="55"/>
      <c r="P81" s="58"/>
      <c r="Q81" s="59"/>
      <c r="R81" s="54"/>
      <c r="S81" s="55"/>
    </row>
    <row r="82" spans="1:19" x14ac:dyDescent="0.25">
      <c r="A82" s="58"/>
      <c r="B82" s="59"/>
      <c r="C82" s="54"/>
      <c r="D82" s="55"/>
      <c r="F82" s="58"/>
      <c r="G82" s="59"/>
      <c r="H82" s="54"/>
      <c r="I82" s="55"/>
      <c r="K82" s="58"/>
      <c r="L82" s="59"/>
      <c r="M82" s="54"/>
      <c r="N82" s="55"/>
      <c r="P82" s="58"/>
      <c r="Q82" s="59"/>
      <c r="R82" s="54"/>
      <c r="S82" s="55"/>
    </row>
    <row r="83" spans="1:19" x14ac:dyDescent="0.25">
      <c r="A83" s="58"/>
      <c r="B83" s="59"/>
      <c r="C83" s="54"/>
      <c r="D83" s="55"/>
      <c r="F83" s="58"/>
      <c r="G83" s="59"/>
      <c r="H83" s="54"/>
      <c r="I83" s="55"/>
      <c r="K83" s="58"/>
      <c r="L83" s="59"/>
      <c r="M83" s="54"/>
      <c r="N83" s="55"/>
      <c r="P83" s="58"/>
      <c r="Q83" s="59"/>
      <c r="R83" s="54"/>
      <c r="S83" s="55"/>
    </row>
    <row r="84" spans="1:19" x14ac:dyDescent="0.25">
      <c r="A84" s="58"/>
      <c r="B84" s="59"/>
      <c r="C84" s="54"/>
      <c r="D84" s="55"/>
      <c r="F84" s="58"/>
      <c r="G84" s="59"/>
      <c r="H84" s="54"/>
      <c r="I84" s="55"/>
      <c r="K84" s="58"/>
      <c r="L84" s="59"/>
      <c r="M84" s="54"/>
      <c r="N84" s="55"/>
      <c r="P84" s="58"/>
      <c r="Q84" s="59"/>
      <c r="R84" s="54"/>
      <c r="S84" s="55"/>
    </row>
    <row r="85" spans="1:19" x14ac:dyDescent="0.25">
      <c r="A85" s="58"/>
      <c r="B85" s="59"/>
      <c r="C85" s="54"/>
      <c r="D85" s="55"/>
      <c r="F85" s="58"/>
      <c r="G85" s="59"/>
      <c r="H85" s="54"/>
      <c r="I85" s="55"/>
      <c r="K85" s="58"/>
      <c r="L85" s="59"/>
      <c r="M85" s="54"/>
      <c r="N85" s="55"/>
      <c r="P85" s="58"/>
      <c r="Q85" s="59"/>
      <c r="R85" s="54"/>
      <c r="S85" s="55"/>
    </row>
    <row r="86" spans="1:19" x14ac:dyDescent="0.25">
      <c r="A86" s="58"/>
      <c r="B86" s="59"/>
      <c r="C86" s="54"/>
      <c r="D86" s="55"/>
      <c r="F86" s="58"/>
      <c r="G86" s="59"/>
      <c r="H86" s="54"/>
      <c r="I86" s="55"/>
      <c r="K86" s="58"/>
      <c r="L86" s="59"/>
      <c r="M86" s="54"/>
      <c r="N86" s="55"/>
      <c r="P86" s="58"/>
      <c r="Q86" s="59"/>
      <c r="R86" s="54"/>
      <c r="S86" s="55"/>
    </row>
    <row r="87" spans="1:19" x14ac:dyDescent="0.25">
      <c r="A87" s="58"/>
      <c r="B87" s="59"/>
      <c r="C87" s="54"/>
      <c r="D87" s="55"/>
      <c r="F87" s="58"/>
      <c r="G87" s="59"/>
      <c r="H87" s="54"/>
      <c r="I87" s="55"/>
      <c r="K87" s="58"/>
      <c r="L87" s="59"/>
      <c r="M87" s="54"/>
      <c r="N87" s="55"/>
      <c r="P87" s="58"/>
      <c r="Q87" s="59"/>
      <c r="R87" s="54"/>
      <c r="S87" s="55"/>
    </row>
    <row r="88" spans="1:19" x14ac:dyDescent="0.25">
      <c r="A88" s="58"/>
      <c r="B88" s="59"/>
      <c r="C88" s="54"/>
      <c r="D88" s="55"/>
      <c r="F88" s="58"/>
      <c r="G88" s="59"/>
      <c r="H88" s="54"/>
      <c r="I88" s="55"/>
      <c r="K88" s="58"/>
      <c r="L88" s="59"/>
      <c r="M88" s="54"/>
      <c r="N88" s="55"/>
      <c r="P88" s="58"/>
      <c r="Q88" s="59"/>
      <c r="R88" s="54"/>
      <c r="S88" s="55"/>
    </row>
    <row r="89" spans="1:19" x14ac:dyDescent="0.25">
      <c r="A89" s="58"/>
      <c r="B89" s="59"/>
      <c r="C89" s="54"/>
      <c r="D89" s="55"/>
      <c r="F89" s="58"/>
      <c r="G89" s="59"/>
      <c r="H89" s="54"/>
      <c r="I89" s="55"/>
      <c r="K89" s="58"/>
      <c r="L89" s="59"/>
      <c r="M89" s="54"/>
      <c r="N89" s="55"/>
      <c r="P89" s="58"/>
      <c r="Q89" s="59"/>
      <c r="R89" s="54"/>
      <c r="S89" s="55"/>
    </row>
    <row r="90" spans="1:19" x14ac:dyDescent="0.25">
      <c r="A90" s="58"/>
      <c r="B90" s="59"/>
      <c r="C90" s="54"/>
      <c r="D90" s="55"/>
      <c r="F90" s="58"/>
      <c r="G90" s="59"/>
      <c r="H90" s="54"/>
      <c r="I90" s="55"/>
      <c r="K90" s="58"/>
      <c r="L90" s="59"/>
      <c r="M90" s="54"/>
      <c r="N90" s="55"/>
      <c r="P90" s="58"/>
      <c r="Q90" s="59"/>
      <c r="R90" s="54"/>
      <c r="S90" s="55"/>
    </row>
    <row r="91" spans="1:19" x14ac:dyDescent="0.25">
      <c r="A91" s="58"/>
      <c r="B91" s="59"/>
      <c r="C91" s="54"/>
      <c r="D91" s="55"/>
      <c r="F91" s="58"/>
      <c r="G91" s="59"/>
      <c r="H91" s="54"/>
      <c r="I91" s="55"/>
      <c r="K91" s="58"/>
      <c r="L91" s="59"/>
      <c r="M91" s="54"/>
      <c r="N91" s="55"/>
      <c r="P91" s="58"/>
      <c r="Q91" s="59"/>
      <c r="R91" s="54"/>
      <c r="S91" s="55"/>
    </row>
    <row r="92" spans="1:19" x14ac:dyDescent="0.25">
      <c r="A92" s="58"/>
      <c r="B92" s="59"/>
      <c r="C92" s="54"/>
      <c r="D92" s="55"/>
      <c r="F92" s="58"/>
      <c r="G92" s="59"/>
      <c r="H92" s="54"/>
      <c r="I92" s="55"/>
      <c r="K92" s="58"/>
      <c r="L92" s="59"/>
      <c r="M92" s="54"/>
      <c r="N92" s="55"/>
      <c r="P92" s="58"/>
      <c r="Q92" s="59"/>
      <c r="R92" s="54"/>
      <c r="S92" s="55"/>
    </row>
    <row r="93" spans="1:19" x14ac:dyDescent="0.25">
      <c r="A93" s="58"/>
      <c r="B93" s="59"/>
      <c r="C93" s="54"/>
      <c r="D93" s="55"/>
      <c r="F93" s="58"/>
      <c r="G93" s="59"/>
      <c r="H93" s="54"/>
      <c r="I93" s="55"/>
      <c r="K93" s="58"/>
      <c r="L93" s="59"/>
      <c r="M93" s="54"/>
      <c r="N93" s="55"/>
      <c r="P93" s="58"/>
      <c r="Q93" s="59"/>
      <c r="R93" s="54"/>
      <c r="S93" s="55"/>
    </row>
    <row r="94" spans="1:19" x14ac:dyDescent="0.25">
      <c r="A94" s="58"/>
      <c r="B94" s="59"/>
      <c r="C94" s="54"/>
      <c r="D94" s="55"/>
      <c r="F94" s="58"/>
      <c r="G94" s="59"/>
      <c r="H94" s="54"/>
      <c r="I94" s="55"/>
      <c r="K94" s="58"/>
      <c r="L94" s="59"/>
      <c r="M94" s="54"/>
      <c r="N94" s="55"/>
      <c r="P94" s="58"/>
      <c r="Q94" s="59"/>
      <c r="R94" s="54"/>
      <c r="S94" s="55"/>
    </row>
    <row r="95" spans="1:19" x14ac:dyDescent="0.25">
      <c r="A95" s="58"/>
      <c r="B95" s="59"/>
      <c r="C95" s="54"/>
      <c r="D95" s="55"/>
      <c r="F95" s="58"/>
      <c r="G95" s="59"/>
      <c r="H95" s="54"/>
      <c r="I95" s="55"/>
      <c r="K95" s="58"/>
      <c r="L95" s="59"/>
      <c r="M95" s="54"/>
      <c r="N95" s="55"/>
      <c r="P95" s="58"/>
      <c r="Q95" s="59"/>
      <c r="R95" s="54"/>
      <c r="S95" s="55"/>
    </row>
    <row r="96" spans="1:19" x14ac:dyDescent="0.25">
      <c r="A96" s="58"/>
      <c r="B96" s="59"/>
      <c r="C96" s="54"/>
      <c r="D96" s="55"/>
      <c r="F96" s="58"/>
      <c r="G96" s="59"/>
      <c r="H96" s="54"/>
      <c r="I96" s="55"/>
      <c r="K96" s="58"/>
      <c r="L96" s="59"/>
      <c r="M96" s="54"/>
      <c r="N96" s="55"/>
      <c r="P96" s="58"/>
      <c r="Q96" s="59"/>
      <c r="R96" s="54"/>
      <c r="S96" s="55"/>
    </row>
    <row r="97" spans="1:19" x14ac:dyDescent="0.25">
      <c r="A97" s="58"/>
      <c r="B97" s="59"/>
      <c r="C97" s="54"/>
      <c r="D97" s="55"/>
      <c r="F97" s="58"/>
      <c r="G97" s="59"/>
      <c r="H97" s="54"/>
      <c r="I97" s="55"/>
      <c r="K97" s="58"/>
      <c r="L97" s="59"/>
      <c r="M97" s="54"/>
      <c r="N97" s="55"/>
      <c r="P97" s="58"/>
      <c r="Q97" s="59"/>
      <c r="R97" s="54"/>
      <c r="S97" s="55"/>
    </row>
    <row r="98" spans="1:19" x14ac:dyDescent="0.25">
      <c r="A98" s="58"/>
      <c r="B98" s="59"/>
      <c r="C98" s="54"/>
      <c r="D98" s="55"/>
      <c r="F98" s="58"/>
      <c r="G98" s="59"/>
      <c r="H98" s="54"/>
      <c r="I98" s="55"/>
      <c r="K98" s="58"/>
      <c r="L98" s="59"/>
      <c r="M98" s="54"/>
      <c r="N98" s="55"/>
      <c r="P98" s="58"/>
      <c r="Q98" s="59"/>
      <c r="R98" s="54"/>
      <c r="S98" s="55"/>
    </row>
    <row r="99" spans="1:19" x14ac:dyDescent="0.25">
      <c r="A99" s="58"/>
      <c r="B99" s="59"/>
      <c r="C99" s="54"/>
      <c r="D99" s="55"/>
      <c r="F99" s="58"/>
      <c r="G99" s="59"/>
      <c r="H99" s="54"/>
      <c r="I99" s="55"/>
      <c r="K99" s="58"/>
      <c r="L99" s="59"/>
      <c r="M99" s="54"/>
      <c r="N99" s="55"/>
      <c r="P99" s="58"/>
      <c r="Q99" s="59"/>
      <c r="R99" s="54"/>
      <c r="S99" s="55"/>
    </row>
    <row r="100" spans="1:19" x14ac:dyDescent="0.25">
      <c r="A100" s="58"/>
      <c r="B100" s="59"/>
      <c r="C100" s="54"/>
      <c r="D100" s="55"/>
      <c r="F100" s="58"/>
      <c r="G100" s="59"/>
      <c r="H100" s="54"/>
      <c r="I100" s="55"/>
      <c r="K100" s="58"/>
      <c r="L100" s="59"/>
      <c r="M100" s="54"/>
      <c r="N100" s="55"/>
      <c r="P100" s="58"/>
      <c r="Q100" s="59"/>
      <c r="R100" s="54"/>
      <c r="S100" s="55"/>
    </row>
    <row r="101" spans="1:19" x14ac:dyDescent="0.25">
      <c r="A101" s="58"/>
      <c r="B101" s="59"/>
      <c r="C101" s="54"/>
      <c r="D101" s="55"/>
      <c r="F101" s="58"/>
      <c r="G101" s="59"/>
      <c r="H101" s="54"/>
      <c r="I101" s="55"/>
      <c r="K101" s="58"/>
      <c r="L101" s="59"/>
      <c r="M101" s="54"/>
      <c r="N101" s="55"/>
      <c r="P101" s="58"/>
      <c r="Q101" s="59"/>
      <c r="R101" s="54"/>
      <c r="S101" s="55"/>
    </row>
    <row r="102" spans="1:19" x14ac:dyDescent="0.25">
      <c r="A102" s="58"/>
      <c r="B102" s="59"/>
      <c r="C102" s="54"/>
      <c r="D102" s="55"/>
      <c r="F102" s="58"/>
      <c r="G102" s="59"/>
      <c r="H102" s="54"/>
      <c r="I102" s="55"/>
      <c r="K102" s="58"/>
      <c r="L102" s="59"/>
      <c r="M102" s="54"/>
      <c r="N102" s="55"/>
      <c r="P102" s="58"/>
      <c r="Q102" s="59"/>
      <c r="R102" s="54"/>
      <c r="S102" s="55"/>
    </row>
    <row r="103" spans="1:19" x14ac:dyDescent="0.25">
      <c r="A103" s="58"/>
      <c r="B103" s="59"/>
      <c r="C103" s="54"/>
      <c r="D103" s="55"/>
      <c r="F103" s="58"/>
      <c r="G103" s="59"/>
      <c r="H103" s="54"/>
      <c r="I103" s="55"/>
      <c r="K103" s="58"/>
      <c r="L103" s="59"/>
      <c r="M103" s="54"/>
      <c r="N103" s="55"/>
      <c r="P103" s="58"/>
      <c r="Q103" s="59"/>
      <c r="R103" s="54"/>
      <c r="S103" s="55"/>
    </row>
    <row r="104" spans="1:19" x14ac:dyDescent="0.25">
      <c r="A104" s="58"/>
      <c r="B104" s="59"/>
      <c r="C104" s="54"/>
      <c r="D104" s="55"/>
      <c r="F104" s="58"/>
      <c r="G104" s="59"/>
      <c r="H104" s="54"/>
      <c r="I104" s="55"/>
      <c r="K104" s="58"/>
      <c r="L104" s="59"/>
      <c r="M104" s="54"/>
      <c r="N104" s="55"/>
      <c r="P104" s="58"/>
      <c r="Q104" s="59"/>
      <c r="R104" s="54"/>
      <c r="S104" s="55"/>
    </row>
    <row r="105" spans="1:19" x14ac:dyDescent="0.25">
      <c r="A105" s="58"/>
      <c r="B105" s="59"/>
      <c r="C105" s="54"/>
      <c r="D105" s="55"/>
      <c r="F105" s="58"/>
      <c r="G105" s="59"/>
      <c r="H105" s="54"/>
      <c r="I105" s="55"/>
      <c r="K105" s="58"/>
      <c r="L105" s="59"/>
      <c r="M105" s="54"/>
      <c r="N105" s="55"/>
      <c r="P105" s="58"/>
      <c r="Q105" s="59"/>
      <c r="R105" s="54"/>
      <c r="S105" s="55"/>
    </row>
    <row r="106" spans="1:19" x14ac:dyDescent="0.25">
      <c r="A106" s="58"/>
      <c r="B106" s="59"/>
      <c r="C106" s="54"/>
      <c r="D106" s="55"/>
      <c r="F106" s="58"/>
      <c r="G106" s="59"/>
      <c r="H106" s="54"/>
      <c r="I106" s="55"/>
      <c r="K106" s="58"/>
      <c r="L106" s="59"/>
      <c r="M106" s="54"/>
      <c r="N106" s="55"/>
      <c r="P106" s="58"/>
      <c r="Q106" s="59"/>
      <c r="R106" s="54"/>
      <c r="S106" s="55"/>
    </row>
    <row r="107" spans="1:19" x14ac:dyDescent="0.25">
      <c r="A107" s="58"/>
      <c r="B107" s="59"/>
      <c r="C107" s="54"/>
      <c r="D107" s="55"/>
      <c r="F107" s="58"/>
      <c r="G107" s="59"/>
      <c r="H107" s="54"/>
      <c r="I107" s="55"/>
      <c r="K107" s="58"/>
      <c r="L107" s="59"/>
      <c r="M107" s="54"/>
      <c r="N107" s="55"/>
      <c r="P107" s="58"/>
      <c r="Q107" s="59"/>
      <c r="R107" s="54"/>
      <c r="S107" s="55"/>
    </row>
    <row r="108" spans="1:19" x14ac:dyDescent="0.25">
      <c r="A108" s="58"/>
      <c r="B108" s="59"/>
      <c r="C108" s="54"/>
      <c r="D108" s="55"/>
      <c r="F108" s="58"/>
      <c r="G108" s="59"/>
      <c r="H108" s="54"/>
      <c r="I108" s="55"/>
      <c r="K108" s="58"/>
      <c r="L108" s="59"/>
      <c r="M108" s="54"/>
      <c r="N108" s="55"/>
      <c r="P108" s="58"/>
      <c r="Q108" s="59"/>
      <c r="R108" s="54"/>
      <c r="S108" s="55"/>
    </row>
    <row r="109" spans="1:19" x14ac:dyDescent="0.25">
      <c r="A109" s="58"/>
      <c r="B109" s="59"/>
      <c r="C109" s="54"/>
      <c r="D109" s="55"/>
      <c r="F109" s="58"/>
      <c r="G109" s="59"/>
      <c r="H109" s="54"/>
      <c r="I109" s="55"/>
      <c r="K109" s="58"/>
      <c r="L109" s="59"/>
      <c r="M109" s="54"/>
      <c r="N109" s="55"/>
      <c r="P109" s="58"/>
      <c r="Q109" s="59"/>
      <c r="R109" s="54"/>
      <c r="S109" s="55"/>
    </row>
    <row r="110" spans="1:19" x14ac:dyDescent="0.25">
      <c r="A110" s="58"/>
      <c r="B110" s="59"/>
      <c r="C110" s="54"/>
      <c r="D110" s="55"/>
      <c r="F110" s="58"/>
      <c r="G110" s="59"/>
      <c r="H110" s="54"/>
      <c r="I110" s="55"/>
      <c r="K110" s="58"/>
      <c r="L110" s="59"/>
      <c r="M110" s="54"/>
      <c r="N110" s="55"/>
      <c r="P110" s="58"/>
      <c r="Q110" s="59"/>
      <c r="R110" s="54"/>
      <c r="S110" s="55"/>
    </row>
    <row r="111" spans="1:19" x14ac:dyDescent="0.25">
      <c r="A111" s="58"/>
      <c r="B111" s="59"/>
      <c r="C111" s="54"/>
      <c r="D111" s="55"/>
      <c r="F111" s="58"/>
      <c r="G111" s="59"/>
      <c r="H111" s="54"/>
      <c r="I111" s="55"/>
      <c r="K111" s="58"/>
      <c r="L111" s="59"/>
      <c r="M111" s="54"/>
      <c r="N111" s="55"/>
      <c r="P111" s="58"/>
      <c r="Q111" s="59"/>
      <c r="R111" s="54"/>
      <c r="S111" s="55"/>
    </row>
    <row r="112" spans="1:19" x14ac:dyDescent="0.25">
      <c r="A112" s="58"/>
      <c r="B112" s="59"/>
      <c r="C112" s="54"/>
      <c r="D112" s="55"/>
      <c r="F112" s="58"/>
      <c r="G112" s="59"/>
      <c r="H112" s="54"/>
      <c r="I112" s="55"/>
      <c r="K112" s="58"/>
      <c r="L112" s="59"/>
      <c r="M112" s="54"/>
      <c r="N112" s="55"/>
      <c r="P112" s="58"/>
      <c r="Q112" s="59"/>
      <c r="R112" s="54"/>
      <c r="S112" s="55"/>
    </row>
    <row r="113" spans="1:19" x14ac:dyDescent="0.25">
      <c r="A113" s="58"/>
      <c r="B113" s="59"/>
      <c r="C113" s="54"/>
      <c r="D113" s="55"/>
      <c r="F113" s="58"/>
      <c r="G113" s="59"/>
      <c r="H113" s="54"/>
      <c r="I113" s="55"/>
      <c r="K113" s="58"/>
      <c r="L113" s="59"/>
      <c r="M113" s="54"/>
      <c r="N113" s="55"/>
      <c r="P113" s="58"/>
      <c r="Q113" s="59"/>
      <c r="R113" s="54"/>
      <c r="S113" s="55"/>
    </row>
    <row r="114" spans="1:19" x14ac:dyDescent="0.25">
      <c r="A114" s="58"/>
      <c r="B114" s="59"/>
      <c r="C114" s="54"/>
      <c r="D114" s="55"/>
      <c r="F114" s="58"/>
      <c r="G114" s="59"/>
      <c r="H114" s="54"/>
      <c r="I114" s="55"/>
      <c r="K114" s="58"/>
      <c r="L114" s="59"/>
      <c r="M114" s="54"/>
      <c r="N114" s="55"/>
      <c r="P114" s="58"/>
      <c r="Q114" s="59"/>
      <c r="R114" s="54"/>
      <c r="S114" s="55"/>
    </row>
    <row r="115" spans="1:19" x14ac:dyDescent="0.25">
      <c r="A115" s="58"/>
      <c r="B115" s="59"/>
      <c r="C115" s="54"/>
      <c r="D115" s="55"/>
      <c r="F115" s="58"/>
      <c r="G115" s="59"/>
      <c r="H115" s="54"/>
      <c r="I115" s="55"/>
      <c r="K115" s="58"/>
      <c r="L115" s="59"/>
      <c r="M115" s="54"/>
      <c r="N115" s="55"/>
      <c r="P115" s="58"/>
      <c r="Q115" s="59"/>
      <c r="R115" s="54"/>
      <c r="S115" s="55"/>
    </row>
    <row r="116" spans="1:19" x14ac:dyDescent="0.25">
      <c r="A116" s="58"/>
      <c r="B116" s="59"/>
      <c r="C116" s="54"/>
      <c r="D116" s="55"/>
      <c r="F116" s="58"/>
      <c r="G116" s="59"/>
      <c r="H116" s="54"/>
      <c r="I116" s="55"/>
      <c r="K116" s="58"/>
      <c r="L116" s="59"/>
      <c r="M116" s="54"/>
      <c r="N116" s="55"/>
      <c r="P116" s="58"/>
      <c r="Q116" s="59"/>
      <c r="R116" s="54"/>
      <c r="S116" s="55"/>
    </row>
    <row r="117" spans="1:19" x14ac:dyDescent="0.25">
      <c r="A117" s="58"/>
      <c r="B117" s="59"/>
      <c r="C117" s="54"/>
      <c r="D117" s="55"/>
      <c r="F117" s="58"/>
      <c r="G117" s="59"/>
      <c r="H117" s="54"/>
      <c r="I117" s="55"/>
      <c r="K117" s="58"/>
      <c r="L117" s="59"/>
      <c r="M117" s="54"/>
      <c r="N117" s="55"/>
      <c r="P117" s="58"/>
      <c r="Q117" s="59"/>
      <c r="R117" s="54"/>
      <c r="S117" s="55"/>
    </row>
    <row r="118" spans="1:19" ht="15.75" thickBot="1" x14ac:dyDescent="0.3">
      <c r="A118" s="60"/>
      <c r="B118" s="61"/>
      <c r="C118" s="56"/>
      <c r="D118" s="57"/>
      <c r="F118" s="60"/>
      <c r="G118" s="61"/>
      <c r="H118" s="56"/>
      <c r="I118" s="57"/>
      <c r="K118" s="58"/>
      <c r="L118" s="59"/>
      <c r="M118" s="54"/>
      <c r="N118" s="55"/>
      <c r="P118" s="58"/>
      <c r="Q118" s="59"/>
      <c r="R118" s="54"/>
      <c r="S118" s="55"/>
    </row>
    <row r="119" spans="1:19" x14ac:dyDescent="0.25">
      <c r="K119" s="58"/>
      <c r="L119" s="59"/>
      <c r="M119" s="54"/>
      <c r="N119" s="55"/>
      <c r="P119" s="58"/>
      <c r="Q119" s="59"/>
      <c r="R119" s="54"/>
      <c r="S119" s="55"/>
    </row>
    <row r="120" spans="1:19" x14ac:dyDescent="0.25">
      <c r="K120" s="58"/>
      <c r="L120" s="59"/>
      <c r="M120" s="54"/>
      <c r="N120" s="55"/>
      <c r="P120" s="58"/>
      <c r="Q120" s="59"/>
      <c r="R120" s="54"/>
      <c r="S120" s="55"/>
    </row>
    <row r="121" spans="1:19" x14ac:dyDescent="0.25">
      <c r="K121" s="58"/>
      <c r="L121" s="59"/>
      <c r="M121" s="54"/>
      <c r="N121" s="55"/>
      <c r="P121" s="58"/>
      <c r="Q121" s="59"/>
      <c r="R121" s="54"/>
      <c r="S121" s="55"/>
    </row>
    <row r="122" spans="1:19" x14ac:dyDescent="0.25">
      <c r="K122" s="58"/>
      <c r="L122" s="59"/>
      <c r="M122" s="54"/>
      <c r="N122" s="55"/>
      <c r="P122" s="58"/>
      <c r="Q122" s="59"/>
      <c r="R122" s="54"/>
      <c r="S122" s="55"/>
    </row>
    <row r="123" spans="1:19" x14ac:dyDescent="0.25">
      <c r="K123" s="58"/>
      <c r="L123" s="59"/>
      <c r="M123" s="54"/>
      <c r="N123" s="55"/>
      <c r="P123" s="58"/>
      <c r="Q123" s="59"/>
      <c r="R123" s="54"/>
      <c r="S123" s="55"/>
    </row>
    <row r="124" spans="1:19" x14ac:dyDescent="0.25">
      <c r="K124" s="58"/>
      <c r="L124" s="59"/>
      <c r="M124" s="54"/>
      <c r="N124" s="55"/>
      <c r="P124" s="58"/>
      <c r="Q124" s="59"/>
      <c r="R124" s="54"/>
      <c r="S124" s="55"/>
    </row>
    <row r="125" spans="1:19" x14ac:dyDescent="0.25">
      <c r="K125" s="58"/>
      <c r="L125" s="59"/>
      <c r="M125" s="54"/>
      <c r="N125" s="55"/>
      <c r="P125" s="58"/>
      <c r="Q125" s="59"/>
      <c r="R125" s="54"/>
      <c r="S125" s="55"/>
    </row>
    <row r="126" spans="1:19" x14ac:dyDescent="0.25">
      <c r="K126" s="58"/>
      <c r="L126" s="59"/>
      <c r="M126" s="54"/>
      <c r="N126" s="55"/>
      <c r="P126" s="58"/>
      <c r="Q126" s="59"/>
      <c r="R126" s="54"/>
      <c r="S126" s="55"/>
    </row>
    <row r="127" spans="1:19" x14ac:dyDescent="0.25">
      <c r="K127" s="58"/>
      <c r="L127" s="59"/>
      <c r="M127" s="54"/>
      <c r="N127" s="55"/>
      <c r="P127" s="58"/>
      <c r="Q127" s="59"/>
      <c r="R127" s="54"/>
      <c r="S127" s="55"/>
    </row>
    <row r="128" spans="1:19" x14ac:dyDescent="0.25">
      <c r="K128" s="58"/>
      <c r="L128" s="59"/>
      <c r="M128" s="54"/>
      <c r="N128" s="55"/>
      <c r="P128" s="58"/>
      <c r="Q128" s="59"/>
      <c r="R128" s="54"/>
      <c r="S128" s="55"/>
    </row>
    <row r="129" spans="11:19" x14ac:dyDescent="0.25">
      <c r="K129" s="58"/>
      <c r="L129" s="59"/>
      <c r="M129" s="54"/>
      <c r="N129" s="55"/>
      <c r="P129" s="58"/>
      <c r="Q129" s="59"/>
      <c r="R129" s="54"/>
      <c r="S129" s="55"/>
    </row>
    <row r="130" spans="11:19" x14ac:dyDescent="0.25">
      <c r="K130" s="58"/>
      <c r="L130" s="59"/>
      <c r="M130" s="54"/>
      <c r="N130" s="55"/>
      <c r="P130" s="58"/>
      <c r="Q130" s="59"/>
      <c r="R130" s="54"/>
      <c r="S130" s="55"/>
    </row>
    <row r="131" spans="11:19" x14ac:dyDescent="0.25">
      <c r="K131" s="58"/>
      <c r="L131" s="59"/>
      <c r="M131" s="54"/>
      <c r="N131" s="55"/>
      <c r="P131" s="58"/>
      <c r="Q131" s="59"/>
      <c r="R131" s="54"/>
      <c r="S131" s="55"/>
    </row>
    <row r="132" spans="11:19" x14ac:dyDescent="0.25">
      <c r="K132" s="58"/>
      <c r="L132" s="59"/>
      <c r="M132" s="54"/>
      <c r="N132" s="55"/>
      <c r="P132" s="58"/>
      <c r="Q132" s="59"/>
      <c r="R132" s="54"/>
      <c r="S132" s="55"/>
    </row>
    <row r="133" spans="11:19" x14ac:dyDescent="0.25">
      <c r="K133" s="58"/>
      <c r="L133" s="59"/>
      <c r="M133" s="54"/>
      <c r="N133" s="55"/>
      <c r="P133" s="58"/>
      <c r="Q133" s="59"/>
      <c r="R133" s="54"/>
      <c r="S133" s="55"/>
    </row>
    <row r="134" spans="11:19" x14ac:dyDescent="0.25">
      <c r="K134" s="58"/>
      <c r="L134" s="59"/>
      <c r="M134" s="54"/>
      <c r="N134" s="55"/>
      <c r="P134" s="58"/>
      <c r="Q134" s="59"/>
      <c r="R134" s="54"/>
      <c r="S134" s="55"/>
    </row>
    <row r="135" spans="11:19" x14ac:dyDescent="0.25">
      <c r="K135" s="58"/>
      <c r="L135" s="59"/>
      <c r="M135" s="54"/>
      <c r="N135" s="55"/>
      <c r="P135" s="58"/>
      <c r="Q135" s="59"/>
      <c r="R135" s="54"/>
      <c r="S135" s="55"/>
    </row>
    <row r="136" spans="11:19" x14ac:dyDescent="0.25">
      <c r="K136" s="58"/>
      <c r="L136" s="59"/>
      <c r="M136" s="54"/>
      <c r="N136" s="55"/>
      <c r="P136" s="58"/>
      <c r="Q136" s="59"/>
      <c r="R136" s="54"/>
      <c r="S136" s="55"/>
    </row>
    <row r="137" spans="11:19" x14ac:dyDescent="0.25">
      <c r="K137" s="58"/>
      <c r="L137" s="59"/>
      <c r="M137" s="54"/>
      <c r="N137" s="55"/>
      <c r="P137" s="58"/>
      <c r="Q137" s="59"/>
      <c r="R137" s="54"/>
      <c r="S137" s="55"/>
    </row>
    <row r="138" spans="11:19" x14ac:dyDescent="0.25">
      <c r="K138" s="58"/>
      <c r="L138" s="59"/>
      <c r="M138" s="54"/>
      <c r="N138" s="55"/>
      <c r="P138" s="58"/>
      <c r="Q138" s="59"/>
      <c r="R138" s="54"/>
      <c r="S138" s="55"/>
    </row>
    <row r="139" spans="11:19" x14ac:dyDescent="0.25">
      <c r="K139" s="58"/>
      <c r="L139" s="59"/>
      <c r="M139" s="54"/>
      <c r="N139" s="55"/>
      <c r="P139" s="58"/>
      <c r="Q139" s="59"/>
      <c r="R139" s="54"/>
      <c r="S139" s="55"/>
    </row>
    <row r="140" spans="11:19" x14ac:dyDescent="0.25">
      <c r="K140" s="58"/>
      <c r="L140" s="59"/>
      <c r="M140" s="54"/>
      <c r="N140" s="55"/>
      <c r="P140" s="58"/>
      <c r="Q140" s="59"/>
      <c r="R140" s="54"/>
      <c r="S140" s="55"/>
    </row>
    <row r="141" spans="11:19" x14ac:dyDescent="0.25">
      <c r="K141" s="58"/>
      <c r="L141" s="59"/>
      <c r="M141" s="54"/>
      <c r="N141" s="55"/>
      <c r="P141" s="58"/>
      <c r="Q141" s="59"/>
      <c r="R141" s="54"/>
      <c r="S141" s="55"/>
    </row>
    <row r="142" spans="11:19" x14ac:dyDescent="0.25">
      <c r="K142" s="58"/>
      <c r="L142" s="59"/>
      <c r="M142" s="54"/>
      <c r="N142" s="55"/>
      <c r="P142" s="58"/>
      <c r="Q142" s="59"/>
      <c r="R142" s="54"/>
      <c r="S142" s="55"/>
    </row>
    <row r="143" spans="11:19" x14ac:dyDescent="0.25">
      <c r="K143" s="58"/>
      <c r="L143" s="59"/>
      <c r="M143" s="54"/>
      <c r="N143" s="55"/>
      <c r="P143" s="58"/>
      <c r="Q143" s="59"/>
      <c r="R143" s="54"/>
      <c r="S143" s="55"/>
    </row>
    <row r="144" spans="11:19" x14ac:dyDescent="0.25">
      <c r="K144" s="58"/>
      <c r="L144" s="59"/>
      <c r="M144" s="54"/>
      <c r="N144" s="55"/>
      <c r="P144" s="58"/>
      <c r="Q144" s="59"/>
      <c r="R144" s="54"/>
      <c r="S144" s="55"/>
    </row>
    <row r="145" spans="11:19" x14ac:dyDescent="0.25">
      <c r="K145" s="58"/>
      <c r="L145" s="59"/>
      <c r="M145" s="54"/>
      <c r="N145" s="55"/>
      <c r="P145" s="58"/>
      <c r="Q145" s="59"/>
      <c r="R145" s="54"/>
      <c r="S145" s="55"/>
    </row>
    <row r="146" spans="11:19" x14ac:dyDescent="0.25">
      <c r="K146" s="58"/>
      <c r="L146" s="59"/>
      <c r="M146" s="54"/>
      <c r="N146" s="55"/>
      <c r="P146" s="58"/>
      <c r="Q146" s="59"/>
      <c r="R146" s="54"/>
      <c r="S146" s="55"/>
    </row>
    <row r="147" spans="11:19" x14ac:dyDescent="0.25">
      <c r="K147" s="58"/>
      <c r="L147" s="59"/>
      <c r="M147" s="54"/>
      <c r="N147" s="55"/>
      <c r="P147" s="58"/>
      <c r="Q147" s="59"/>
      <c r="R147" s="54"/>
      <c r="S147" s="55"/>
    </row>
    <row r="148" spans="11:19" x14ac:dyDescent="0.25">
      <c r="K148" s="58"/>
      <c r="L148" s="59"/>
      <c r="M148" s="54"/>
      <c r="N148" s="55"/>
      <c r="P148" s="58"/>
      <c r="Q148" s="59"/>
      <c r="R148" s="54"/>
      <c r="S148" s="55"/>
    </row>
    <row r="149" spans="11:19" x14ac:dyDescent="0.25">
      <c r="K149" s="58"/>
      <c r="L149" s="59"/>
      <c r="M149" s="54"/>
      <c r="N149" s="55"/>
      <c r="P149" s="58"/>
      <c r="Q149" s="59"/>
      <c r="R149" s="54"/>
      <c r="S149" s="55"/>
    </row>
    <row r="150" spans="11:19" x14ac:dyDescent="0.25">
      <c r="K150" s="58"/>
      <c r="L150" s="59"/>
      <c r="M150" s="54"/>
      <c r="N150" s="55"/>
      <c r="P150" s="58"/>
      <c r="Q150" s="59"/>
      <c r="R150" s="54"/>
      <c r="S150" s="55"/>
    </row>
    <row r="151" spans="11:19" x14ac:dyDescent="0.25">
      <c r="K151" s="58"/>
      <c r="L151" s="59"/>
      <c r="M151" s="54"/>
      <c r="N151" s="55"/>
      <c r="P151" s="58"/>
      <c r="Q151" s="59"/>
      <c r="R151" s="54"/>
      <c r="S151" s="55"/>
    </row>
    <row r="152" spans="11:19" x14ac:dyDescent="0.25">
      <c r="K152" s="58"/>
      <c r="L152" s="59"/>
      <c r="M152" s="54"/>
      <c r="N152" s="55"/>
      <c r="P152" s="58"/>
      <c r="Q152" s="59"/>
      <c r="R152" s="54"/>
      <c r="S152" s="55"/>
    </row>
    <row r="153" spans="11:19" x14ac:dyDescent="0.25">
      <c r="K153" s="58"/>
      <c r="L153" s="59"/>
      <c r="M153" s="54"/>
      <c r="N153" s="55"/>
      <c r="P153" s="58"/>
      <c r="Q153" s="59"/>
      <c r="R153" s="54"/>
      <c r="S153" s="55"/>
    </row>
    <row r="154" spans="11:19" x14ac:dyDescent="0.25">
      <c r="K154" s="58"/>
      <c r="L154" s="59"/>
      <c r="M154" s="54"/>
      <c r="N154" s="55"/>
      <c r="P154" s="58"/>
      <c r="Q154" s="59"/>
      <c r="R154" s="54"/>
      <c r="S154" s="55"/>
    </row>
    <row r="155" spans="11:19" x14ac:dyDescent="0.25">
      <c r="K155" s="58"/>
      <c r="L155" s="59"/>
      <c r="M155" s="54"/>
      <c r="N155" s="55"/>
      <c r="P155" s="58"/>
      <c r="Q155" s="59"/>
      <c r="R155" s="54"/>
      <c r="S155" s="55"/>
    </row>
    <row r="156" spans="11:19" x14ac:dyDescent="0.25">
      <c r="K156" s="58"/>
      <c r="L156" s="59"/>
      <c r="M156" s="54"/>
      <c r="N156" s="55"/>
      <c r="P156" s="58"/>
      <c r="Q156" s="59"/>
      <c r="R156" s="54"/>
      <c r="S156" s="55"/>
    </row>
    <row r="157" spans="11:19" x14ac:dyDescent="0.25">
      <c r="K157" s="58"/>
      <c r="L157" s="59"/>
      <c r="M157" s="54"/>
      <c r="N157" s="55"/>
      <c r="P157" s="58"/>
      <c r="Q157" s="59"/>
      <c r="R157" s="54"/>
      <c r="S157" s="55"/>
    </row>
    <row r="158" spans="11:19" x14ac:dyDescent="0.25">
      <c r="K158" s="58"/>
      <c r="L158" s="59"/>
      <c r="M158" s="54"/>
      <c r="N158" s="55"/>
      <c r="P158" s="58"/>
      <c r="Q158" s="59"/>
      <c r="R158" s="54"/>
      <c r="S158" s="55"/>
    </row>
    <row r="159" spans="11:19" x14ac:dyDescent="0.25">
      <c r="K159" s="58"/>
      <c r="L159" s="59"/>
      <c r="M159" s="54"/>
      <c r="N159" s="55"/>
      <c r="P159" s="58"/>
      <c r="Q159" s="59"/>
      <c r="R159" s="54"/>
      <c r="S159" s="55"/>
    </row>
    <row r="160" spans="11:19" x14ac:dyDescent="0.25">
      <c r="K160" s="58"/>
      <c r="L160" s="59"/>
      <c r="M160" s="54"/>
      <c r="N160" s="55"/>
      <c r="P160" s="58"/>
      <c r="Q160" s="59"/>
      <c r="R160" s="54"/>
      <c r="S160" s="55"/>
    </row>
    <row r="161" spans="11:19" x14ac:dyDescent="0.25">
      <c r="K161" s="58"/>
      <c r="L161" s="59"/>
      <c r="M161" s="54"/>
      <c r="N161" s="55"/>
      <c r="P161" s="58"/>
      <c r="Q161" s="59"/>
      <c r="R161" s="54"/>
      <c r="S161" s="55"/>
    </row>
    <row r="162" spans="11:19" x14ac:dyDescent="0.25">
      <c r="K162" s="58"/>
      <c r="L162" s="59"/>
      <c r="M162" s="54"/>
      <c r="N162" s="55"/>
      <c r="P162" s="58"/>
      <c r="Q162" s="59"/>
      <c r="R162" s="54"/>
      <c r="S162" s="55"/>
    </row>
    <row r="163" spans="11:19" x14ac:dyDescent="0.25">
      <c r="K163" s="58"/>
      <c r="L163" s="59"/>
      <c r="M163" s="54"/>
      <c r="N163" s="55"/>
      <c r="P163" s="58"/>
      <c r="Q163" s="59"/>
      <c r="R163" s="54"/>
      <c r="S163" s="55"/>
    </row>
    <row r="164" spans="11:19" x14ac:dyDescent="0.25">
      <c r="K164" s="58"/>
      <c r="L164" s="59"/>
      <c r="M164" s="54"/>
      <c r="N164" s="55"/>
      <c r="P164" s="58"/>
      <c r="Q164" s="59"/>
      <c r="R164" s="54"/>
      <c r="S164" s="55"/>
    </row>
    <row r="165" spans="11:19" x14ac:dyDescent="0.25">
      <c r="K165" s="58"/>
      <c r="L165" s="59"/>
      <c r="M165" s="54"/>
      <c r="N165" s="55"/>
      <c r="P165" s="58"/>
      <c r="Q165" s="59"/>
      <c r="R165" s="54"/>
      <c r="S165" s="55"/>
    </row>
    <row r="166" spans="11:19" x14ac:dyDescent="0.25">
      <c r="K166" s="58"/>
      <c r="L166" s="59"/>
      <c r="M166" s="54"/>
      <c r="N166" s="55"/>
      <c r="P166" s="58"/>
      <c r="Q166" s="59"/>
      <c r="R166" s="54"/>
      <c r="S166" s="55"/>
    </row>
    <row r="167" spans="11:19" x14ac:dyDescent="0.25">
      <c r="K167" s="58"/>
      <c r="L167" s="59"/>
      <c r="M167" s="54"/>
      <c r="N167" s="55"/>
      <c r="P167" s="58"/>
      <c r="Q167" s="59"/>
      <c r="R167" s="54"/>
      <c r="S167" s="55"/>
    </row>
    <row r="168" spans="11:19" x14ac:dyDescent="0.25">
      <c r="K168" s="58"/>
      <c r="L168" s="59"/>
      <c r="M168" s="54"/>
      <c r="N168" s="55"/>
      <c r="P168" s="58"/>
      <c r="Q168" s="59"/>
      <c r="R168" s="54"/>
      <c r="S168" s="55"/>
    </row>
    <row r="169" spans="11:19" x14ac:dyDescent="0.25">
      <c r="K169" s="58"/>
      <c r="L169" s="59"/>
      <c r="M169" s="54"/>
      <c r="N169" s="55"/>
      <c r="P169" s="58"/>
      <c r="Q169" s="59"/>
      <c r="R169" s="54"/>
      <c r="S169" s="55"/>
    </row>
    <row r="170" spans="11:19" x14ac:dyDescent="0.25">
      <c r="K170" s="58"/>
      <c r="L170" s="59"/>
      <c r="M170" s="54"/>
      <c r="N170" s="55"/>
      <c r="P170" s="58"/>
      <c r="Q170" s="59"/>
      <c r="R170" s="54"/>
      <c r="S170" s="55"/>
    </row>
    <row r="171" spans="11:19" x14ac:dyDescent="0.25">
      <c r="K171" s="58"/>
      <c r="L171" s="59"/>
      <c r="M171" s="54"/>
      <c r="N171" s="55"/>
      <c r="P171" s="58"/>
      <c r="Q171" s="59"/>
      <c r="R171" s="54"/>
      <c r="S171" s="55"/>
    </row>
    <row r="172" spans="11:19" x14ac:dyDescent="0.25">
      <c r="K172" s="58"/>
      <c r="L172" s="59"/>
      <c r="M172" s="54"/>
      <c r="N172" s="55"/>
      <c r="P172" s="58"/>
      <c r="Q172" s="59"/>
      <c r="R172" s="54"/>
      <c r="S172" s="55"/>
    </row>
    <row r="173" spans="11:19" x14ac:dyDescent="0.25">
      <c r="K173" s="58"/>
      <c r="L173" s="59"/>
      <c r="M173" s="54"/>
      <c r="N173" s="55"/>
      <c r="P173" s="58"/>
      <c r="Q173" s="59"/>
      <c r="R173" s="54"/>
      <c r="S173" s="55"/>
    </row>
    <row r="174" spans="11:19" x14ac:dyDescent="0.25">
      <c r="K174" s="58"/>
      <c r="L174" s="59"/>
      <c r="M174" s="54"/>
      <c r="N174" s="55"/>
      <c r="P174" s="58"/>
      <c r="Q174" s="59"/>
      <c r="R174" s="54"/>
      <c r="S174" s="55"/>
    </row>
    <row r="175" spans="11:19" x14ac:dyDescent="0.25">
      <c r="K175" s="58"/>
      <c r="L175" s="59"/>
      <c r="M175" s="54"/>
      <c r="N175" s="55"/>
      <c r="P175" s="58"/>
      <c r="Q175" s="59"/>
      <c r="R175" s="54"/>
      <c r="S175" s="55"/>
    </row>
    <row r="176" spans="11:19" x14ac:dyDescent="0.25">
      <c r="K176" s="58"/>
      <c r="L176" s="59"/>
      <c r="M176" s="54"/>
      <c r="N176" s="55"/>
      <c r="P176" s="58"/>
      <c r="Q176" s="59"/>
      <c r="R176" s="54"/>
      <c r="S176" s="55"/>
    </row>
    <row r="177" spans="11:19" x14ac:dyDescent="0.25">
      <c r="K177" s="58"/>
      <c r="L177" s="59"/>
      <c r="M177" s="54"/>
      <c r="N177" s="55"/>
      <c r="P177" s="58"/>
      <c r="Q177" s="59"/>
      <c r="R177" s="54"/>
      <c r="S177" s="55"/>
    </row>
    <row r="178" spans="11:19" x14ac:dyDescent="0.25">
      <c r="K178" s="58"/>
      <c r="L178" s="59"/>
      <c r="M178" s="54"/>
      <c r="N178" s="55"/>
      <c r="P178" s="58"/>
      <c r="Q178" s="59"/>
      <c r="R178" s="54"/>
      <c r="S178" s="55"/>
    </row>
    <row r="179" spans="11:19" x14ac:dyDescent="0.25">
      <c r="K179" s="58"/>
      <c r="L179" s="59"/>
      <c r="M179" s="54"/>
      <c r="N179" s="55"/>
      <c r="P179" s="58"/>
      <c r="Q179" s="59"/>
      <c r="R179" s="54"/>
      <c r="S179" s="55"/>
    </row>
    <row r="180" spans="11:19" x14ac:dyDescent="0.25">
      <c r="K180" s="58"/>
      <c r="L180" s="59"/>
      <c r="M180" s="54"/>
      <c r="N180" s="55"/>
      <c r="P180" s="58"/>
      <c r="Q180" s="59"/>
      <c r="R180" s="54"/>
      <c r="S180" s="55"/>
    </row>
    <row r="181" spans="11:19" x14ac:dyDescent="0.25">
      <c r="K181" s="58"/>
      <c r="L181" s="59"/>
      <c r="M181" s="54"/>
      <c r="N181" s="55"/>
      <c r="P181" s="58"/>
      <c r="Q181" s="59"/>
      <c r="R181" s="54"/>
      <c r="S181" s="55"/>
    </row>
    <row r="182" spans="11:19" x14ac:dyDescent="0.25">
      <c r="K182" s="58"/>
      <c r="L182" s="59"/>
      <c r="M182" s="54"/>
      <c r="N182" s="55"/>
      <c r="P182" s="58"/>
      <c r="Q182" s="59"/>
      <c r="R182" s="54"/>
      <c r="S182" s="55"/>
    </row>
    <row r="183" spans="11:19" x14ac:dyDescent="0.25">
      <c r="K183" s="58"/>
      <c r="L183" s="59"/>
      <c r="M183" s="54"/>
      <c r="N183" s="55"/>
      <c r="P183" s="58"/>
      <c r="Q183" s="59"/>
      <c r="R183" s="54"/>
      <c r="S183" s="55"/>
    </row>
    <row r="184" spans="11:19" x14ac:dyDescent="0.25">
      <c r="K184" s="58"/>
      <c r="L184" s="59"/>
      <c r="M184" s="54"/>
      <c r="N184" s="55"/>
      <c r="P184" s="58"/>
      <c r="Q184" s="59"/>
      <c r="R184" s="54"/>
      <c r="S184" s="55"/>
    </row>
    <row r="185" spans="11:19" x14ac:dyDescent="0.25">
      <c r="K185" s="58"/>
      <c r="L185" s="59"/>
      <c r="M185" s="54"/>
      <c r="N185" s="55"/>
      <c r="P185" s="58"/>
      <c r="Q185" s="59"/>
      <c r="R185" s="54"/>
      <c r="S185" s="55"/>
    </row>
    <row r="186" spans="11:19" x14ac:dyDescent="0.25">
      <c r="K186" s="58"/>
      <c r="L186" s="59"/>
      <c r="M186" s="54"/>
      <c r="N186" s="55"/>
      <c r="P186" s="58"/>
      <c r="Q186" s="59"/>
      <c r="R186" s="54"/>
      <c r="S186" s="55"/>
    </row>
    <row r="187" spans="11:19" x14ac:dyDescent="0.25">
      <c r="K187" s="58"/>
      <c r="L187" s="59"/>
      <c r="M187" s="54"/>
      <c r="N187" s="55"/>
      <c r="P187" s="58"/>
      <c r="Q187" s="59"/>
      <c r="R187" s="54"/>
      <c r="S187" s="55"/>
    </row>
    <row r="188" spans="11:19" x14ac:dyDescent="0.25">
      <c r="K188" s="58"/>
      <c r="L188" s="59"/>
      <c r="M188" s="54"/>
      <c r="N188" s="55"/>
      <c r="P188" s="58"/>
      <c r="Q188" s="59"/>
      <c r="R188" s="54"/>
      <c r="S188" s="55"/>
    </row>
    <row r="189" spans="11:19" x14ac:dyDescent="0.25">
      <c r="K189" s="58"/>
      <c r="L189" s="59"/>
      <c r="M189" s="54"/>
      <c r="N189" s="55"/>
      <c r="P189" s="58"/>
      <c r="Q189" s="59"/>
      <c r="R189" s="54"/>
      <c r="S189" s="55"/>
    </row>
    <row r="190" spans="11:19" x14ac:dyDescent="0.25">
      <c r="K190" s="58"/>
      <c r="L190" s="59"/>
      <c r="M190" s="54"/>
      <c r="N190" s="55"/>
      <c r="P190" s="58"/>
      <c r="Q190" s="59"/>
      <c r="R190" s="54"/>
      <c r="S190" s="55"/>
    </row>
    <row r="191" spans="11:19" x14ac:dyDescent="0.25">
      <c r="K191" s="58"/>
      <c r="L191" s="59"/>
      <c r="M191" s="54"/>
      <c r="N191" s="55"/>
      <c r="P191" s="58"/>
      <c r="Q191" s="59"/>
      <c r="R191" s="54"/>
      <c r="S191" s="55"/>
    </row>
    <row r="192" spans="11:19" x14ac:dyDescent="0.25">
      <c r="K192" s="58"/>
      <c r="L192" s="59"/>
      <c r="M192" s="54"/>
      <c r="N192" s="55"/>
      <c r="P192" s="58"/>
      <c r="Q192" s="59"/>
      <c r="R192" s="54"/>
      <c r="S192" s="55"/>
    </row>
    <row r="193" spans="11:19" x14ac:dyDescent="0.25">
      <c r="K193" s="58"/>
      <c r="L193" s="59"/>
      <c r="M193" s="54"/>
      <c r="N193" s="55"/>
      <c r="P193" s="58"/>
      <c r="Q193" s="59"/>
      <c r="R193" s="54"/>
      <c r="S193" s="55"/>
    </row>
    <row r="194" spans="11:19" x14ac:dyDescent="0.25">
      <c r="K194" s="58"/>
      <c r="L194" s="59"/>
      <c r="M194" s="54"/>
      <c r="N194" s="55"/>
      <c r="P194" s="58"/>
      <c r="Q194" s="59"/>
      <c r="R194" s="54"/>
      <c r="S194" s="55"/>
    </row>
    <row r="195" spans="11:19" x14ac:dyDescent="0.25">
      <c r="K195" s="58"/>
      <c r="L195" s="59"/>
      <c r="M195" s="54"/>
      <c r="N195" s="55"/>
      <c r="P195" s="58"/>
      <c r="Q195" s="59"/>
      <c r="R195" s="54"/>
      <c r="S195" s="55"/>
    </row>
    <row r="196" spans="11:19" x14ac:dyDescent="0.25">
      <c r="K196" s="58"/>
      <c r="L196" s="59"/>
      <c r="M196" s="54"/>
      <c r="N196" s="55"/>
      <c r="P196" s="58"/>
      <c r="Q196" s="59"/>
      <c r="R196" s="54"/>
      <c r="S196" s="55"/>
    </row>
    <row r="197" spans="11:19" x14ac:dyDescent="0.25">
      <c r="K197" s="58"/>
      <c r="L197" s="59"/>
      <c r="M197" s="54"/>
      <c r="N197" s="55"/>
      <c r="P197" s="58"/>
      <c r="Q197" s="59"/>
      <c r="R197" s="54"/>
      <c r="S197" s="55"/>
    </row>
    <row r="198" spans="11:19" x14ac:dyDescent="0.25">
      <c r="K198" s="58"/>
      <c r="L198" s="59"/>
      <c r="M198" s="54"/>
      <c r="N198" s="55"/>
      <c r="P198" s="58"/>
      <c r="Q198" s="59"/>
      <c r="R198" s="54"/>
      <c r="S198" s="55"/>
    </row>
    <row r="199" spans="11:19" x14ac:dyDescent="0.25">
      <c r="K199" s="58"/>
      <c r="L199" s="59"/>
      <c r="M199" s="54"/>
      <c r="N199" s="55"/>
      <c r="P199" s="58"/>
      <c r="Q199" s="59"/>
      <c r="R199" s="54"/>
      <c r="S199" s="55"/>
    </row>
    <row r="200" spans="11:19" x14ac:dyDescent="0.25">
      <c r="K200" s="58"/>
      <c r="L200" s="59"/>
      <c r="M200" s="54"/>
      <c r="N200" s="55"/>
      <c r="P200" s="58"/>
      <c r="Q200" s="59"/>
      <c r="R200" s="54"/>
      <c r="S200" s="55"/>
    </row>
    <row r="201" spans="11:19" x14ac:dyDescent="0.25">
      <c r="K201" s="58"/>
      <c r="L201" s="59"/>
      <c r="M201" s="54"/>
      <c r="N201" s="55"/>
      <c r="P201" s="58"/>
      <c r="Q201" s="59"/>
      <c r="R201" s="54"/>
      <c r="S201" s="55"/>
    </row>
    <row r="202" spans="11:19" x14ac:dyDescent="0.25">
      <c r="K202" s="58"/>
      <c r="L202" s="59"/>
      <c r="M202" s="54"/>
      <c r="N202" s="55"/>
      <c r="P202" s="58"/>
      <c r="Q202" s="59"/>
      <c r="R202" s="54"/>
      <c r="S202" s="55"/>
    </row>
    <row r="203" spans="11:19" x14ac:dyDescent="0.25">
      <c r="K203" s="58"/>
      <c r="L203" s="59"/>
      <c r="M203" s="54"/>
      <c r="N203" s="55"/>
      <c r="P203" s="58"/>
      <c r="Q203" s="59"/>
      <c r="R203" s="54"/>
      <c r="S203" s="55"/>
    </row>
    <row r="204" spans="11:19" x14ac:dyDescent="0.25">
      <c r="K204" s="58"/>
      <c r="L204" s="59"/>
      <c r="M204" s="54"/>
      <c r="N204" s="55"/>
      <c r="P204" s="58"/>
      <c r="Q204" s="59"/>
      <c r="R204" s="54"/>
      <c r="S204" s="55"/>
    </row>
    <row r="205" spans="11:19" x14ac:dyDescent="0.25">
      <c r="K205" s="58"/>
      <c r="L205" s="59"/>
      <c r="M205" s="54"/>
      <c r="N205" s="55"/>
      <c r="P205" s="58"/>
      <c r="Q205" s="59"/>
      <c r="R205" s="54"/>
      <c r="S205" s="55"/>
    </row>
    <row r="206" spans="11:19" x14ac:dyDescent="0.25">
      <c r="K206" s="58"/>
      <c r="L206" s="59"/>
      <c r="M206" s="54"/>
      <c r="N206" s="55"/>
      <c r="P206" s="58"/>
      <c r="Q206" s="59"/>
      <c r="R206" s="54"/>
      <c r="S206" s="55"/>
    </row>
    <row r="207" spans="11:19" x14ac:dyDescent="0.25">
      <c r="K207" s="58"/>
      <c r="L207" s="59"/>
      <c r="M207" s="54"/>
      <c r="N207" s="55"/>
      <c r="P207" s="58"/>
      <c r="Q207" s="59"/>
      <c r="R207" s="54"/>
      <c r="S207" s="55"/>
    </row>
    <row r="208" spans="11:19" x14ac:dyDescent="0.25">
      <c r="K208" s="58"/>
      <c r="L208" s="59"/>
      <c r="M208" s="54"/>
      <c r="N208" s="55"/>
      <c r="P208" s="58"/>
      <c r="Q208" s="59"/>
      <c r="R208" s="54"/>
      <c r="S208" s="55"/>
    </row>
    <row r="209" spans="11:19" x14ac:dyDescent="0.25">
      <c r="K209" s="58"/>
      <c r="L209" s="59"/>
      <c r="M209" s="54"/>
      <c r="N209" s="55"/>
      <c r="P209" s="58"/>
      <c r="Q209" s="59"/>
      <c r="R209" s="54"/>
      <c r="S209" s="55"/>
    </row>
    <row r="210" spans="11:19" x14ac:dyDescent="0.25">
      <c r="K210" s="58"/>
      <c r="L210" s="59"/>
      <c r="M210" s="54"/>
      <c r="N210" s="55"/>
      <c r="P210" s="58"/>
      <c r="Q210" s="59"/>
      <c r="R210" s="54"/>
      <c r="S210" s="55"/>
    </row>
    <row r="211" spans="11:19" x14ac:dyDescent="0.25">
      <c r="K211" s="58"/>
      <c r="L211" s="59"/>
      <c r="M211" s="54"/>
      <c r="N211" s="55"/>
      <c r="P211" s="58"/>
      <c r="Q211" s="59"/>
      <c r="R211" s="54"/>
      <c r="S211" s="55"/>
    </row>
    <row r="212" spans="11:19" x14ac:dyDescent="0.25">
      <c r="K212" s="58"/>
      <c r="L212" s="59"/>
      <c r="M212" s="54"/>
      <c r="N212" s="55"/>
      <c r="P212" s="58"/>
      <c r="Q212" s="59"/>
      <c r="R212" s="54"/>
      <c r="S212" s="55"/>
    </row>
    <row r="213" spans="11:19" x14ac:dyDescent="0.25">
      <c r="K213" s="58"/>
      <c r="L213" s="59"/>
      <c r="M213" s="54"/>
      <c r="N213" s="55"/>
      <c r="P213" s="58"/>
      <c r="Q213" s="59"/>
      <c r="R213" s="54"/>
      <c r="S213" s="55"/>
    </row>
    <row r="214" spans="11:19" x14ac:dyDescent="0.25">
      <c r="K214" s="58"/>
      <c r="L214" s="59"/>
      <c r="M214" s="54"/>
      <c r="N214" s="55"/>
      <c r="P214" s="58"/>
      <c r="Q214" s="59"/>
      <c r="R214" s="54"/>
      <c r="S214" s="55"/>
    </row>
    <row r="215" spans="11:19" x14ac:dyDescent="0.25">
      <c r="K215" s="58"/>
      <c r="L215" s="59"/>
      <c r="M215" s="54"/>
      <c r="N215" s="55"/>
      <c r="P215" s="58"/>
      <c r="Q215" s="59"/>
      <c r="R215" s="54"/>
      <c r="S215" s="55"/>
    </row>
    <row r="216" spans="11:19" x14ac:dyDescent="0.25">
      <c r="K216" s="58"/>
      <c r="L216" s="59"/>
      <c r="M216" s="54"/>
      <c r="N216" s="55"/>
      <c r="P216" s="58"/>
      <c r="Q216" s="59"/>
      <c r="R216" s="54"/>
      <c r="S216" s="55"/>
    </row>
    <row r="217" spans="11:19" x14ac:dyDescent="0.25">
      <c r="K217" s="58"/>
      <c r="L217" s="59"/>
      <c r="M217" s="54"/>
      <c r="N217" s="55"/>
      <c r="P217" s="58"/>
      <c r="Q217" s="59"/>
      <c r="R217" s="54"/>
      <c r="S217" s="55"/>
    </row>
    <row r="218" spans="11:19" x14ac:dyDescent="0.25">
      <c r="K218" s="58"/>
      <c r="L218" s="59"/>
      <c r="M218" s="54"/>
      <c r="N218" s="55"/>
      <c r="P218" s="58"/>
      <c r="Q218" s="59"/>
      <c r="R218" s="54"/>
      <c r="S218" s="55"/>
    </row>
    <row r="219" spans="11:19" x14ac:dyDescent="0.25">
      <c r="K219" s="58"/>
      <c r="L219" s="59"/>
      <c r="M219" s="54"/>
      <c r="N219" s="55"/>
      <c r="P219" s="58"/>
      <c r="Q219" s="59"/>
      <c r="R219" s="54"/>
      <c r="S219" s="55"/>
    </row>
    <row r="220" spans="11:19" x14ac:dyDescent="0.25">
      <c r="K220" s="58"/>
      <c r="L220" s="59"/>
      <c r="M220" s="54"/>
      <c r="N220" s="55"/>
      <c r="P220" s="58"/>
      <c r="Q220" s="59"/>
      <c r="R220" s="54"/>
      <c r="S220" s="55"/>
    </row>
    <row r="221" spans="11:19" x14ac:dyDescent="0.25">
      <c r="K221" s="58"/>
      <c r="L221" s="59"/>
      <c r="M221" s="54"/>
      <c r="N221" s="55"/>
      <c r="P221" s="58"/>
      <c r="Q221" s="59"/>
      <c r="R221" s="54"/>
      <c r="S221" s="55"/>
    </row>
    <row r="222" spans="11:19" x14ac:dyDescent="0.25">
      <c r="K222" s="58"/>
      <c r="L222" s="59"/>
      <c r="M222" s="54"/>
      <c r="N222" s="55"/>
      <c r="P222" s="58"/>
      <c r="Q222" s="59"/>
      <c r="R222" s="54"/>
      <c r="S222" s="55"/>
    </row>
    <row r="223" spans="11:19" x14ac:dyDescent="0.25">
      <c r="K223" s="58"/>
      <c r="L223" s="59"/>
      <c r="M223" s="54"/>
      <c r="N223" s="55"/>
      <c r="P223" s="58"/>
      <c r="Q223" s="59"/>
      <c r="R223" s="54"/>
      <c r="S223" s="55"/>
    </row>
    <row r="224" spans="11:19" x14ac:dyDescent="0.25">
      <c r="K224" s="58"/>
      <c r="L224" s="59"/>
      <c r="M224" s="54"/>
      <c r="N224" s="55"/>
      <c r="P224" s="58"/>
      <c r="Q224" s="59"/>
      <c r="R224" s="54"/>
      <c r="S224" s="55"/>
    </row>
    <row r="225" spans="11:19" x14ac:dyDescent="0.25">
      <c r="K225" s="58"/>
      <c r="L225" s="59"/>
      <c r="M225" s="54"/>
      <c r="N225" s="55"/>
      <c r="P225" s="58"/>
      <c r="Q225" s="59"/>
      <c r="R225" s="54"/>
      <c r="S225" s="55"/>
    </row>
    <row r="226" spans="11:19" x14ac:dyDescent="0.25">
      <c r="K226" s="58"/>
      <c r="L226" s="59"/>
      <c r="M226" s="54"/>
      <c r="N226" s="55"/>
      <c r="P226" s="58"/>
      <c r="Q226" s="59"/>
      <c r="R226" s="54"/>
      <c r="S226" s="55"/>
    </row>
    <row r="227" spans="11:19" x14ac:dyDescent="0.25">
      <c r="K227" s="58"/>
      <c r="L227" s="59"/>
      <c r="M227" s="54"/>
      <c r="N227" s="55"/>
      <c r="P227" s="58"/>
      <c r="Q227" s="59"/>
      <c r="R227" s="54"/>
      <c r="S227" s="55"/>
    </row>
    <row r="228" spans="11:19" x14ac:dyDescent="0.25">
      <c r="K228" s="58"/>
      <c r="L228" s="59"/>
      <c r="M228" s="54"/>
      <c r="N228" s="55"/>
      <c r="P228" s="58"/>
      <c r="Q228" s="59"/>
      <c r="R228" s="54"/>
      <c r="S228" s="55"/>
    </row>
    <row r="229" spans="11:19" x14ac:dyDescent="0.25">
      <c r="K229" s="58"/>
      <c r="L229" s="59"/>
      <c r="M229" s="54"/>
      <c r="N229" s="55"/>
      <c r="P229" s="58"/>
      <c r="Q229" s="59"/>
      <c r="R229" s="54"/>
      <c r="S229" s="55"/>
    </row>
    <row r="230" spans="11:19" x14ac:dyDescent="0.25">
      <c r="K230" s="58"/>
      <c r="L230" s="59"/>
      <c r="M230" s="54"/>
      <c r="N230" s="55"/>
      <c r="P230" s="58"/>
      <c r="Q230" s="59"/>
      <c r="R230" s="54"/>
      <c r="S230" s="55"/>
    </row>
    <row r="231" spans="11:19" x14ac:dyDescent="0.25">
      <c r="K231" s="58"/>
      <c r="L231" s="59"/>
      <c r="M231" s="54"/>
      <c r="N231" s="55"/>
      <c r="P231" s="58"/>
      <c r="Q231" s="59"/>
      <c r="R231" s="54"/>
      <c r="S231" s="55"/>
    </row>
    <row r="232" spans="11:19" x14ac:dyDescent="0.25">
      <c r="K232" s="58"/>
      <c r="L232" s="59"/>
      <c r="M232" s="54"/>
      <c r="N232" s="55"/>
      <c r="P232" s="58"/>
      <c r="Q232" s="59"/>
      <c r="R232" s="54"/>
      <c r="S232" s="55"/>
    </row>
    <row r="233" spans="11:19" x14ac:dyDescent="0.25">
      <c r="K233" s="58"/>
      <c r="L233" s="59"/>
      <c r="M233" s="54"/>
      <c r="N233" s="55"/>
      <c r="P233" s="58"/>
      <c r="Q233" s="59"/>
      <c r="R233" s="54"/>
      <c r="S233" s="55"/>
    </row>
    <row r="234" spans="11:19" x14ac:dyDescent="0.25">
      <c r="K234" s="58"/>
      <c r="L234" s="59"/>
      <c r="M234" s="54"/>
      <c r="N234" s="55"/>
      <c r="P234" s="58"/>
      <c r="Q234" s="59"/>
      <c r="R234" s="54"/>
      <c r="S234" s="55"/>
    </row>
    <row r="235" spans="11:19" x14ac:dyDescent="0.25">
      <c r="K235" s="58"/>
      <c r="L235" s="59"/>
      <c r="M235" s="54"/>
      <c r="N235" s="55"/>
      <c r="P235" s="58"/>
      <c r="Q235" s="59"/>
      <c r="R235" s="54"/>
      <c r="S235" s="55"/>
    </row>
    <row r="236" spans="11:19" x14ac:dyDescent="0.25">
      <c r="K236" s="58"/>
      <c r="L236" s="59"/>
      <c r="M236" s="54"/>
      <c r="N236" s="55"/>
      <c r="P236" s="58"/>
      <c r="Q236" s="59"/>
      <c r="R236" s="54"/>
      <c r="S236" s="55"/>
    </row>
    <row r="237" spans="11:19" x14ac:dyDescent="0.25">
      <c r="K237" s="58"/>
      <c r="L237" s="59"/>
      <c r="M237" s="54"/>
      <c r="N237" s="55"/>
      <c r="P237" s="58"/>
      <c r="Q237" s="59"/>
      <c r="R237" s="54"/>
      <c r="S237" s="55"/>
    </row>
    <row r="238" spans="11:19" x14ac:dyDescent="0.25">
      <c r="K238" s="58"/>
      <c r="L238" s="59"/>
      <c r="M238" s="54"/>
      <c r="N238" s="55"/>
      <c r="P238" s="58"/>
      <c r="Q238" s="59"/>
      <c r="R238" s="54"/>
      <c r="S238" s="55"/>
    </row>
    <row r="239" spans="11:19" x14ac:dyDescent="0.25">
      <c r="K239" s="58"/>
      <c r="L239" s="59"/>
      <c r="M239" s="54"/>
      <c r="N239" s="55"/>
      <c r="P239" s="58"/>
      <c r="Q239" s="59"/>
      <c r="R239" s="54"/>
      <c r="S239" s="55"/>
    </row>
    <row r="240" spans="11:19" x14ac:dyDescent="0.25">
      <c r="K240" s="58"/>
      <c r="L240" s="59"/>
      <c r="M240" s="54"/>
      <c r="N240" s="55"/>
      <c r="P240" s="58"/>
      <c r="Q240" s="59"/>
      <c r="R240" s="54"/>
      <c r="S240" s="55"/>
    </row>
    <row r="241" spans="11:19" x14ac:dyDescent="0.25">
      <c r="K241" s="58"/>
      <c r="L241" s="59"/>
      <c r="M241" s="54"/>
      <c r="N241" s="55"/>
      <c r="P241" s="58"/>
      <c r="Q241" s="59"/>
      <c r="R241" s="54"/>
      <c r="S241" s="55"/>
    </row>
    <row r="242" spans="11:19" x14ac:dyDescent="0.25">
      <c r="K242" s="58"/>
      <c r="L242" s="59"/>
      <c r="M242" s="54"/>
      <c r="N242" s="55"/>
      <c r="P242" s="58"/>
      <c r="Q242" s="59"/>
      <c r="R242" s="54"/>
      <c r="S242" s="55"/>
    </row>
    <row r="243" spans="11:19" x14ac:dyDescent="0.25">
      <c r="K243" s="58"/>
      <c r="L243" s="59"/>
      <c r="M243" s="54"/>
      <c r="N243" s="55"/>
      <c r="P243" s="58"/>
      <c r="Q243" s="59"/>
      <c r="R243" s="54"/>
      <c r="S243" s="55"/>
    </row>
    <row r="244" spans="11:19" x14ac:dyDescent="0.25">
      <c r="K244" s="58"/>
      <c r="L244" s="59"/>
      <c r="M244" s="54"/>
      <c r="N244" s="55"/>
      <c r="P244" s="58"/>
      <c r="Q244" s="59"/>
      <c r="R244" s="54"/>
      <c r="S244" s="55"/>
    </row>
    <row r="245" spans="11:19" x14ac:dyDescent="0.25">
      <c r="K245" s="58"/>
      <c r="L245" s="59"/>
      <c r="M245" s="54"/>
      <c r="N245" s="55"/>
      <c r="P245" s="58"/>
      <c r="Q245" s="59"/>
      <c r="R245" s="54"/>
      <c r="S245" s="55"/>
    </row>
    <row r="246" spans="11:19" x14ac:dyDescent="0.25">
      <c r="K246" s="58"/>
      <c r="L246" s="59"/>
      <c r="M246" s="54"/>
      <c r="N246" s="55"/>
      <c r="P246" s="58"/>
      <c r="Q246" s="59"/>
      <c r="R246" s="54"/>
      <c r="S246" s="55"/>
    </row>
    <row r="247" spans="11:19" x14ac:dyDescent="0.25">
      <c r="K247" s="58"/>
      <c r="L247" s="59"/>
      <c r="M247" s="54"/>
      <c r="N247" s="55"/>
      <c r="P247" s="58"/>
      <c r="Q247" s="59"/>
      <c r="R247" s="54"/>
      <c r="S247" s="55"/>
    </row>
    <row r="248" spans="11:19" x14ac:dyDescent="0.25">
      <c r="K248" s="58"/>
      <c r="L248" s="59"/>
      <c r="M248" s="54"/>
      <c r="N248" s="55"/>
      <c r="P248" s="58"/>
      <c r="Q248" s="59"/>
      <c r="R248" s="54"/>
      <c r="S248" s="55"/>
    </row>
    <row r="249" spans="11:19" x14ac:dyDescent="0.25">
      <c r="K249" s="58"/>
      <c r="L249" s="59"/>
      <c r="M249" s="54"/>
      <c r="N249" s="55"/>
      <c r="P249" s="58"/>
      <c r="Q249" s="59"/>
      <c r="R249" s="54"/>
      <c r="S249" s="55"/>
    </row>
    <row r="250" spans="11:19" x14ac:dyDescent="0.25">
      <c r="K250" s="58"/>
      <c r="L250" s="59"/>
      <c r="M250" s="54"/>
      <c r="N250" s="55"/>
      <c r="P250" s="58"/>
      <c r="Q250" s="59"/>
      <c r="R250" s="54"/>
      <c r="S250" s="55"/>
    </row>
    <row r="251" spans="11:19" x14ac:dyDescent="0.25">
      <c r="K251" s="58"/>
      <c r="L251" s="59"/>
      <c r="M251" s="54"/>
      <c r="N251" s="55"/>
      <c r="P251" s="58"/>
      <c r="Q251" s="59"/>
      <c r="R251" s="54"/>
      <c r="S251" s="55"/>
    </row>
    <row r="252" spans="11:19" x14ac:dyDescent="0.25">
      <c r="K252" s="58"/>
      <c r="L252" s="59"/>
      <c r="M252" s="54"/>
      <c r="N252" s="55"/>
      <c r="P252" s="58"/>
      <c r="Q252" s="59"/>
      <c r="R252" s="54"/>
      <c r="S252" s="55"/>
    </row>
    <row r="253" spans="11:19" x14ac:dyDescent="0.25">
      <c r="K253" s="58"/>
      <c r="L253" s="59"/>
      <c r="M253" s="54"/>
      <c r="N253" s="55"/>
      <c r="P253" s="58"/>
      <c r="Q253" s="59"/>
      <c r="R253" s="54"/>
      <c r="S253" s="55"/>
    </row>
    <row r="254" spans="11:19" x14ac:dyDescent="0.25">
      <c r="K254" s="58"/>
      <c r="L254" s="59"/>
      <c r="M254" s="54"/>
      <c r="N254" s="55"/>
      <c r="P254" s="58"/>
      <c r="Q254" s="59"/>
      <c r="R254" s="54"/>
      <c r="S254" s="55"/>
    </row>
    <row r="255" spans="11:19" x14ac:dyDescent="0.25">
      <c r="K255" s="58"/>
      <c r="L255" s="59"/>
      <c r="M255" s="54"/>
      <c r="N255" s="55"/>
      <c r="P255" s="58"/>
      <c r="Q255" s="59"/>
      <c r="R255" s="54"/>
      <c r="S255" s="55"/>
    </row>
    <row r="256" spans="11:19" x14ac:dyDescent="0.25">
      <c r="K256" s="58"/>
      <c r="L256" s="59"/>
      <c r="M256" s="54"/>
      <c r="N256" s="55"/>
      <c r="P256" s="58"/>
      <c r="Q256" s="59"/>
      <c r="R256" s="54"/>
      <c r="S256" s="55"/>
    </row>
    <row r="257" spans="11:19" x14ac:dyDescent="0.25">
      <c r="K257" s="58"/>
      <c r="L257" s="59"/>
      <c r="M257" s="54"/>
      <c r="N257" s="55"/>
      <c r="P257" s="58"/>
      <c r="Q257" s="59"/>
      <c r="R257" s="54"/>
      <c r="S257" s="55"/>
    </row>
    <row r="258" spans="11:19" x14ac:dyDescent="0.25">
      <c r="K258" s="58"/>
      <c r="L258" s="59"/>
      <c r="M258" s="54"/>
      <c r="N258" s="55"/>
      <c r="P258" s="58"/>
      <c r="Q258" s="59"/>
      <c r="R258" s="54"/>
      <c r="S258" s="55"/>
    </row>
    <row r="259" spans="11:19" x14ac:dyDescent="0.25">
      <c r="K259" s="58"/>
      <c r="L259" s="59"/>
      <c r="M259" s="54"/>
      <c r="N259" s="55"/>
      <c r="P259" s="58"/>
      <c r="Q259" s="59"/>
      <c r="R259" s="54"/>
      <c r="S259" s="55"/>
    </row>
    <row r="260" spans="11:19" x14ac:dyDescent="0.25">
      <c r="K260" s="58"/>
      <c r="L260" s="59"/>
      <c r="M260" s="54"/>
      <c r="N260" s="55"/>
      <c r="P260" s="58"/>
      <c r="Q260" s="59"/>
      <c r="R260" s="54"/>
      <c r="S260" s="55"/>
    </row>
    <row r="261" spans="11:19" x14ac:dyDescent="0.25">
      <c r="K261" s="58"/>
      <c r="L261" s="59"/>
      <c r="M261" s="54"/>
      <c r="N261" s="55"/>
      <c r="P261" s="58"/>
      <c r="Q261" s="59"/>
      <c r="R261" s="54"/>
      <c r="S261" s="55"/>
    </row>
    <row r="262" spans="11:19" x14ac:dyDescent="0.25">
      <c r="K262" s="58"/>
      <c r="L262" s="59"/>
      <c r="M262" s="54"/>
      <c r="N262" s="55"/>
      <c r="P262" s="58"/>
      <c r="Q262" s="59"/>
      <c r="R262" s="54"/>
      <c r="S262" s="55"/>
    </row>
    <row r="263" spans="11:19" x14ac:dyDescent="0.25">
      <c r="K263" s="58"/>
      <c r="L263" s="59"/>
      <c r="M263" s="54"/>
      <c r="N263" s="55"/>
      <c r="P263" s="58"/>
      <c r="Q263" s="59"/>
      <c r="R263" s="54"/>
      <c r="S263" s="55"/>
    </row>
    <row r="264" spans="11:19" x14ac:dyDescent="0.25">
      <c r="K264" s="58"/>
      <c r="L264" s="59"/>
      <c r="M264" s="54"/>
      <c r="N264" s="55"/>
      <c r="P264" s="58"/>
      <c r="Q264" s="59"/>
      <c r="R264" s="54"/>
      <c r="S264" s="55"/>
    </row>
    <row r="265" spans="11:19" x14ac:dyDescent="0.25">
      <c r="K265" s="58"/>
      <c r="L265" s="59"/>
      <c r="M265" s="54"/>
      <c r="N265" s="55"/>
      <c r="P265" s="58"/>
      <c r="Q265" s="59"/>
      <c r="R265" s="54"/>
      <c r="S265" s="55"/>
    </row>
    <row r="266" spans="11:19" x14ac:dyDescent="0.25">
      <c r="K266" s="58"/>
      <c r="L266" s="59"/>
      <c r="M266" s="54"/>
      <c r="N266" s="55"/>
      <c r="P266" s="58"/>
      <c r="Q266" s="59"/>
      <c r="R266" s="54"/>
      <c r="S266" s="55"/>
    </row>
    <row r="267" spans="11:19" x14ac:dyDescent="0.25">
      <c r="K267" s="58"/>
      <c r="L267" s="59"/>
      <c r="M267" s="54"/>
      <c r="N267" s="55"/>
      <c r="P267" s="58"/>
      <c r="Q267" s="59"/>
      <c r="R267" s="54"/>
      <c r="S267" s="55"/>
    </row>
    <row r="268" spans="11:19" x14ac:dyDescent="0.25">
      <c r="K268" s="58"/>
      <c r="L268" s="59"/>
      <c r="M268" s="54"/>
      <c r="N268" s="55"/>
      <c r="P268" s="58"/>
      <c r="Q268" s="59"/>
      <c r="R268" s="54"/>
      <c r="S268" s="55"/>
    </row>
    <row r="269" spans="11:19" x14ac:dyDescent="0.25">
      <c r="K269" s="58"/>
      <c r="L269" s="59"/>
      <c r="M269" s="54"/>
      <c r="N269" s="55"/>
      <c r="P269" s="58"/>
      <c r="Q269" s="59"/>
      <c r="R269" s="54"/>
      <c r="S269" s="55"/>
    </row>
    <row r="270" spans="11:19" x14ac:dyDescent="0.25">
      <c r="K270" s="58"/>
      <c r="L270" s="59"/>
      <c r="M270" s="54"/>
      <c r="N270" s="55"/>
      <c r="P270" s="58"/>
      <c r="Q270" s="59"/>
      <c r="R270" s="54"/>
      <c r="S270" s="55"/>
    </row>
    <row r="271" spans="11:19" x14ac:dyDescent="0.25">
      <c r="K271" s="58"/>
      <c r="L271" s="59"/>
      <c r="M271" s="54"/>
      <c r="N271" s="55"/>
      <c r="P271" s="58"/>
      <c r="Q271" s="59"/>
      <c r="R271" s="54"/>
      <c r="S271" s="55"/>
    </row>
    <row r="272" spans="11:19" x14ac:dyDescent="0.25">
      <c r="K272" s="58"/>
      <c r="L272" s="59"/>
      <c r="M272" s="54"/>
      <c r="N272" s="55"/>
      <c r="P272" s="58"/>
      <c r="Q272" s="59"/>
      <c r="R272" s="54"/>
      <c r="S272" s="55"/>
    </row>
    <row r="273" spans="11:19" x14ac:dyDescent="0.25">
      <c r="K273" s="58"/>
      <c r="L273" s="59"/>
      <c r="M273" s="54"/>
      <c r="N273" s="55"/>
      <c r="P273" s="58"/>
      <c r="Q273" s="59"/>
      <c r="R273" s="54"/>
      <c r="S273" s="55"/>
    </row>
    <row r="274" spans="11:19" x14ac:dyDescent="0.25">
      <c r="K274" s="58"/>
      <c r="L274" s="59"/>
      <c r="M274" s="54"/>
      <c r="N274" s="55"/>
      <c r="P274" s="58"/>
      <c r="Q274" s="59"/>
      <c r="R274" s="54"/>
      <c r="S274" s="55"/>
    </row>
    <row r="275" spans="11:19" x14ac:dyDescent="0.25">
      <c r="K275" s="58"/>
      <c r="L275" s="59"/>
      <c r="M275" s="54"/>
      <c r="N275" s="55"/>
      <c r="P275" s="58"/>
      <c r="Q275" s="59"/>
      <c r="R275" s="54"/>
      <c r="S275" s="55"/>
    </row>
    <row r="276" spans="11:19" x14ac:dyDescent="0.25">
      <c r="K276" s="58"/>
      <c r="L276" s="59"/>
      <c r="M276" s="54"/>
      <c r="N276" s="55"/>
      <c r="P276" s="58"/>
      <c r="Q276" s="59"/>
      <c r="R276" s="54"/>
      <c r="S276" s="55"/>
    </row>
    <row r="277" spans="11:19" x14ac:dyDescent="0.25">
      <c r="K277" s="58"/>
      <c r="L277" s="59"/>
      <c r="M277" s="54"/>
      <c r="N277" s="55"/>
      <c r="P277" s="58"/>
      <c r="Q277" s="59"/>
      <c r="R277" s="54"/>
      <c r="S277" s="55"/>
    </row>
    <row r="278" spans="11:19" x14ac:dyDescent="0.25">
      <c r="K278" s="58"/>
      <c r="L278" s="59"/>
      <c r="M278" s="54"/>
      <c r="N278" s="55"/>
      <c r="P278" s="58"/>
      <c r="Q278" s="59"/>
      <c r="R278" s="54"/>
      <c r="S278" s="55"/>
    </row>
    <row r="279" spans="11:19" x14ac:dyDescent="0.25">
      <c r="K279" s="58"/>
      <c r="L279" s="59"/>
      <c r="M279" s="54"/>
      <c r="N279" s="55"/>
      <c r="P279" s="58"/>
      <c r="Q279" s="59"/>
      <c r="R279" s="54"/>
      <c r="S279" s="55"/>
    </row>
    <row r="280" spans="11:19" x14ac:dyDescent="0.25">
      <c r="K280" s="58"/>
      <c r="L280" s="59"/>
      <c r="M280" s="54"/>
      <c r="N280" s="55"/>
      <c r="P280" s="58"/>
      <c r="Q280" s="59"/>
      <c r="R280" s="54"/>
      <c r="S280" s="55"/>
    </row>
    <row r="281" spans="11:19" x14ac:dyDescent="0.25">
      <c r="K281" s="58"/>
      <c r="L281" s="59"/>
      <c r="M281" s="54"/>
      <c r="N281" s="55"/>
      <c r="P281" s="58"/>
      <c r="Q281" s="59"/>
      <c r="R281" s="54"/>
      <c r="S281" s="55"/>
    </row>
    <row r="282" spans="11:19" x14ac:dyDescent="0.25">
      <c r="K282" s="58"/>
      <c r="L282" s="59"/>
      <c r="M282" s="54"/>
      <c r="N282" s="55"/>
      <c r="P282" s="58"/>
      <c r="Q282" s="59"/>
      <c r="R282" s="54"/>
      <c r="S282" s="55"/>
    </row>
    <row r="283" spans="11:19" x14ac:dyDescent="0.25">
      <c r="K283" s="58"/>
      <c r="L283" s="59"/>
      <c r="M283" s="54"/>
      <c r="N283" s="55"/>
      <c r="P283" s="58"/>
      <c r="Q283" s="59"/>
      <c r="R283" s="54"/>
      <c r="S283" s="55"/>
    </row>
    <row r="284" spans="11:19" x14ac:dyDescent="0.25">
      <c r="K284" s="58"/>
      <c r="L284" s="59"/>
      <c r="M284" s="54"/>
      <c r="N284" s="55"/>
      <c r="P284" s="58"/>
      <c r="Q284" s="59"/>
      <c r="R284" s="54"/>
      <c r="S284" s="55"/>
    </row>
    <row r="285" spans="11:19" x14ac:dyDescent="0.25">
      <c r="K285" s="58"/>
      <c r="L285" s="59"/>
      <c r="M285" s="54"/>
      <c r="N285" s="55"/>
      <c r="P285" s="58"/>
      <c r="Q285" s="59"/>
      <c r="R285" s="54"/>
      <c r="S285" s="55"/>
    </row>
    <row r="286" spans="11:19" x14ac:dyDescent="0.25">
      <c r="K286" s="58"/>
      <c r="L286" s="59"/>
      <c r="M286" s="54"/>
      <c r="N286" s="55"/>
      <c r="P286" s="58"/>
      <c r="Q286" s="59"/>
      <c r="R286" s="54"/>
      <c r="S286" s="55"/>
    </row>
    <row r="287" spans="11:19" x14ac:dyDescent="0.25">
      <c r="K287" s="58"/>
      <c r="L287" s="59"/>
      <c r="M287" s="54"/>
      <c r="N287" s="55"/>
      <c r="P287" s="58"/>
      <c r="Q287" s="59"/>
      <c r="R287" s="54"/>
      <c r="S287" s="55"/>
    </row>
    <row r="288" spans="11:19" x14ac:dyDescent="0.25">
      <c r="K288" s="58"/>
      <c r="L288" s="59"/>
      <c r="M288" s="54"/>
      <c r="N288" s="55"/>
      <c r="P288" s="58"/>
      <c r="Q288" s="59"/>
      <c r="R288" s="54"/>
      <c r="S288" s="55"/>
    </row>
    <row r="289" spans="11:19" x14ac:dyDescent="0.25">
      <c r="K289" s="58"/>
      <c r="L289" s="59"/>
      <c r="M289" s="54"/>
      <c r="N289" s="55"/>
      <c r="P289" s="58"/>
      <c r="Q289" s="59"/>
      <c r="R289" s="54"/>
      <c r="S289" s="55"/>
    </row>
    <row r="290" spans="11:19" x14ac:dyDescent="0.25">
      <c r="K290" s="58"/>
      <c r="L290" s="59"/>
      <c r="M290" s="54"/>
      <c r="N290" s="55"/>
      <c r="P290" s="58"/>
      <c r="Q290" s="59"/>
      <c r="R290" s="54"/>
      <c r="S290" s="55"/>
    </row>
    <row r="291" spans="11:19" x14ac:dyDescent="0.25">
      <c r="K291" s="58"/>
      <c r="L291" s="59"/>
      <c r="M291" s="54"/>
      <c r="N291" s="55"/>
      <c r="P291" s="58"/>
      <c r="Q291" s="59"/>
      <c r="R291" s="54"/>
      <c r="S291" s="55"/>
    </row>
    <row r="292" spans="11:19" x14ac:dyDescent="0.25">
      <c r="K292" s="58"/>
      <c r="L292" s="59"/>
      <c r="M292" s="54"/>
      <c r="N292" s="55"/>
      <c r="P292" s="58"/>
      <c r="Q292" s="59"/>
      <c r="R292" s="54"/>
      <c r="S292" s="55"/>
    </row>
    <row r="293" spans="11:19" x14ac:dyDescent="0.25">
      <c r="K293" s="58"/>
      <c r="L293" s="59"/>
      <c r="M293" s="54"/>
      <c r="N293" s="55"/>
      <c r="P293" s="58"/>
      <c r="Q293" s="59"/>
      <c r="R293" s="54"/>
      <c r="S293" s="55"/>
    </row>
    <row r="294" spans="11:19" x14ac:dyDescent="0.25">
      <c r="K294" s="58"/>
      <c r="L294" s="59"/>
      <c r="M294" s="54"/>
      <c r="N294" s="55"/>
      <c r="P294" s="58"/>
      <c r="Q294" s="59"/>
      <c r="R294" s="54"/>
      <c r="S294" s="55"/>
    </row>
    <row r="295" spans="11:19" x14ac:dyDescent="0.25">
      <c r="K295" s="58"/>
      <c r="L295" s="59"/>
      <c r="M295" s="54"/>
      <c r="N295" s="55"/>
      <c r="P295" s="58"/>
      <c r="Q295" s="59"/>
      <c r="R295" s="54"/>
      <c r="S295" s="55"/>
    </row>
    <row r="296" spans="11:19" x14ac:dyDescent="0.25">
      <c r="K296" s="58"/>
      <c r="L296" s="59"/>
      <c r="M296" s="54"/>
      <c r="N296" s="55"/>
      <c r="P296" s="58"/>
      <c r="Q296" s="59"/>
      <c r="R296" s="54"/>
      <c r="S296" s="55"/>
    </row>
    <row r="297" spans="11:19" x14ac:dyDescent="0.25">
      <c r="K297" s="58"/>
      <c r="L297" s="59"/>
      <c r="M297" s="54"/>
      <c r="N297" s="55"/>
      <c r="P297" s="58"/>
      <c r="Q297" s="59"/>
      <c r="R297" s="54"/>
      <c r="S297" s="55"/>
    </row>
    <row r="298" spans="11:19" x14ac:dyDescent="0.25">
      <c r="K298" s="58"/>
      <c r="L298" s="59"/>
      <c r="M298" s="54"/>
      <c r="N298" s="55"/>
      <c r="P298" s="58"/>
      <c r="Q298" s="59"/>
      <c r="R298" s="54"/>
      <c r="S298" s="55"/>
    </row>
    <row r="299" spans="11:19" x14ac:dyDescent="0.25">
      <c r="K299" s="58"/>
      <c r="L299" s="59"/>
      <c r="M299" s="54"/>
      <c r="N299" s="55"/>
      <c r="P299" s="58"/>
      <c r="Q299" s="59"/>
      <c r="R299" s="54"/>
      <c r="S299" s="55"/>
    </row>
    <row r="300" spans="11:19" x14ac:dyDescent="0.25">
      <c r="K300" s="58"/>
      <c r="L300" s="59"/>
      <c r="M300" s="54"/>
      <c r="N300" s="55"/>
      <c r="P300" s="58"/>
      <c r="Q300" s="59"/>
      <c r="R300" s="54"/>
      <c r="S300" s="55"/>
    </row>
    <row r="301" spans="11:19" x14ac:dyDescent="0.25">
      <c r="K301" s="58"/>
      <c r="L301" s="59"/>
      <c r="M301" s="54"/>
      <c r="N301" s="55"/>
      <c r="P301" s="58"/>
      <c r="Q301" s="59"/>
      <c r="R301" s="54"/>
      <c r="S301" s="55"/>
    </row>
    <row r="302" spans="11:19" x14ac:dyDescent="0.25">
      <c r="K302" s="58"/>
      <c r="L302" s="59"/>
      <c r="M302" s="54"/>
      <c r="N302" s="55"/>
      <c r="P302" s="58"/>
      <c r="Q302" s="59"/>
      <c r="R302" s="54"/>
      <c r="S302" s="55"/>
    </row>
    <row r="303" spans="11:19" x14ac:dyDescent="0.25">
      <c r="K303" s="58"/>
      <c r="L303" s="59"/>
      <c r="M303" s="54"/>
      <c r="N303" s="55"/>
      <c r="P303" s="58"/>
      <c r="Q303" s="59"/>
      <c r="R303" s="54"/>
      <c r="S303" s="55"/>
    </row>
    <row r="304" spans="11:19" x14ac:dyDescent="0.25">
      <c r="K304" s="58"/>
      <c r="L304" s="59"/>
      <c r="M304" s="54"/>
      <c r="N304" s="55"/>
      <c r="P304" s="58"/>
      <c r="Q304" s="59"/>
      <c r="R304" s="54"/>
      <c r="S304" s="55"/>
    </row>
    <row r="305" spans="11:19" x14ac:dyDescent="0.25">
      <c r="K305" s="58"/>
      <c r="L305" s="59"/>
      <c r="M305" s="54"/>
      <c r="N305" s="55"/>
      <c r="P305" s="58"/>
      <c r="Q305" s="59"/>
      <c r="R305" s="54"/>
      <c r="S305" s="55"/>
    </row>
    <row r="306" spans="11:19" x14ac:dyDescent="0.25">
      <c r="K306" s="58"/>
      <c r="L306" s="59"/>
      <c r="M306" s="54"/>
      <c r="N306" s="55"/>
      <c r="P306" s="58"/>
      <c r="Q306" s="59"/>
      <c r="R306" s="54"/>
      <c r="S306" s="55"/>
    </row>
    <row r="307" spans="11:19" x14ac:dyDescent="0.25">
      <c r="K307" s="58"/>
      <c r="L307" s="59"/>
      <c r="M307" s="54"/>
      <c r="N307" s="55"/>
      <c r="P307" s="58"/>
      <c r="Q307" s="59"/>
      <c r="R307" s="54"/>
      <c r="S307" s="55"/>
    </row>
    <row r="308" spans="11:19" x14ac:dyDescent="0.25">
      <c r="K308" s="58"/>
      <c r="L308" s="59"/>
      <c r="M308" s="54"/>
      <c r="N308" s="55"/>
      <c r="P308" s="58"/>
      <c r="Q308" s="59"/>
      <c r="R308" s="54"/>
      <c r="S308" s="55"/>
    </row>
    <row r="309" spans="11:19" x14ac:dyDescent="0.25">
      <c r="K309" s="58"/>
      <c r="L309" s="59"/>
      <c r="M309" s="54"/>
      <c r="N309" s="55"/>
      <c r="P309" s="58"/>
      <c r="Q309" s="59"/>
      <c r="R309" s="54"/>
      <c r="S309" s="55"/>
    </row>
    <row r="310" spans="11:19" x14ac:dyDescent="0.25">
      <c r="K310" s="58"/>
      <c r="L310" s="59"/>
      <c r="M310" s="54"/>
      <c r="N310" s="55"/>
      <c r="P310" s="58"/>
      <c r="Q310" s="59"/>
      <c r="R310" s="54"/>
      <c r="S310" s="55"/>
    </row>
    <row r="311" spans="11:19" x14ac:dyDescent="0.25">
      <c r="K311" s="58"/>
      <c r="L311" s="59"/>
      <c r="M311" s="54"/>
      <c r="N311" s="55"/>
      <c r="P311" s="58"/>
      <c r="Q311" s="59"/>
      <c r="R311" s="54"/>
      <c r="S311" s="55"/>
    </row>
    <row r="312" spans="11:19" x14ac:dyDescent="0.25">
      <c r="K312" s="58"/>
      <c r="L312" s="59"/>
      <c r="M312" s="54"/>
      <c r="N312" s="55"/>
      <c r="P312" s="58"/>
      <c r="Q312" s="59"/>
      <c r="R312" s="54"/>
      <c r="S312" s="55"/>
    </row>
    <row r="313" spans="11:19" x14ac:dyDescent="0.25">
      <c r="K313" s="58"/>
      <c r="L313" s="59"/>
      <c r="M313" s="54"/>
      <c r="N313" s="55"/>
      <c r="P313" s="58"/>
      <c r="Q313" s="59"/>
      <c r="R313" s="54"/>
      <c r="S313" s="55"/>
    </row>
    <row r="314" spans="11:19" x14ac:dyDescent="0.25">
      <c r="K314" s="58"/>
      <c r="L314" s="59"/>
      <c r="M314" s="54"/>
      <c r="N314" s="55"/>
      <c r="P314" s="58"/>
      <c r="Q314" s="59"/>
      <c r="R314" s="54"/>
      <c r="S314" s="55"/>
    </row>
    <row r="315" spans="11:19" x14ac:dyDescent="0.25">
      <c r="K315" s="58"/>
      <c r="L315" s="59"/>
      <c r="M315" s="54"/>
      <c r="N315" s="55"/>
      <c r="P315" s="58"/>
      <c r="Q315" s="59"/>
      <c r="R315" s="54"/>
      <c r="S315" s="55"/>
    </row>
    <row r="316" spans="11:19" x14ac:dyDescent="0.25">
      <c r="K316" s="58"/>
      <c r="L316" s="59"/>
      <c r="M316" s="54"/>
      <c r="N316" s="55"/>
      <c r="P316" s="58"/>
      <c r="Q316" s="59"/>
      <c r="R316" s="54"/>
      <c r="S316" s="55"/>
    </row>
    <row r="317" spans="11:19" x14ac:dyDescent="0.25">
      <c r="K317" s="58"/>
      <c r="L317" s="59"/>
      <c r="M317" s="54"/>
      <c r="N317" s="55"/>
      <c r="P317" s="58"/>
      <c r="Q317" s="59"/>
      <c r="R317" s="54"/>
      <c r="S317" s="55"/>
    </row>
    <row r="318" spans="11:19" x14ac:dyDescent="0.25">
      <c r="K318" s="58"/>
      <c r="L318" s="59"/>
      <c r="M318" s="54"/>
      <c r="N318" s="55"/>
      <c r="P318" s="58"/>
      <c r="Q318" s="59"/>
      <c r="R318" s="54"/>
      <c r="S318" s="55"/>
    </row>
    <row r="319" spans="11:19" x14ac:dyDescent="0.25">
      <c r="K319" s="58"/>
      <c r="L319" s="59"/>
      <c r="M319" s="54"/>
      <c r="N319" s="55"/>
      <c r="P319" s="58"/>
      <c r="Q319" s="59"/>
      <c r="R319" s="54"/>
      <c r="S319" s="55"/>
    </row>
    <row r="320" spans="11:19" x14ac:dyDescent="0.25">
      <c r="K320" s="58"/>
      <c r="L320" s="59"/>
      <c r="M320" s="54"/>
      <c r="N320" s="55"/>
      <c r="P320" s="58"/>
      <c r="Q320" s="59"/>
      <c r="R320" s="54"/>
      <c r="S320" s="55"/>
    </row>
    <row r="321" spans="11:19" x14ac:dyDescent="0.25">
      <c r="K321" s="58"/>
      <c r="L321" s="59"/>
      <c r="M321" s="54"/>
      <c r="N321" s="55"/>
      <c r="P321" s="58"/>
      <c r="Q321" s="59"/>
      <c r="R321" s="54"/>
      <c r="S321" s="55"/>
    </row>
    <row r="322" spans="11:19" x14ac:dyDescent="0.25">
      <c r="K322" s="58"/>
      <c r="L322" s="59"/>
      <c r="M322" s="54"/>
      <c r="N322" s="55"/>
      <c r="P322" s="58"/>
      <c r="Q322" s="59"/>
      <c r="R322" s="54"/>
      <c r="S322" s="55"/>
    </row>
    <row r="323" spans="11:19" x14ac:dyDescent="0.25">
      <c r="K323" s="58"/>
      <c r="L323" s="59"/>
      <c r="M323" s="54"/>
      <c r="N323" s="55"/>
      <c r="P323" s="58"/>
      <c r="Q323" s="59"/>
      <c r="R323" s="54"/>
      <c r="S323" s="55"/>
    </row>
    <row r="324" spans="11:19" x14ac:dyDescent="0.25">
      <c r="K324" s="58"/>
      <c r="L324" s="59"/>
      <c r="M324" s="54"/>
      <c r="N324" s="55"/>
      <c r="P324" s="58"/>
      <c r="Q324" s="59"/>
      <c r="R324" s="54"/>
      <c r="S324" s="55"/>
    </row>
    <row r="325" spans="11:19" x14ac:dyDescent="0.25">
      <c r="K325" s="58"/>
      <c r="L325" s="59"/>
      <c r="M325" s="54"/>
      <c r="N325" s="55"/>
      <c r="P325" s="58"/>
      <c r="Q325" s="59"/>
      <c r="R325" s="54"/>
      <c r="S325" s="55"/>
    </row>
    <row r="326" spans="11:19" x14ac:dyDescent="0.25">
      <c r="K326" s="58"/>
      <c r="L326" s="59"/>
      <c r="M326" s="54"/>
      <c r="N326" s="55"/>
      <c r="P326" s="58"/>
      <c r="Q326" s="59"/>
      <c r="R326" s="54"/>
      <c r="S326" s="55"/>
    </row>
    <row r="327" spans="11:19" x14ac:dyDescent="0.25">
      <c r="K327" s="58"/>
      <c r="L327" s="59"/>
      <c r="M327" s="54"/>
      <c r="N327" s="55"/>
      <c r="P327" s="58"/>
      <c r="Q327" s="59"/>
      <c r="R327" s="54"/>
      <c r="S327" s="55"/>
    </row>
    <row r="328" spans="11:19" x14ac:dyDescent="0.25">
      <c r="K328" s="58"/>
      <c r="L328" s="59"/>
      <c r="M328" s="54"/>
      <c r="N328" s="55"/>
      <c r="P328" s="58"/>
      <c r="Q328" s="59"/>
      <c r="R328" s="54"/>
      <c r="S328" s="55"/>
    </row>
    <row r="329" spans="11:19" x14ac:dyDescent="0.25">
      <c r="K329" s="58"/>
      <c r="L329" s="59"/>
      <c r="M329" s="54"/>
      <c r="N329" s="55"/>
      <c r="P329" s="58"/>
      <c r="Q329" s="59"/>
      <c r="R329" s="54"/>
      <c r="S329" s="55"/>
    </row>
    <row r="330" spans="11:19" x14ac:dyDescent="0.25">
      <c r="K330" s="58"/>
      <c r="L330" s="59"/>
      <c r="M330" s="54"/>
      <c r="N330" s="55"/>
      <c r="P330" s="58"/>
      <c r="Q330" s="59"/>
      <c r="R330" s="54"/>
      <c r="S330" s="55"/>
    </row>
    <row r="331" spans="11:19" x14ac:dyDescent="0.25">
      <c r="K331" s="58"/>
      <c r="L331" s="59"/>
      <c r="M331" s="54"/>
      <c r="N331" s="55"/>
      <c r="P331" s="58"/>
      <c r="Q331" s="59"/>
      <c r="R331" s="54"/>
      <c r="S331" s="55"/>
    </row>
    <row r="332" spans="11:19" x14ac:dyDescent="0.25">
      <c r="K332" s="58"/>
      <c r="L332" s="59"/>
      <c r="M332" s="54"/>
      <c r="N332" s="55"/>
      <c r="P332" s="58"/>
      <c r="Q332" s="59"/>
      <c r="R332" s="54"/>
      <c r="S332" s="55"/>
    </row>
    <row r="333" spans="11:19" x14ac:dyDescent="0.25">
      <c r="K333" s="58"/>
      <c r="L333" s="59"/>
      <c r="M333" s="54"/>
      <c r="N333" s="55"/>
      <c r="P333" s="58"/>
      <c r="Q333" s="59"/>
      <c r="R333" s="54"/>
      <c r="S333" s="55"/>
    </row>
    <row r="334" spans="11:19" x14ac:dyDescent="0.25">
      <c r="K334" s="58"/>
      <c r="L334" s="59"/>
      <c r="M334" s="54"/>
      <c r="N334" s="55"/>
      <c r="P334" s="58"/>
      <c r="Q334" s="59"/>
      <c r="R334" s="54"/>
      <c r="S334" s="55"/>
    </row>
    <row r="335" spans="11:19" x14ac:dyDescent="0.25">
      <c r="K335" s="58"/>
      <c r="L335" s="59"/>
      <c r="M335" s="54"/>
      <c r="N335" s="55"/>
      <c r="P335" s="58"/>
      <c r="Q335" s="59"/>
      <c r="R335" s="54"/>
      <c r="S335" s="55"/>
    </row>
    <row r="336" spans="11:19" x14ac:dyDescent="0.25">
      <c r="K336" s="58"/>
      <c r="L336" s="59"/>
      <c r="M336" s="54"/>
      <c r="N336" s="55"/>
      <c r="P336" s="58"/>
      <c r="Q336" s="59"/>
      <c r="R336" s="54"/>
      <c r="S336" s="55"/>
    </row>
    <row r="337" spans="11:19" x14ac:dyDescent="0.25">
      <c r="K337" s="58"/>
      <c r="L337" s="59"/>
      <c r="M337" s="54"/>
      <c r="N337" s="55"/>
      <c r="P337" s="58"/>
      <c r="Q337" s="59"/>
      <c r="R337" s="54"/>
      <c r="S337" s="55"/>
    </row>
    <row r="338" spans="11:19" x14ac:dyDescent="0.25">
      <c r="K338" s="58"/>
      <c r="L338" s="59"/>
      <c r="M338" s="54"/>
      <c r="N338" s="55"/>
      <c r="P338" s="58"/>
      <c r="Q338" s="59"/>
      <c r="R338" s="54"/>
      <c r="S338" s="55"/>
    </row>
    <row r="339" spans="11:19" x14ac:dyDescent="0.25">
      <c r="K339" s="58"/>
      <c r="L339" s="59"/>
      <c r="M339" s="54"/>
      <c r="N339" s="55"/>
      <c r="P339" s="58"/>
      <c r="Q339" s="59"/>
      <c r="R339" s="54"/>
      <c r="S339" s="55"/>
    </row>
    <row r="340" spans="11:19" x14ac:dyDescent="0.25">
      <c r="K340" s="58"/>
      <c r="L340" s="59"/>
      <c r="M340" s="54"/>
      <c r="N340" s="55"/>
      <c r="P340" s="58"/>
      <c r="Q340" s="59"/>
      <c r="R340" s="54"/>
      <c r="S340" s="55"/>
    </row>
    <row r="341" spans="11:19" x14ac:dyDescent="0.25">
      <c r="K341" s="58"/>
      <c r="L341" s="59"/>
      <c r="M341" s="54"/>
      <c r="N341" s="55"/>
      <c r="P341" s="58"/>
      <c r="Q341" s="59"/>
      <c r="R341" s="54"/>
      <c r="S341" s="55"/>
    </row>
    <row r="342" spans="11:19" x14ac:dyDescent="0.25">
      <c r="K342" s="58"/>
      <c r="L342" s="59"/>
      <c r="M342" s="54"/>
      <c r="N342" s="55"/>
      <c r="P342" s="58"/>
      <c r="Q342" s="59"/>
      <c r="R342" s="54"/>
      <c r="S342" s="55"/>
    </row>
    <row r="343" spans="11:19" x14ac:dyDescent="0.25">
      <c r="K343" s="58"/>
      <c r="L343" s="59"/>
      <c r="M343" s="54"/>
      <c r="N343" s="55"/>
      <c r="P343" s="58"/>
      <c r="Q343" s="59"/>
      <c r="R343" s="54"/>
      <c r="S343" s="55"/>
    </row>
    <row r="344" spans="11:19" x14ac:dyDescent="0.25">
      <c r="K344" s="58"/>
      <c r="L344" s="59"/>
      <c r="M344" s="54"/>
      <c r="N344" s="55"/>
      <c r="P344" s="58"/>
      <c r="Q344" s="59"/>
      <c r="R344" s="54"/>
      <c r="S344" s="55"/>
    </row>
    <row r="345" spans="11:19" x14ac:dyDescent="0.25">
      <c r="K345" s="58"/>
      <c r="L345" s="59"/>
      <c r="M345" s="54"/>
      <c r="N345" s="55"/>
      <c r="P345" s="58"/>
      <c r="Q345" s="59"/>
      <c r="R345" s="54"/>
      <c r="S345" s="55"/>
    </row>
    <row r="346" spans="11:19" x14ac:dyDescent="0.25">
      <c r="K346" s="58"/>
      <c r="L346" s="59"/>
      <c r="M346" s="54"/>
      <c r="N346" s="55"/>
      <c r="P346" s="58"/>
      <c r="Q346" s="59"/>
      <c r="R346" s="54"/>
      <c r="S346" s="55"/>
    </row>
    <row r="347" spans="11:19" x14ac:dyDescent="0.25">
      <c r="K347" s="58"/>
      <c r="L347" s="59"/>
      <c r="M347" s="54"/>
      <c r="N347" s="55"/>
      <c r="P347" s="58"/>
      <c r="Q347" s="59"/>
      <c r="R347" s="54"/>
      <c r="S347" s="55"/>
    </row>
    <row r="348" spans="11:19" ht="15.75" thickBot="1" x14ac:dyDescent="0.3">
      <c r="K348" s="60"/>
      <c r="L348" s="61"/>
      <c r="M348" s="56"/>
      <c r="N348" s="57"/>
      <c r="P348" s="60"/>
      <c r="Q348" s="61"/>
      <c r="R348" s="56"/>
      <c r="S348" s="57"/>
    </row>
  </sheetData>
  <mergeCells count="4">
    <mergeCell ref="A8:D8"/>
    <mergeCell ref="F8:I8"/>
    <mergeCell ref="K8:N8"/>
    <mergeCell ref="P8:S8"/>
  </mergeCells>
  <conditionalFormatting sqref="G3">
    <cfRule type="cellIs" dxfId="29" priority="5" operator="greaterThan">
      <formula>$J$4</formula>
    </cfRule>
  </conditionalFormatting>
  <conditionalFormatting sqref="T5">
    <cfRule type="cellIs" dxfId="28" priority="1" operator="greaterThan">
      <formula>$T$6</formula>
    </cfRule>
    <cfRule type="cellIs" dxfId="27" priority="4" operator="lessThan">
      <formula>$T$6</formula>
    </cfRule>
  </conditionalFormatting>
  <conditionalFormatting sqref="T6">
    <cfRule type="cellIs" dxfId="26" priority="2" operator="greaterThan">
      <formula>$T$5</formula>
    </cfRule>
    <cfRule type="cellIs" dxfId="25" priority="3" operator="lessThan">
      <formula>$T$5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A5BAE-41FC-4110-8990-3B56DF041FBF}">
  <sheetPr codeName="Sheet9"/>
  <dimension ref="A1:L47"/>
  <sheetViews>
    <sheetView workbookViewId="0">
      <selection activeCell="F13" sqref="F13"/>
    </sheetView>
  </sheetViews>
  <sheetFormatPr baseColWidth="10" defaultColWidth="9.140625" defaultRowHeight="15" x14ac:dyDescent="0.25"/>
  <cols>
    <col min="3" max="3" width="13.5703125" bestFit="1" customWidth="1"/>
    <col min="4" max="4" width="11.140625" bestFit="1" customWidth="1"/>
    <col min="6" max="6" width="12.140625" bestFit="1" customWidth="1"/>
    <col min="9" max="9" width="13.5703125" bestFit="1" customWidth="1"/>
    <col min="10" max="10" width="11.140625" bestFit="1" customWidth="1"/>
    <col min="12" max="12" width="12.140625" bestFit="1" customWidth="1"/>
  </cols>
  <sheetData>
    <row r="1" spans="1:12" ht="15.75" thickBot="1" x14ac:dyDescent="0.3">
      <c r="A1" s="113" t="s">
        <v>18</v>
      </c>
      <c r="B1" s="114"/>
      <c r="C1" s="114"/>
      <c r="D1" s="115"/>
      <c r="E1" s="31"/>
      <c r="F1" s="31"/>
      <c r="G1" s="113" t="s">
        <v>19</v>
      </c>
      <c r="H1" s="114"/>
      <c r="I1" s="114"/>
      <c r="J1" s="115"/>
    </row>
    <row r="2" spans="1:12" ht="15.75" thickBot="1" x14ac:dyDescent="0.3">
      <c r="A2" s="32" t="s">
        <v>22</v>
      </c>
      <c r="B2" s="33" t="s">
        <v>9</v>
      </c>
      <c r="C2" s="33" t="s">
        <v>7</v>
      </c>
      <c r="D2" s="34" t="s">
        <v>23</v>
      </c>
      <c r="E2" s="31"/>
      <c r="F2" s="31"/>
      <c r="G2" s="32" t="s">
        <v>22</v>
      </c>
      <c r="H2" s="33" t="s">
        <v>9</v>
      </c>
      <c r="I2" s="33" t="s">
        <v>7</v>
      </c>
      <c r="J2" s="34" t="s">
        <v>23</v>
      </c>
      <c r="K2" s="31"/>
    </row>
    <row r="3" spans="1:12" x14ac:dyDescent="0.25">
      <c r="A3" s="38">
        <v>15</v>
      </c>
      <c r="B3" s="39">
        <v>30.326086956521738</v>
      </c>
      <c r="C3" s="40">
        <v>823261</v>
      </c>
      <c r="D3" s="41">
        <v>27146.957706093192</v>
      </c>
      <c r="E3">
        <v>1</v>
      </c>
      <c r="G3" s="74">
        <v>9</v>
      </c>
      <c r="H3" s="70">
        <v>33.41317365269461</v>
      </c>
      <c r="I3" s="75">
        <v>839159</v>
      </c>
      <c r="J3" s="71">
        <v>25114.615232974909</v>
      </c>
      <c r="K3">
        <v>0</v>
      </c>
    </row>
    <row r="4" spans="1:12" x14ac:dyDescent="0.25">
      <c r="A4" s="46">
        <v>4</v>
      </c>
      <c r="B4" s="39">
        <v>30.326086956521738</v>
      </c>
      <c r="C4" s="47">
        <v>748702</v>
      </c>
      <c r="D4" s="41">
        <v>24688.381362007171</v>
      </c>
      <c r="E4">
        <v>1</v>
      </c>
      <c r="G4" s="48">
        <v>1</v>
      </c>
      <c r="H4" s="43">
        <v>33.41317365269461</v>
      </c>
      <c r="I4" s="49">
        <v>816679</v>
      </c>
      <c r="J4" s="45">
        <v>24441.826702508963</v>
      </c>
      <c r="K4">
        <v>1</v>
      </c>
    </row>
    <row r="5" spans="1:12" x14ac:dyDescent="0.25">
      <c r="A5" s="46">
        <v>75</v>
      </c>
      <c r="B5" s="39">
        <v>30.326086956521738</v>
      </c>
      <c r="C5" s="47">
        <v>700923</v>
      </c>
      <c r="D5" s="41">
        <v>23112.873118279571</v>
      </c>
      <c r="E5">
        <v>1</v>
      </c>
      <c r="G5" s="48">
        <v>3</v>
      </c>
      <c r="H5" s="43">
        <v>33.41317365269461</v>
      </c>
      <c r="I5" s="49">
        <v>637399</v>
      </c>
      <c r="J5" s="45">
        <v>19076.278315412186</v>
      </c>
      <c r="K5">
        <v>1</v>
      </c>
    </row>
    <row r="6" spans="1:12" x14ac:dyDescent="0.25">
      <c r="A6" s="46">
        <v>61</v>
      </c>
      <c r="B6" s="39">
        <v>30.326086956521738</v>
      </c>
      <c r="C6" s="47">
        <v>594344</v>
      </c>
      <c r="D6" s="41">
        <v>19598.440143369175</v>
      </c>
      <c r="E6">
        <v>1</v>
      </c>
      <c r="G6" s="48">
        <v>89</v>
      </c>
      <c r="H6" s="43">
        <v>33.41317365269461</v>
      </c>
      <c r="I6" s="49">
        <v>626952</v>
      </c>
      <c r="J6" s="45">
        <v>18763.617204301077</v>
      </c>
      <c r="K6">
        <v>1</v>
      </c>
    </row>
    <row r="7" spans="1:12" x14ac:dyDescent="0.25">
      <c r="A7" s="46">
        <v>2</v>
      </c>
      <c r="B7" s="39">
        <v>30.326086956521738</v>
      </c>
      <c r="C7" s="47">
        <v>573963</v>
      </c>
      <c r="D7" s="41">
        <v>18926.378494623656</v>
      </c>
      <c r="E7">
        <v>1</v>
      </c>
      <c r="G7" s="48">
        <v>74</v>
      </c>
      <c r="H7" s="43">
        <v>33.41317365269461</v>
      </c>
      <c r="I7" s="49">
        <v>528188</v>
      </c>
      <c r="J7" s="45">
        <v>15807.7770609319</v>
      </c>
      <c r="K7">
        <v>1</v>
      </c>
    </row>
    <row r="8" spans="1:12" x14ac:dyDescent="0.25">
      <c r="A8" s="46">
        <v>66</v>
      </c>
      <c r="B8" s="39">
        <v>30.326086956521738</v>
      </c>
      <c r="C8" s="47">
        <v>543888</v>
      </c>
      <c r="D8" s="41">
        <v>17934.65806451613</v>
      </c>
      <c r="E8">
        <v>1</v>
      </c>
      <c r="G8" s="48">
        <v>7</v>
      </c>
      <c r="H8" s="43">
        <v>33.41317365269461</v>
      </c>
      <c r="I8" s="49">
        <v>517706</v>
      </c>
      <c r="J8" s="45">
        <v>15494.068458781363</v>
      </c>
      <c r="K8">
        <v>1</v>
      </c>
      <c r="L8" s="23"/>
    </row>
    <row r="9" spans="1:12" x14ac:dyDescent="0.25">
      <c r="A9" s="46">
        <v>9</v>
      </c>
      <c r="B9" s="39">
        <v>30.326086956521738</v>
      </c>
      <c r="C9" s="47">
        <v>458407</v>
      </c>
      <c r="D9" s="41">
        <v>15115.929749103943</v>
      </c>
      <c r="E9">
        <v>1</v>
      </c>
      <c r="G9" s="48">
        <v>16</v>
      </c>
      <c r="H9" s="43">
        <v>33.41317365269461</v>
      </c>
      <c r="I9" s="49">
        <v>471825</v>
      </c>
      <c r="J9" s="45">
        <v>14120.927419354839</v>
      </c>
      <c r="K9">
        <v>1</v>
      </c>
    </row>
    <row r="10" spans="1:12" x14ac:dyDescent="0.25">
      <c r="A10" s="46">
        <v>6</v>
      </c>
      <c r="B10" s="39">
        <v>30.326086956521738</v>
      </c>
      <c r="C10" s="47">
        <v>413342</v>
      </c>
      <c r="D10" s="41">
        <v>13629.915412186379</v>
      </c>
      <c r="E10">
        <v>1</v>
      </c>
      <c r="G10" s="50">
        <v>20</v>
      </c>
      <c r="H10" s="70">
        <v>33.41317365269461</v>
      </c>
      <c r="I10" s="51">
        <v>465526</v>
      </c>
      <c r="J10" s="71">
        <v>13932.408960573477</v>
      </c>
      <c r="K10">
        <v>0</v>
      </c>
      <c r="L10" s="23">
        <f>I10*K11-I11*K11-C19*K11+C23*K11</f>
        <v>-100412.66666666654</v>
      </c>
    </row>
    <row r="11" spans="1:12" x14ac:dyDescent="0.25">
      <c r="A11" s="46">
        <v>90</v>
      </c>
      <c r="B11" s="39">
        <v>30.326086956521738</v>
      </c>
      <c r="C11" s="47">
        <v>390167</v>
      </c>
      <c r="D11" s="41">
        <v>12865.721863799283</v>
      </c>
      <c r="E11">
        <v>1</v>
      </c>
      <c r="G11" s="52">
        <v>71</v>
      </c>
      <c r="H11" s="72">
        <v>33.41317365269461</v>
      </c>
      <c r="I11" s="53">
        <v>459240</v>
      </c>
      <c r="J11" s="73">
        <v>13744.279569892473</v>
      </c>
      <c r="K11">
        <v>0.66666666666666607</v>
      </c>
    </row>
    <row r="12" spans="1:12" x14ac:dyDescent="0.25">
      <c r="A12" s="46">
        <v>10</v>
      </c>
      <c r="B12" s="39">
        <v>30.326086956521738</v>
      </c>
      <c r="C12" s="47">
        <v>374487</v>
      </c>
      <c r="D12" s="41">
        <v>12348.675268817206</v>
      </c>
      <c r="E12">
        <v>1</v>
      </c>
      <c r="G12" s="58">
        <v>73</v>
      </c>
      <c r="H12" s="68">
        <v>33.41317365269461</v>
      </c>
      <c r="I12" s="54">
        <v>435675</v>
      </c>
      <c r="J12" s="69">
        <v>13039.018817204302</v>
      </c>
    </row>
    <row r="13" spans="1:12" x14ac:dyDescent="0.25">
      <c r="A13" s="46">
        <v>72</v>
      </c>
      <c r="B13" s="39">
        <v>30.326086956521738</v>
      </c>
      <c r="C13" s="47">
        <v>339217</v>
      </c>
      <c r="D13" s="41">
        <v>11185.65017921147</v>
      </c>
      <c r="E13">
        <v>1</v>
      </c>
      <c r="G13" s="50">
        <v>4</v>
      </c>
      <c r="H13" s="70">
        <v>33.41317365269461</v>
      </c>
      <c r="I13" s="51">
        <v>435251</v>
      </c>
      <c r="J13" s="71">
        <v>13026.329211469534</v>
      </c>
      <c r="K13">
        <v>0</v>
      </c>
    </row>
    <row r="14" spans="1:12" x14ac:dyDescent="0.25">
      <c r="A14" s="46">
        <v>63</v>
      </c>
      <c r="B14" s="39">
        <v>30.326086956521738</v>
      </c>
      <c r="C14" s="47">
        <v>148379</v>
      </c>
      <c r="D14" s="41">
        <v>4892.7842293906815</v>
      </c>
      <c r="E14">
        <v>1</v>
      </c>
      <c r="G14" s="58">
        <v>58</v>
      </c>
      <c r="H14" s="68">
        <v>33.41317365269461</v>
      </c>
      <c r="I14" s="54">
        <v>425212</v>
      </c>
      <c r="J14" s="69">
        <v>12725.878853046595</v>
      </c>
    </row>
    <row r="15" spans="1:12" x14ac:dyDescent="0.25">
      <c r="A15" s="46">
        <v>5</v>
      </c>
      <c r="B15" s="39">
        <v>30.326086956521738</v>
      </c>
      <c r="C15" s="47">
        <v>135603</v>
      </c>
      <c r="D15" s="41">
        <v>4471.4967741935488</v>
      </c>
      <c r="E15">
        <v>1</v>
      </c>
      <c r="G15" s="58">
        <v>69</v>
      </c>
      <c r="H15" s="68">
        <v>33.41317365269461</v>
      </c>
      <c r="I15" s="54">
        <v>301059</v>
      </c>
      <c r="J15" s="69">
        <v>9010.188709677419</v>
      </c>
    </row>
    <row r="16" spans="1:12" x14ac:dyDescent="0.25">
      <c r="A16" s="50">
        <v>89</v>
      </c>
      <c r="B16" s="70">
        <v>30.326086956521738</v>
      </c>
      <c r="C16" s="51">
        <v>43767</v>
      </c>
      <c r="D16" s="71">
        <v>1443.2129032258065</v>
      </c>
      <c r="E16">
        <v>0</v>
      </c>
      <c r="F16" s="85">
        <f>C16-C22+I11*(1-K11)+I12*K11-I6</f>
        <v>10525</v>
      </c>
      <c r="G16" s="58">
        <v>91</v>
      </c>
      <c r="H16" s="68">
        <v>33.41317365269461</v>
      </c>
      <c r="I16" s="54">
        <v>248437</v>
      </c>
      <c r="J16" s="69">
        <v>7435.3008960573479</v>
      </c>
    </row>
    <row r="17" spans="1:11" x14ac:dyDescent="0.25">
      <c r="A17" s="46">
        <v>8</v>
      </c>
      <c r="B17" s="39">
        <v>30.326086956521738</v>
      </c>
      <c r="C17" s="47">
        <v>-31569</v>
      </c>
      <c r="D17" s="41">
        <v>-1040.9849462365592</v>
      </c>
      <c r="E17">
        <v>1</v>
      </c>
      <c r="G17" s="50">
        <v>75</v>
      </c>
      <c r="H17" s="70">
        <v>33.41317365269461</v>
      </c>
      <c r="I17" s="51">
        <v>241104</v>
      </c>
      <c r="J17" s="71">
        <v>7215.8365591397851</v>
      </c>
      <c r="K17">
        <v>0</v>
      </c>
    </row>
    <row r="18" spans="1:11" x14ac:dyDescent="0.25">
      <c r="A18" s="46">
        <v>62</v>
      </c>
      <c r="B18" s="39">
        <v>30.326086956521738</v>
      </c>
      <c r="C18" s="47">
        <v>-50310</v>
      </c>
      <c r="D18" s="41">
        <v>-1658.9677419354839</v>
      </c>
      <c r="E18">
        <v>1</v>
      </c>
      <c r="G18" s="58">
        <v>21</v>
      </c>
      <c r="H18" s="68">
        <v>33.41317365269461</v>
      </c>
      <c r="I18" s="54">
        <v>182068</v>
      </c>
      <c r="J18" s="69">
        <v>5448.9885304659501</v>
      </c>
    </row>
    <row r="19" spans="1:11" x14ac:dyDescent="0.25">
      <c r="A19" s="46">
        <v>20</v>
      </c>
      <c r="B19" s="39">
        <v>30.326086956521738</v>
      </c>
      <c r="C19" s="47">
        <v>-55320</v>
      </c>
      <c r="D19" s="41">
        <v>-1824.1720430107528</v>
      </c>
      <c r="E19">
        <v>1</v>
      </c>
      <c r="G19" s="50">
        <v>59</v>
      </c>
      <c r="H19" s="70">
        <v>33.41317365269461</v>
      </c>
      <c r="I19" s="51">
        <v>167225</v>
      </c>
      <c r="J19" s="71">
        <v>5004.7625448028675</v>
      </c>
      <c r="K19">
        <v>0</v>
      </c>
    </row>
    <row r="20" spans="1:11" x14ac:dyDescent="0.25">
      <c r="A20" s="46">
        <v>14</v>
      </c>
      <c r="B20" s="39">
        <v>30.326086956521738</v>
      </c>
      <c r="C20" s="47">
        <v>-99929</v>
      </c>
      <c r="D20" s="41">
        <v>-3295.1498207885306</v>
      </c>
      <c r="E20">
        <v>1</v>
      </c>
      <c r="G20" s="50">
        <v>63</v>
      </c>
      <c r="H20" s="70">
        <v>33.41317365269461</v>
      </c>
      <c r="I20" s="51">
        <v>-59023</v>
      </c>
      <c r="J20" s="71">
        <v>-1766.4589605734768</v>
      </c>
      <c r="K20">
        <v>0</v>
      </c>
    </row>
    <row r="21" spans="1:11" x14ac:dyDescent="0.25">
      <c r="A21" s="46">
        <v>59</v>
      </c>
      <c r="B21" s="39">
        <v>30.326086956521738</v>
      </c>
      <c r="C21" s="47">
        <v>-120499</v>
      </c>
      <c r="D21" s="41">
        <v>-3973.4437275985665</v>
      </c>
      <c r="E21">
        <v>1</v>
      </c>
      <c r="G21" s="58">
        <v>70</v>
      </c>
      <c r="H21" s="68">
        <v>33.41317365269461</v>
      </c>
      <c r="I21" s="54">
        <v>-82956</v>
      </c>
      <c r="J21" s="69">
        <v>-2482.7333333333336</v>
      </c>
    </row>
    <row r="22" spans="1:11" x14ac:dyDescent="0.25">
      <c r="A22" s="46">
        <v>11</v>
      </c>
      <c r="B22" s="39">
        <v>30.326086956521738</v>
      </c>
      <c r="C22" s="47">
        <v>-150180</v>
      </c>
      <c r="D22" s="41">
        <v>-4952.1720430107525</v>
      </c>
      <c r="E22">
        <v>1</v>
      </c>
      <c r="G22" s="58">
        <v>64</v>
      </c>
      <c r="H22" s="68">
        <v>33.41317365269461</v>
      </c>
      <c r="I22" s="54">
        <v>-163863</v>
      </c>
      <c r="J22" s="69">
        <v>-4904.1435483870973</v>
      </c>
    </row>
    <row r="23" spans="1:11" x14ac:dyDescent="0.25">
      <c r="A23" s="58">
        <v>19</v>
      </c>
      <c r="B23" s="68">
        <v>30.326086956521738</v>
      </c>
      <c r="C23" s="54">
        <v>-212225</v>
      </c>
      <c r="D23" s="69">
        <v>-6998.1003584229393</v>
      </c>
      <c r="G23" s="50">
        <v>8</v>
      </c>
      <c r="H23" s="70">
        <v>33.41317365269461</v>
      </c>
      <c r="I23" s="51">
        <v>-187009</v>
      </c>
      <c r="J23" s="71">
        <v>-5596.8643369175625</v>
      </c>
      <c r="K23">
        <v>0</v>
      </c>
    </row>
    <row r="24" spans="1:11" x14ac:dyDescent="0.25">
      <c r="A24" s="50">
        <v>7</v>
      </c>
      <c r="B24" s="70">
        <v>30.326086956521738</v>
      </c>
      <c r="C24" s="51">
        <v>-425925</v>
      </c>
      <c r="D24" s="71">
        <v>-14044.83870967742</v>
      </c>
      <c r="E24">
        <v>0</v>
      </c>
      <c r="G24" s="50">
        <v>61</v>
      </c>
      <c r="H24" s="70">
        <v>33.41317365269461</v>
      </c>
      <c r="I24" s="51">
        <v>-223907</v>
      </c>
      <c r="J24" s="71">
        <v>-6701.159318996416</v>
      </c>
      <c r="K24">
        <v>0</v>
      </c>
    </row>
    <row r="25" spans="1:11" x14ac:dyDescent="0.25">
      <c r="A25" s="58">
        <v>88</v>
      </c>
      <c r="B25" s="68">
        <v>30.326086956521738</v>
      </c>
      <c r="C25" s="54">
        <v>-426293</v>
      </c>
      <c r="D25" s="69">
        <v>-14056.973476702509</v>
      </c>
      <c r="G25" s="58">
        <v>92</v>
      </c>
      <c r="H25" s="68">
        <v>33.41317365269461</v>
      </c>
      <c r="I25" s="54">
        <v>-299484</v>
      </c>
      <c r="J25" s="69">
        <v>-8963.0516129032258</v>
      </c>
    </row>
    <row r="26" spans="1:11" x14ac:dyDescent="0.25">
      <c r="A26" s="50">
        <v>1</v>
      </c>
      <c r="B26" s="70">
        <v>30.326086956521738</v>
      </c>
      <c r="C26" s="51">
        <v>-436549</v>
      </c>
      <c r="D26" s="71">
        <v>-14395.164157706093</v>
      </c>
      <c r="E26">
        <v>0</v>
      </c>
      <c r="G26" s="58">
        <v>93</v>
      </c>
      <c r="H26" s="68">
        <v>33.41317365269461</v>
      </c>
      <c r="I26" s="54">
        <v>-392062</v>
      </c>
      <c r="J26" s="69">
        <v>-11733.755197132617</v>
      </c>
    </row>
    <row r="27" spans="1:11" x14ac:dyDescent="0.25">
      <c r="A27" s="50">
        <v>16</v>
      </c>
      <c r="B27" s="70">
        <v>30.326086956521738</v>
      </c>
      <c r="C27" s="51">
        <v>-516654</v>
      </c>
      <c r="D27" s="71">
        <v>-17036.619354838709</v>
      </c>
      <c r="E27">
        <v>0</v>
      </c>
      <c r="G27" s="58">
        <v>17</v>
      </c>
      <c r="H27" s="68">
        <v>33.41317365269461</v>
      </c>
      <c r="I27" s="54">
        <v>-421127</v>
      </c>
      <c r="J27" s="69">
        <v>-12603.621684587813</v>
      </c>
    </row>
    <row r="28" spans="1:11" x14ac:dyDescent="0.25">
      <c r="A28" s="58">
        <v>73</v>
      </c>
      <c r="B28" s="68">
        <v>30.326086956521738</v>
      </c>
      <c r="C28" s="54">
        <v>-526062</v>
      </c>
      <c r="D28" s="69">
        <v>-17346.847311827958</v>
      </c>
      <c r="G28" s="50">
        <v>5</v>
      </c>
      <c r="H28" s="70">
        <v>33.41317365269461</v>
      </c>
      <c r="I28" s="51">
        <v>-473972</v>
      </c>
      <c r="J28" s="71">
        <v>-14185.183512544803</v>
      </c>
      <c r="K28">
        <v>0</v>
      </c>
    </row>
    <row r="29" spans="1:11" x14ac:dyDescent="0.25">
      <c r="A29" s="58">
        <v>69</v>
      </c>
      <c r="B29" s="68">
        <v>30.326086956521738</v>
      </c>
      <c r="C29" s="54">
        <v>-582190</v>
      </c>
      <c r="D29" s="69">
        <v>-19197.663082437277</v>
      </c>
      <c r="G29" s="58">
        <v>67</v>
      </c>
      <c r="H29" s="68">
        <v>33.41317365269461</v>
      </c>
      <c r="I29" s="54">
        <v>-479440</v>
      </c>
      <c r="J29" s="69">
        <v>-14348.831541218638</v>
      </c>
    </row>
    <row r="30" spans="1:11" x14ac:dyDescent="0.25">
      <c r="A30" s="58">
        <v>17</v>
      </c>
      <c r="B30" s="68">
        <v>30.326086956521738</v>
      </c>
      <c r="C30" s="54">
        <v>-710390</v>
      </c>
      <c r="D30" s="69">
        <v>-23425.046594982079</v>
      </c>
      <c r="G30" s="58">
        <v>65</v>
      </c>
      <c r="H30" s="68">
        <v>33.41317365269461</v>
      </c>
      <c r="I30" s="54">
        <v>-681880</v>
      </c>
      <c r="J30" s="69">
        <v>-20407.519713261649</v>
      </c>
    </row>
    <row r="31" spans="1:11" x14ac:dyDescent="0.25">
      <c r="A31" s="58">
        <v>12</v>
      </c>
      <c r="B31" s="68">
        <v>30.326086956521738</v>
      </c>
      <c r="C31" s="54">
        <v>-753136</v>
      </c>
      <c r="D31" s="69">
        <v>-24834.592114695341</v>
      </c>
      <c r="G31" s="50">
        <v>15</v>
      </c>
      <c r="H31" s="70">
        <v>33.41317365269461</v>
      </c>
      <c r="I31" s="51">
        <v>-737370</v>
      </c>
      <c r="J31" s="71">
        <v>-22068.241935483871</v>
      </c>
      <c r="K31">
        <v>0</v>
      </c>
    </row>
    <row r="32" spans="1:11" x14ac:dyDescent="0.25">
      <c r="A32" s="58">
        <v>58</v>
      </c>
      <c r="B32" s="68">
        <v>30.326086956521738</v>
      </c>
      <c r="C32" s="54">
        <v>-793953</v>
      </c>
      <c r="D32" s="69">
        <v>-26180.529032258066</v>
      </c>
      <c r="G32" s="50">
        <v>6</v>
      </c>
      <c r="H32" s="70">
        <v>33.41317365269461</v>
      </c>
      <c r="I32" s="51">
        <v>-760719</v>
      </c>
      <c r="J32" s="71">
        <v>-22767.038172043012</v>
      </c>
      <c r="K32">
        <v>0</v>
      </c>
    </row>
    <row r="33" spans="1:11" x14ac:dyDescent="0.25">
      <c r="A33" s="58">
        <v>68</v>
      </c>
      <c r="B33" s="68">
        <v>30.326086956521738</v>
      </c>
      <c r="C33" s="54">
        <v>-803861</v>
      </c>
      <c r="D33" s="69">
        <v>-26507.244444444445</v>
      </c>
      <c r="G33" s="58">
        <v>18</v>
      </c>
      <c r="H33" s="68">
        <v>33.41317365269461</v>
      </c>
      <c r="I33" s="54">
        <v>-824942</v>
      </c>
      <c r="J33" s="69">
        <v>-24689.124372759856</v>
      </c>
    </row>
    <row r="34" spans="1:11" x14ac:dyDescent="0.25">
      <c r="A34" s="58">
        <v>60</v>
      </c>
      <c r="B34" s="68">
        <v>30.326086956521738</v>
      </c>
      <c r="C34" s="54">
        <v>-850901</v>
      </c>
      <c r="D34" s="69">
        <v>-28058.384229390682</v>
      </c>
      <c r="G34" s="50">
        <v>11</v>
      </c>
      <c r="H34" s="70">
        <v>33.41317365269461</v>
      </c>
      <c r="I34" s="51">
        <v>-906527</v>
      </c>
      <c r="J34" s="71">
        <v>-27130.825985663083</v>
      </c>
      <c r="K34">
        <v>0</v>
      </c>
    </row>
    <row r="35" spans="1:11" x14ac:dyDescent="0.25">
      <c r="A35" s="50">
        <v>74</v>
      </c>
      <c r="B35" s="70">
        <v>30.326086956521738</v>
      </c>
      <c r="C35" s="51">
        <v>-871942</v>
      </c>
      <c r="D35" s="71">
        <v>-28752.209318996418</v>
      </c>
      <c r="E35">
        <v>0</v>
      </c>
      <c r="G35" s="50">
        <v>14</v>
      </c>
      <c r="H35" s="70">
        <v>33.41317365269461</v>
      </c>
      <c r="I35" s="51">
        <v>-923878</v>
      </c>
      <c r="J35" s="71">
        <v>-27650.112186379931</v>
      </c>
      <c r="K35">
        <v>0</v>
      </c>
    </row>
    <row r="36" spans="1:11" x14ac:dyDescent="0.25">
      <c r="A36" s="52">
        <v>71</v>
      </c>
      <c r="B36" s="72">
        <v>30.326086956521738</v>
      </c>
      <c r="C36" s="53">
        <v>-879757</v>
      </c>
      <c r="D36" s="73">
        <v>-29009.908243727601</v>
      </c>
      <c r="G36" s="50">
        <v>90</v>
      </c>
      <c r="H36" s="70">
        <v>33.41317365269461</v>
      </c>
      <c r="I36" s="51">
        <v>-944796</v>
      </c>
      <c r="J36" s="71">
        <v>-28276.152688172042</v>
      </c>
      <c r="K36">
        <v>0</v>
      </c>
    </row>
    <row r="37" spans="1:11" x14ac:dyDescent="0.25">
      <c r="A37" s="58">
        <v>13</v>
      </c>
      <c r="B37" s="68">
        <v>30.326086956521738</v>
      </c>
      <c r="C37" s="54">
        <v>-1072053</v>
      </c>
      <c r="D37" s="69">
        <v>-35350.851612903229</v>
      </c>
      <c r="G37" s="58">
        <v>88</v>
      </c>
      <c r="H37" s="68">
        <v>33.41317365269461</v>
      </c>
      <c r="I37" s="54">
        <v>-964689</v>
      </c>
      <c r="J37" s="69">
        <v>-28871.516666666666</v>
      </c>
    </row>
    <row r="38" spans="1:11" x14ac:dyDescent="0.25">
      <c r="A38" s="58">
        <v>92</v>
      </c>
      <c r="B38" s="68">
        <v>30.326086956521738</v>
      </c>
      <c r="C38" s="54">
        <v>-1105120</v>
      </c>
      <c r="D38" s="69">
        <v>-36441.232974910396</v>
      </c>
      <c r="G38" s="50">
        <v>10</v>
      </c>
      <c r="H38" s="70">
        <v>33.41317365269461</v>
      </c>
      <c r="I38" s="51">
        <v>-1019506</v>
      </c>
      <c r="J38" s="71">
        <v>-30512.097132616487</v>
      </c>
      <c r="K38">
        <v>0</v>
      </c>
    </row>
    <row r="39" spans="1:11" x14ac:dyDescent="0.25">
      <c r="A39" s="58">
        <v>21</v>
      </c>
      <c r="B39" s="68">
        <v>30.326086956521738</v>
      </c>
      <c r="C39" s="54">
        <v>-1124143</v>
      </c>
      <c r="D39" s="69">
        <v>-37068.514695340506</v>
      </c>
      <c r="G39" s="50">
        <v>2</v>
      </c>
      <c r="H39" s="70">
        <v>33.41317365269461</v>
      </c>
      <c r="I39" s="51">
        <v>-1048073</v>
      </c>
      <c r="J39" s="71">
        <v>-31367.059318996417</v>
      </c>
      <c r="K39">
        <v>0</v>
      </c>
    </row>
    <row r="40" spans="1:11" x14ac:dyDescent="0.25">
      <c r="A40" s="58">
        <v>64</v>
      </c>
      <c r="B40" s="68">
        <v>30.326086956521738</v>
      </c>
      <c r="C40" s="54">
        <v>-1198677</v>
      </c>
      <c r="D40" s="69">
        <v>-39526.26666666667</v>
      </c>
      <c r="G40" s="58">
        <v>12</v>
      </c>
      <c r="H40" s="68">
        <v>33.41317365269461</v>
      </c>
      <c r="I40" s="54">
        <v>-1098022</v>
      </c>
      <c r="J40" s="69">
        <v>-32861.948745519716</v>
      </c>
    </row>
    <row r="41" spans="1:11" x14ac:dyDescent="0.25">
      <c r="A41" s="50">
        <v>3</v>
      </c>
      <c r="B41" s="70">
        <v>30.326086956521738</v>
      </c>
      <c r="C41" s="51">
        <v>-1231829</v>
      </c>
      <c r="D41" s="71">
        <v>-40619.450896057351</v>
      </c>
      <c r="E41">
        <v>0</v>
      </c>
      <c r="G41" s="50">
        <v>72</v>
      </c>
      <c r="H41" s="70">
        <v>33.41317365269461</v>
      </c>
      <c r="I41" s="51">
        <v>-1168137</v>
      </c>
      <c r="J41" s="71">
        <v>-34960.372580645162</v>
      </c>
      <c r="K41">
        <v>0</v>
      </c>
    </row>
    <row r="42" spans="1:11" x14ac:dyDescent="0.25">
      <c r="A42" s="58">
        <v>70</v>
      </c>
      <c r="B42" s="68">
        <v>30.326086956521738</v>
      </c>
      <c r="C42" s="54">
        <v>-1290356</v>
      </c>
      <c r="D42" s="69">
        <v>-42549.373476702509</v>
      </c>
      <c r="G42" s="50">
        <v>62</v>
      </c>
      <c r="H42" s="70">
        <v>33.41317365269461</v>
      </c>
      <c r="I42" s="51">
        <v>-1177761</v>
      </c>
      <c r="J42" s="71">
        <v>-35248.402688172042</v>
      </c>
      <c r="K42">
        <v>0</v>
      </c>
    </row>
    <row r="43" spans="1:11" x14ac:dyDescent="0.25">
      <c r="A43" s="58">
        <v>65</v>
      </c>
      <c r="B43" s="68">
        <v>30.326086956521738</v>
      </c>
      <c r="C43" s="54">
        <v>-1335361</v>
      </c>
      <c r="D43" s="69">
        <v>-44033.409318996419</v>
      </c>
      <c r="G43" s="58">
        <v>19</v>
      </c>
      <c r="H43" s="68">
        <v>33.41317365269461</v>
      </c>
      <c r="I43" s="54">
        <v>-1251057</v>
      </c>
      <c r="J43" s="69">
        <v>-37442.028494623657</v>
      </c>
    </row>
    <row r="44" spans="1:11" x14ac:dyDescent="0.25">
      <c r="A44" s="58">
        <v>18</v>
      </c>
      <c r="B44" s="68">
        <v>30.326086956521738</v>
      </c>
      <c r="C44" s="54">
        <v>-1388548</v>
      </c>
      <c r="D44" s="69">
        <v>-45787.2458781362</v>
      </c>
      <c r="G44" s="58">
        <v>68</v>
      </c>
      <c r="H44" s="68">
        <v>33.41317365269461</v>
      </c>
      <c r="I44" s="54">
        <v>-1292553</v>
      </c>
      <c r="J44" s="69">
        <v>-38683.933870967739</v>
      </c>
    </row>
    <row r="45" spans="1:11" x14ac:dyDescent="0.25">
      <c r="A45" s="58">
        <v>91</v>
      </c>
      <c r="B45" s="68">
        <v>30.326086956521738</v>
      </c>
      <c r="C45" s="54">
        <v>-1477388</v>
      </c>
      <c r="D45" s="69">
        <v>-48716.736917562725</v>
      </c>
      <c r="G45" s="58">
        <v>60</v>
      </c>
      <c r="H45" s="68">
        <v>33.41317365269461</v>
      </c>
      <c r="I45" s="54">
        <v>-1363928</v>
      </c>
      <c r="J45" s="69">
        <v>-40820.067383512549</v>
      </c>
    </row>
    <row r="46" spans="1:11" x14ac:dyDescent="0.25">
      <c r="A46" s="58">
        <v>67</v>
      </c>
      <c r="B46" s="68">
        <v>30.326086956521738</v>
      </c>
      <c r="C46" s="54">
        <v>-1558535</v>
      </c>
      <c r="D46" s="69">
        <v>-51392.551971326167</v>
      </c>
      <c r="G46" s="50">
        <v>66</v>
      </c>
      <c r="H46" s="70">
        <v>33.41317365269461</v>
      </c>
      <c r="I46" s="51">
        <v>-1541082</v>
      </c>
      <c r="J46" s="71">
        <v>-46121.988172043013</v>
      </c>
      <c r="K46">
        <v>0</v>
      </c>
    </row>
    <row r="47" spans="1:11" x14ac:dyDescent="0.25">
      <c r="A47" s="58">
        <v>93</v>
      </c>
      <c r="B47" s="68">
        <v>30.326086956521738</v>
      </c>
      <c r="C47" s="54">
        <v>-1560391</v>
      </c>
      <c r="D47" s="69">
        <v>-51453.753405017924</v>
      </c>
      <c r="G47" s="58">
        <v>13</v>
      </c>
      <c r="H47" s="68">
        <v>33.41317365269461</v>
      </c>
      <c r="I47" s="54">
        <v>-1570807</v>
      </c>
      <c r="J47" s="69">
        <v>-47011.607347670251</v>
      </c>
    </row>
  </sheetData>
  <mergeCells count="2">
    <mergeCell ref="A1:D1"/>
    <mergeCell ref="G1:J1"/>
  </mergeCells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ED663F-7808-4AEE-BCB1-EA177C3FA318}">
  <sheetPr codeName="Sheet26"/>
  <dimension ref="A1:T348"/>
  <sheetViews>
    <sheetView zoomScale="70" zoomScaleNormal="70" workbookViewId="0">
      <pane ySplit="9" topLeftCell="A10" activePane="bottomLeft" state="frozen"/>
      <selection pane="bottomLeft" activeCell="J20" sqref="J20"/>
    </sheetView>
  </sheetViews>
  <sheetFormatPr baseColWidth="10" defaultColWidth="9.140625" defaultRowHeight="15" x14ac:dyDescent="0.25"/>
  <cols>
    <col min="2" max="2" width="11.85546875" bestFit="1" customWidth="1"/>
    <col min="3" max="3" width="13.85546875" customWidth="1"/>
    <col min="4" max="4" width="14.5703125" customWidth="1"/>
    <col min="5" max="8" width="14.5703125" bestFit="1" customWidth="1"/>
    <col min="9" max="9" width="11.42578125" bestFit="1" customWidth="1"/>
    <col min="10" max="10" width="12.140625" bestFit="1" customWidth="1"/>
    <col min="12" max="12" width="11.85546875" bestFit="1" customWidth="1"/>
    <col min="13" max="13" width="13.85546875" bestFit="1" customWidth="1"/>
    <col min="14" max="14" width="12.7109375" bestFit="1" customWidth="1"/>
    <col min="15" max="15" width="8.7109375" customWidth="1"/>
    <col min="18" max="18" width="13.85546875" bestFit="1" customWidth="1"/>
    <col min="19" max="19" width="11.5703125" bestFit="1" customWidth="1"/>
    <col min="20" max="20" width="12.42578125" bestFit="1" customWidth="1"/>
    <col min="22" max="23" width="14.5703125" bestFit="1" customWidth="1"/>
    <col min="24" max="24" width="15.85546875" bestFit="1" customWidth="1"/>
    <col min="26" max="26" width="15.85546875" bestFit="1" customWidth="1"/>
  </cols>
  <sheetData>
    <row r="1" spans="1:20" ht="15.75" thickBot="1" x14ac:dyDescent="0.3">
      <c r="C1" s="1" t="s">
        <v>0</v>
      </c>
      <c r="D1" s="2" t="s">
        <v>1</v>
      </c>
      <c r="E1" s="1" t="s">
        <v>2</v>
      </c>
      <c r="F1" s="2" t="s">
        <v>3</v>
      </c>
      <c r="G1" s="63" t="s">
        <v>4</v>
      </c>
      <c r="H1" s="81" t="s">
        <v>24</v>
      </c>
      <c r="I1" s="66" t="s">
        <v>5</v>
      </c>
      <c r="J1" s="3">
        <v>368</v>
      </c>
      <c r="M1" s="1" t="s">
        <v>5</v>
      </c>
      <c r="N1" s="4" t="s">
        <v>6</v>
      </c>
      <c r="P1" t="s">
        <v>0</v>
      </c>
      <c r="Q1">
        <f>SUM(E10:E54)</f>
        <v>19</v>
      </c>
      <c r="R1" t="s">
        <v>2</v>
      </c>
      <c r="S1">
        <f>(M3/M2)*Q1</f>
        <v>12.666666666666668</v>
      </c>
      <c r="T1">
        <f>S1-12</f>
        <v>0.66666666666666785</v>
      </c>
    </row>
    <row r="2" spans="1:20" ht="15.75" thickBot="1" x14ac:dyDescent="0.3">
      <c r="B2" s="5" t="s">
        <v>7</v>
      </c>
      <c r="C2" s="6">
        <f>SUMPRODUCT(C10:C118,E10:E118)</f>
        <v>5930823</v>
      </c>
      <c r="D2" s="7">
        <f>SUMPRODUCT(H10:H118,J10:J118)</f>
        <v>3721487</v>
      </c>
      <c r="E2" s="6">
        <f>SUMPRODUCT(M10:M348,O10:O348)</f>
        <v>7425461.333333334</v>
      </c>
      <c r="F2" s="7">
        <f>SUMPRODUCT(R10:R348,T10:T348)</f>
        <v>7702623</v>
      </c>
      <c r="G2" s="64">
        <f>C2+D2+E2+F2</f>
        <v>24780394.333333336</v>
      </c>
      <c r="H2" s="82">
        <v>24786935</v>
      </c>
      <c r="I2" s="67" t="s">
        <v>6</v>
      </c>
      <c r="J2" s="8">
        <v>334</v>
      </c>
      <c r="L2" s="5" t="s">
        <v>8</v>
      </c>
      <c r="M2" s="9">
        <v>0.6</v>
      </c>
      <c r="N2" s="10">
        <v>0.25</v>
      </c>
      <c r="P2" t="s">
        <v>3</v>
      </c>
      <c r="Q2">
        <f>SUM(T10:T64)</f>
        <v>20</v>
      </c>
      <c r="R2" t="s">
        <v>1</v>
      </c>
      <c r="S2">
        <f>(N2/N3)*Q2</f>
        <v>6.6666666666666661</v>
      </c>
      <c r="T2">
        <f>S2-6</f>
        <v>0.66666666666666607</v>
      </c>
    </row>
    <row r="3" spans="1:20" ht="15.75" thickBot="1" x14ac:dyDescent="0.3">
      <c r="B3" s="11" t="s">
        <v>9</v>
      </c>
      <c r="C3" s="12">
        <f>SUMPRODUCT(B10:B118,E10:E118)</f>
        <v>576.19565217391312</v>
      </c>
      <c r="D3" s="13">
        <f>SUMPRODUCT(G10:G118,J10:J118)</f>
        <v>222.75449101796406</v>
      </c>
      <c r="E3" s="12">
        <f>SUMPRODUCT(L10:L348,O10:O348)</f>
        <v>384.1304347826088</v>
      </c>
      <c r="F3" s="13">
        <f>SUMPRODUCT(Q10:Q348,T10:T348)</f>
        <v>668.26347305389186</v>
      </c>
      <c r="G3" s="65">
        <f>SUM(C3:F3)</f>
        <v>1851.3440510283779</v>
      </c>
      <c r="H3" s="80">
        <f>(H2-G2)/G2</f>
        <v>2.6394522131820993E-4</v>
      </c>
      <c r="I3" s="67" t="s">
        <v>10</v>
      </c>
      <c r="J3" s="8">
        <f>11160</f>
        <v>11160</v>
      </c>
      <c r="L3" s="14" t="s">
        <v>11</v>
      </c>
      <c r="M3" s="15">
        <v>0.4</v>
      </c>
      <c r="N3" s="16">
        <v>0.75</v>
      </c>
      <c r="P3" t="s">
        <v>0</v>
      </c>
      <c r="Q3">
        <v>1</v>
      </c>
      <c r="R3" t="s">
        <v>2</v>
      </c>
      <c r="S3">
        <f>(M3/M2)*Q3</f>
        <v>0.66666666666666674</v>
      </c>
    </row>
    <row r="4" spans="1:20" ht="15.75" thickBot="1" x14ac:dyDescent="0.3">
      <c r="B4" s="14" t="s">
        <v>12</v>
      </c>
      <c r="C4" s="17">
        <f>SUM(E10:E118)*J3</f>
        <v>212040</v>
      </c>
      <c r="D4" s="18">
        <f>SUM(J10:J118)*J3</f>
        <v>74400</v>
      </c>
      <c r="E4" s="17">
        <f>SUM(O10:O348)*J3</f>
        <v>141360</v>
      </c>
      <c r="F4" s="18">
        <f>SUM(T10:T348)*J3</f>
        <v>223200</v>
      </c>
      <c r="G4" s="19">
        <f>SUM(C4:F4)</f>
        <v>651000</v>
      </c>
      <c r="H4" s="20"/>
      <c r="I4" s="21" t="s">
        <v>13</v>
      </c>
      <c r="J4" s="22">
        <v>100000</v>
      </c>
      <c r="L4" s="5" t="s">
        <v>14</v>
      </c>
      <c r="M4" s="76">
        <f>C4/(C4+E4)</f>
        <v>0.6</v>
      </c>
      <c r="N4" s="77">
        <f>D4/(D4+F4)</f>
        <v>0.25</v>
      </c>
      <c r="O4" s="23"/>
      <c r="P4" t="s">
        <v>3</v>
      </c>
      <c r="Q4">
        <v>1</v>
      </c>
      <c r="R4" t="s">
        <v>1</v>
      </c>
      <c r="S4">
        <f>(N2/N3)*Q4</f>
        <v>0.33333333333333331</v>
      </c>
    </row>
    <row r="5" spans="1:20" ht="15.75" thickBot="1" x14ac:dyDescent="0.3">
      <c r="B5" s="24" t="s">
        <v>15</v>
      </c>
      <c r="C5" s="25">
        <v>217620</v>
      </c>
      <c r="D5" s="26">
        <v>74400</v>
      </c>
      <c r="E5" s="27">
        <v>145080</v>
      </c>
      <c r="F5" s="26">
        <v>223200</v>
      </c>
      <c r="G5" s="28">
        <f>SUM(C5:F5)</f>
        <v>660300</v>
      </c>
      <c r="H5" s="20"/>
      <c r="I5" s="20"/>
      <c r="L5" s="29" t="s">
        <v>16</v>
      </c>
      <c r="M5" s="78">
        <f>E4/(C4+E4)</f>
        <v>0.4</v>
      </c>
      <c r="N5" s="79">
        <f>F4/(D4+F4)</f>
        <v>0.75</v>
      </c>
      <c r="O5" s="23"/>
      <c r="P5" t="s">
        <v>0</v>
      </c>
      <c r="Q5">
        <v>-4952.1720430107525</v>
      </c>
      <c r="R5" t="s">
        <v>2</v>
      </c>
      <c r="S5">
        <v>8075.2917562724015</v>
      </c>
      <c r="T5">
        <f>Q5*Q3+S5*S3</f>
        <v>431.35579450418209</v>
      </c>
    </row>
    <row r="6" spans="1:20" ht="15.75" thickBot="1" x14ac:dyDescent="0.3">
      <c r="B6" s="24" t="s">
        <v>17</v>
      </c>
      <c r="C6" s="27">
        <f>C5-C4</f>
        <v>5580</v>
      </c>
      <c r="D6" s="30">
        <f>D5-D4</f>
        <v>0</v>
      </c>
      <c r="E6" s="27">
        <f>E5-E4</f>
        <v>3720</v>
      </c>
      <c r="F6" s="30">
        <f>F5-F4</f>
        <v>0</v>
      </c>
      <c r="H6" s="20">
        <v>24769869.333333336</v>
      </c>
      <c r="I6" s="20"/>
      <c r="J6" s="62"/>
      <c r="N6" s="23"/>
      <c r="O6" s="23"/>
      <c r="P6" t="s">
        <v>3</v>
      </c>
      <c r="Q6">
        <v>-7110.5188172043008</v>
      </c>
      <c r="R6" t="s">
        <v>1</v>
      </c>
      <c r="S6">
        <v>13039.018817204302</v>
      </c>
      <c r="T6">
        <f>Q6*Q4+S6*S4</f>
        <v>-2764.1792114695336</v>
      </c>
    </row>
    <row r="7" spans="1:20" ht="15.75" thickBot="1" x14ac:dyDescent="0.3"/>
    <row r="8" spans="1:20" ht="15.75" thickBot="1" x14ac:dyDescent="0.3">
      <c r="A8" s="113" t="s">
        <v>18</v>
      </c>
      <c r="B8" s="114"/>
      <c r="C8" s="114"/>
      <c r="D8" s="115"/>
      <c r="E8" s="31"/>
      <c r="F8" s="113" t="s">
        <v>19</v>
      </c>
      <c r="G8" s="114"/>
      <c r="H8" s="114"/>
      <c r="I8" s="115"/>
      <c r="J8" s="31"/>
      <c r="K8" s="113" t="s">
        <v>20</v>
      </c>
      <c r="L8" s="114"/>
      <c r="M8" s="114"/>
      <c r="N8" s="115"/>
      <c r="O8" s="31"/>
      <c r="P8" s="113" t="s">
        <v>21</v>
      </c>
      <c r="Q8" s="114"/>
      <c r="R8" s="114"/>
      <c r="S8" s="115"/>
    </row>
    <row r="9" spans="1:20" ht="15.75" thickBot="1" x14ac:dyDescent="0.3">
      <c r="A9" s="32" t="s">
        <v>22</v>
      </c>
      <c r="B9" s="33" t="s">
        <v>9</v>
      </c>
      <c r="C9" s="33" t="s">
        <v>7</v>
      </c>
      <c r="D9" s="34" t="s">
        <v>23</v>
      </c>
      <c r="E9" s="31"/>
      <c r="F9" s="32" t="s">
        <v>22</v>
      </c>
      <c r="G9" s="33" t="s">
        <v>9</v>
      </c>
      <c r="H9" s="33" t="s">
        <v>7</v>
      </c>
      <c r="I9" s="34" t="s">
        <v>23</v>
      </c>
      <c r="J9" s="31"/>
      <c r="K9" s="32" t="s">
        <v>22</v>
      </c>
      <c r="L9" s="33" t="s">
        <v>9</v>
      </c>
      <c r="M9" s="33" t="s">
        <v>7</v>
      </c>
      <c r="N9" s="34" t="s">
        <v>23</v>
      </c>
      <c r="O9" s="31"/>
      <c r="P9" s="35" t="s">
        <v>22</v>
      </c>
      <c r="Q9" s="36" t="s">
        <v>9</v>
      </c>
      <c r="R9" s="36" t="s">
        <v>7</v>
      </c>
      <c r="S9" s="37" t="s">
        <v>23</v>
      </c>
    </row>
    <row r="10" spans="1:20" x14ac:dyDescent="0.25">
      <c r="A10" s="38">
        <v>15</v>
      </c>
      <c r="B10" s="39">
        <f>$J$3/$J$1</f>
        <v>30.326086956521738</v>
      </c>
      <c r="C10" s="40">
        <v>823261</v>
      </c>
      <c r="D10" s="41">
        <f>C10/B10</f>
        <v>27146.957706093192</v>
      </c>
      <c r="E10">
        <v>1</v>
      </c>
      <c r="F10" s="74">
        <v>9</v>
      </c>
      <c r="G10" s="70">
        <f>$J$3/$J$2</f>
        <v>33.41317365269461</v>
      </c>
      <c r="H10" s="75">
        <v>839159</v>
      </c>
      <c r="I10" s="71">
        <f>H10/G10</f>
        <v>25114.615232974909</v>
      </c>
      <c r="J10">
        <v>0</v>
      </c>
      <c r="K10" s="38">
        <v>99</v>
      </c>
      <c r="L10" s="39">
        <f>$J$3/$J$1</f>
        <v>30.326086956521738</v>
      </c>
      <c r="M10" s="40">
        <v>891762</v>
      </c>
      <c r="N10" s="41">
        <f>M10/L10</f>
        <v>29405.772043010755</v>
      </c>
      <c r="O10">
        <v>1</v>
      </c>
      <c r="P10" s="42">
        <v>31</v>
      </c>
      <c r="Q10" s="43">
        <f>$J$3/$J$2</f>
        <v>33.41317365269461</v>
      </c>
      <c r="R10" s="44">
        <v>828146</v>
      </c>
      <c r="S10" s="45">
        <f>R10/Q10</f>
        <v>24785.014695340502</v>
      </c>
      <c r="T10">
        <v>1</v>
      </c>
    </row>
    <row r="11" spans="1:20" x14ac:dyDescent="0.25">
      <c r="A11" s="46">
        <v>4</v>
      </c>
      <c r="B11" s="39">
        <f t="shared" ref="B11:B54" si="0">$J$3/$J$1</f>
        <v>30.326086956521738</v>
      </c>
      <c r="C11" s="47">
        <v>748702</v>
      </c>
      <c r="D11" s="41">
        <f t="shared" ref="D11:D54" si="1">C11/B11</f>
        <v>24688.381362007171</v>
      </c>
      <c r="E11">
        <v>1</v>
      </c>
      <c r="F11" s="48">
        <v>1</v>
      </c>
      <c r="G11" s="43">
        <f t="shared" ref="G11:G54" si="2">$J$3/$J$2</f>
        <v>33.41317365269461</v>
      </c>
      <c r="H11" s="49">
        <v>816679</v>
      </c>
      <c r="I11" s="45">
        <f t="shared" ref="I11:I54" si="3">H11/G11</f>
        <v>24441.826702508963</v>
      </c>
      <c r="J11">
        <v>1</v>
      </c>
      <c r="K11" s="46">
        <v>22</v>
      </c>
      <c r="L11" s="39">
        <f t="shared" ref="L11:L64" si="4">$J$3/$J$1</f>
        <v>30.326086956521738</v>
      </c>
      <c r="M11" s="47">
        <v>787867</v>
      </c>
      <c r="N11" s="41">
        <f t="shared" ref="N11:N64" si="5">M11/L11</f>
        <v>25979.843727598567</v>
      </c>
      <c r="O11">
        <v>1</v>
      </c>
      <c r="P11" s="48">
        <v>95</v>
      </c>
      <c r="Q11" s="43">
        <f t="shared" ref="Q11:Q64" si="6">$J$3/$J$2</f>
        <v>33.41317365269461</v>
      </c>
      <c r="R11" s="49">
        <v>778683</v>
      </c>
      <c r="S11" s="45">
        <f t="shared" ref="S11:S64" si="7">R11/Q11</f>
        <v>23304.670430107526</v>
      </c>
      <c r="T11">
        <v>1</v>
      </c>
    </row>
    <row r="12" spans="1:20" x14ac:dyDescent="0.25">
      <c r="A12" s="46">
        <v>75</v>
      </c>
      <c r="B12" s="39">
        <f t="shared" si="0"/>
        <v>30.326086956521738</v>
      </c>
      <c r="C12" s="47">
        <v>700923</v>
      </c>
      <c r="D12" s="41">
        <f t="shared" si="1"/>
        <v>23112.873118279571</v>
      </c>
      <c r="E12">
        <v>1</v>
      </c>
      <c r="F12" s="48">
        <v>3</v>
      </c>
      <c r="G12" s="43">
        <f t="shared" si="2"/>
        <v>33.41317365269461</v>
      </c>
      <c r="H12" s="49">
        <v>637399</v>
      </c>
      <c r="I12" s="45">
        <f t="shared" si="3"/>
        <v>19076.278315412186</v>
      </c>
      <c r="J12">
        <v>1</v>
      </c>
      <c r="K12" s="46">
        <v>83</v>
      </c>
      <c r="L12" s="39">
        <f t="shared" si="4"/>
        <v>30.326086956521738</v>
      </c>
      <c r="M12" s="47">
        <v>776669</v>
      </c>
      <c r="N12" s="41">
        <f t="shared" si="5"/>
        <v>25610.590681003585</v>
      </c>
      <c r="O12">
        <v>1</v>
      </c>
      <c r="P12" s="48">
        <v>32</v>
      </c>
      <c r="Q12" s="43">
        <f t="shared" si="6"/>
        <v>33.41317365269461</v>
      </c>
      <c r="R12" s="49">
        <v>742165</v>
      </c>
      <c r="S12" s="45">
        <f t="shared" si="7"/>
        <v>22211.748207885306</v>
      </c>
      <c r="T12">
        <v>1</v>
      </c>
    </row>
    <row r="13" spans="1:20" x14ac:dyDescent="0.25">
      <c r="A13" s="46">
        <v>61</v>
      </c>
      <c r="B13" s="39">
        <f t="shared" si="0"/>
        <v>30.326086956521738</v>
      </c>
      <c r="C13" s="47">
        <v>594344</v>
      </c>
      <c r="D13" s="41">
        <f t="shared" si="1"/>
        <v>19598.440143369175</v>
      </c>
      <c r="E13">
        <v>1</v>
      </c>
      <c r="F13" s="48">
        <v>89</v>
      </c>
      <c r="G13" s="43">
        <f t="shared" si="2"/>
        <v>33.41317365269461</v>
      </c>
      <c r="H13" s="49">
        <v>626952</v>
      </c>
      <c r="I13" s="45">
        <f t="shared" si="3"/>
        <v>18763.617204301077</v>
      </c>
      <c r="J13">
        <v>0</v>
      </c>
      <c r="K13" s="46">
        <v>57</v>
      </c>
      <c r="L13" s="39">
        <f t="shared" si="4"/>
        <v>30.326086956521738</v>
      </c>
      <c r="M13" s="47">
        <v>764937</v>
      </c>
      <c r="N13" s="41">
        <f t="shared" si="5"/>
        <v>25223.729032258067</v>
      </c>
      <c r="O13">
        <v>1</v>
      </c>
      <c r="P13" s="48">
        <v>86</v>
      </c>
      <c r="Q13" s="43">
        <f t="shared" si="6"/>
        <v>33.41317365269461</v>
      </c>
      <c r="R13" s="49">
        <v>708838</v>
      </c>
      <c r="S13" s="45">
        <f t="shared" si="7"/>
        <v>21214.327240143371</v>
      </c>
      <c r="T13">
        <v>1</v>
      </c>
    </row>
    <row r="14" spans="1:20" x14ac:dyDescent="0.25">
      <c r="A14" s="46">
        <v>2</v>
      </c>
      <c r="B14" s="39">
        <f t="shared" si="0"/>
        <v>30.326086956521738</v>
      </c>
      <c r="C14" s="47">
        <v>573963</v>
      </c>
      <c r="D14" s="41">
        <f t="shared" si="1"/>
        <v>18926.378494623656</v>
      </c>
      <c r="E14">
        <v>1</v>
      </c>
      <c r="F14" s="48">
        <v>74</v>
      </c>
      <c r="G14" s="43">
        <f t="shared" si="2"/>
        <v>33.41317365269461</v>
      </c>
      <c r="H14" s="49">
        <v>528188</v>
      </c>
      <c r="I14" s="45">
        <f t="shared" si="3"/>
        <v>15807.7770609319</v>
      </c>
      <c r="J14">
        <v>1</v>
      </c>
      <c r="K14" s="50">
        <v>33</v>
      </c>
      <c r="L14" s="70">
        <f t="shared" si="4"/>
        <v>30.326086956521738</v>
      </c>
      <c r="M14" s="51">
        <v>739492</v>
      </c>
      <c r="N14" s="71">
        <f t="shared" si="5"/>
        <v>24384.682437275987</v>
      </c>
      <c r="O14">
        <v>0</v>
      </c>
      <c r="P14" s="48">
        <v>44</v>
      </c>
      <c r="Q14" s="43">
        <f t="shared" si="6"/>
        <v>33.41317365269461</v>
      </c>
      <c r="R14" s="49">
        <v>644475</v>
      </c>
      <c r="S14" s="45">
        <f t="shared" si="7"/>
        <v>19288.051075268817</v>
      </c>
      <c r="T14">
        <v>1</v>
      </c>
    </row>
    <row r="15" spans="1:20" x14ac:dyDescent="0.25">
      <c r="A15" s="46">
        <v>66</v>
      </c>
      <c r="B15" s="39">
        <f t="shared" si="0"/>
        <v>30.326086956521738</v>
      </c>
      <c r="C15" s="47">
        <v>543888</v>
      </c>
      <c r="D15" s="41">
        <f t="shared" si="1"/>
        <v>17934.65806451613</v>
      </c>
      <c r="E15">
        <v>1</v>
      </c>
      <c r="F15" s="48">
        <v>7</v>
      </c>
      <c r="G15" s="43">
        <f t="shared" si="2"/>
        <v>33.41317365269461</v>
      </c>
      <c r="H15" s="49">
        <v>517706</v>
      </c>
      <c r="I15" s="45">
        <f t="shared" si="3"/>
        <v>15494.068458781363</v>
      </c>
      <c r="J15">
        <v>1</v>
      </c>
      <c r="K15" s="46">
        <v>34</v>
      </c>
      <c r="L15" s="39">
        <f t="shared" si="4"/>
        <v>30.326086956521738</v>
      </c>
      <c r="M15" s="47">
        <v>706466</v>
      </c>
      <c r="N15" s="41">
        <f t="shared" si="5"/>
        <v>23295.653046594984</v>
      </c>
      <c r="O15">
        <v>1</v>
      </c>
      <c r="P15" s="48">
        <v>43</v>
      </c>
      <c r="Q15" s="43">
        <f t="shared" si="6"/>
        <v>33.41317365269461</v>
      </c>
      <c r="R15" s="49">
        <v>600711</v>
      </c>
      <c r="S15" s="45">
        <f t="shared" si="7"/>
        <v>17978.268279569893</v>
      </c>
      <c r="T15">
        <v>1.0000000000000007</v>
      </c>
    </row>
    <row r="16" spans="1:20" x14ac:dyDescent="0.25">
      <c r="A16" s="46">
        <v>9</v>
      </c>
      <c r="B16" s="39">
        <f t="shared" si="0"/>
        <v>30.326086956521738</v>
      </c>
      <c r="C16" s="47">
        <v>458407</v>
      </c>
      <c r="D16" s="41">
        <f t="shared" si="1"/>
        <v>15115.929749103943</v>
      </c>
      <c r="E16">
        <v>1</v>
      </c>
      <c r="F16" s="48">
        <v>16</v>
      </c>
      <c r="G16" s="43">
        <f t="shared" si="2"/>
        <v>33.41317365269461</v>
      </c>
      <c r="H16" s="49">
        <v>471825</v>
      </c>
      <c r="I16" s="45">
        <f t="shared" si="3"/>
        <v>14120.927419354839</v>
      </c>
      <c r="J16">
        <v>1</v>
      </c>
      <c r="K16" s="50">
        <v>54</v>
      </c>
      <c r="L16" s="70">
        <f t="shared" si="4"/>
        <v>30.326086956521738</v>
      </c>
      <c r="M16" s="51">
        <v>704680</v>
      </c>
      <c r="N16" s="71">
        <f t="shared" si="5"/>
        <v>23236.759856630826</v>
      </c>
      <c r="O16">
        <v>0</v>
      </c>
      <c r="P16" s="48">
        <v>54</v>
      </c>
      <c r="Q16" s="43">
        <f t="shared" si="6"/>
        <v>33.41317365269461</v>
      </c>
      <c r="R16" s="49">
        <v>600526</v>
      </c>
      <c r="S16" s="45">
        <f t="shared" si="7"/>
        <v>17972.73154121864</v>
      </c>
      <c r="T16">
        <v>1</v>
      </c>
    </row>
    <row r="17" spans="1:20" x14ac:dyDescent="0.25">
      <c r="A17" s="46">
        <v>6</v>
      </c>
      <c r="B17" s="39">
        <f t="shared" si="0"/>
        <v>30.326086956521738</v>
      </c>
      <c r="C17" s="47">
        <v>413342</v>
      </c>
      <c r="D17" s="41">
        <f t="shared" si="1"/>
        <v>13629.915412186379</v>
      </c>
      <c r="E17">
        <v>1</v>
      </c>
      <c r="F17" s="50">
        <v>20</v>
      </c>
      <c r="G17" s="70">
        <f t="shared" si="2"/>
        <v>33.41317365269461</v>
      </c>
      <c r="H17" s="51">
        <v>465526</v>
      </c>
      <c r="I17" s="71">
        <f t="shared" si="3"/>
        <v>13932.408960573477</v>
      </c>
      <c r="J17">
        <v>0</v>
      </c>
      <c r="K17" s="46">
        <v>46</v>
      </c>
      <c r="L17" s="39">
        <f t="shared" si="4"/>
        <v>30.326086956521738</v>
      </c>
      <c r="M17" s="47">
        <v>647685</v>
      </c>
      <c r="N17" s="41">
        <f t="shared" si="5"/>
        <v>21357.354838709678</v>
      </c>
      <c r="O17">
        <v>1</v>
      </c>
      <c r="P17" s="48">
        <v>33</v>
      </c>
      <c r="Q17" s="43">
        <f t="shared" si="6"/>
        <v>33.41317365269461</v>
      </c>
      <c r="R17" s="49">
        <v>533105</v>
      </c>
      <c r="S17" s="45">
        <f t="shared" si="7"/>
        <v>15954.934587813621</v>
      </c>
      <c r="T17">
        <v>1</v>
      </c>
    </row>
    <row r="18" spans="1:20" x14ac:dyDescent="0.25">
      <c r="A18" s="46">
        <v>90</v>
      </c>
      <c r="B18" s="39">
        <f t="shared" si="0"/>
        <v>30.326086956521738</v>
      </c>
      <c r="C18" s="47">
        <v>390167</v>
      </c>
      <c r="D18" s="41">
        <f t="shared" si="1"/>
        <v>12865.721863799283</v>
      </c>
      <c r="E18">
        <v>1</v>
      </c>
      <c r="F18" s="48">
        <v>71</v>
      </c>
      <c r="G18" s="43">
        <f t="shared" si="2"/>
        <v>33.41317365269461</v>
      </c>
      <c r="H18" s="49">
        <v>459240</v>
      </c>
      <c r="I18" s="45">
        <f t="shared" si="3"/>
        <v>13744.279569892473</v>
      </c>
      <c r="J18">
        <v>1</v>
      </c>
      <c r="K18" s="46">
        <v>35</v>
      </c>
      <c r="L18" s="39">
        <f t="shared" si="4"/>
        <v>30.326086956521738</v>
      </c>
      <c r="M18" s="47">
        <v>520964</v>
      </c>
      <c r="N18" s="41">
        <f t="shared" si="5"/>
        <v>17178.741218637992</v>
      </c>
      <c r="O18">
        <v>1</v>
      </c>
      <c r="P18" s="48">
        <v>29</v>
      </c>
      <c r="Q18" s="43">
        <f t="shared" si="6"/>
        <v>33.41317365269461</v>
      </c>
      <c r="R18" s="49">
        <v>466819</v>
      </c>
      <c r="S18" s="45">
        <f t="shared" si="7"/>
        <v>13971.106272401434</v>
      </c>
      <c r="T18">
        <v>1</v>
      </c>
    </row>
    <row r="19" spans="1:20" x14ac:dyDescent="0.25">
      <c r="A19" s="46">
        <v>10</v>
      </c>
      <c r="B19" s="39">
        <f t="shared" si="0"/>
        <v>30.326086956521738</v>
      </c>
      <c r="C19" s="47">
        <v>374487</v>
      </c>
      <c r="D19" s="41">
        <f t="shared" si="1"/>
        <v>12348.675268817206</v>
      </c>
      <c r="E19">
        <v>1</v>
      </c>
      <c r="F19" s="52">
        <v>73</v>
      </c>
      <c r="G19" s="72">
        <f t="shared" si="2"/>
        <v>33.41317365269461</v>
      </c>
      <c r="H19" s="53">
        <v>435675</v>
      </c>
      <c r="I19" s="73">
        <f t="shared" si="3"/>
        <v>13039.018817204302</v>
      </c>
      <c r="J19">
        <v>0.66666666666666607</v>
      </c>
      <c r="K19" s="46">
        <v>28</v>
      </c>
      <c r="L19" s="39">
        <f t="shared" si="4"/>
        <v>30.326086956521738</v>
      </c>
      <c r="M19" s="47">
        <v>485282</v>
      </c>
      <c r="N19" s="41">
        <f t="shared" si="5"/>
        <v>16002.130465949822</v>
      </c>
      <c r="O19">
        <v>1</v>
      </c>
      <c r="P19" s="48">
        <v>39</v>
      </c>
      <c r="Q19" s="43">
        <f t="shared" si="6"/>
        <v>33.41317365269461</v>
      </c>
      <c r="R19" s="49">
        <v>443533</v>
      </c>
      <c r="S19" s="45">
        <f t="shared" si="7"/>
        <v>13274.195519713261</v>
      </c>
      <c r="T19">
        <v>1</v>
      </c>
    </row>
    <row r="20" spans="1:20" x14ac:dyDescent="0.25">
      <c r="A20" s="46">
        <v>72</v>
      </c>
      <c r="B20" s="39">
        <f t="shared" si="0"/>
        <v>30.326086956521738</v>
      </c>
      <c r="C20" s="47">
        <v>339217</v>
      </c>
      <c r="D20" s="41">
        <f t="shared" si="1"/>
        <v>11185.65017921147</v>
      </c>
      <c r="E20">
        <v>1</v>
      </c>
      <c r="F20" s="50">
        <v>4</v>
      </c>
      <c r="G20" s="70">
        <f t="shared" si="2"/>
        <v>33.41317365269461</v>
      </c>
      <c r="H20" s="51">
        <v>435251</v>
      </c>
      <c r="I20" s="71">
        <f t="shared" si="3"/>
        <v>13026.329211469534</v>
      </c>
      <c r="J20">
        <v>0</v>
      </c>
      <c r="K20" s="46">
        <v>25</v>
      </c>
      <c r="L20" s="39">
        <f t="shared" si="4"/>
        <v>30.326086956521738</v>
      </c>
      <c r="M20" s="47">
        <v>428682</v>
      </c>
      <c r="N20" s="41">
        <f t="shared" si="5"/>
        <v>14135.750537634409</v>
      </c>
      <c r="O20">
        <v>1</v>
      </c>
      <c r="P20" s="48">
        <v>85</v>
      </c>
      <c r="Q20" s="43">
        <f t="shared" si="6"/>
        <v>33.41317365269461</v>
      </c>
      <c r="R20" s="49">
        <v>400656</v>
      </c>
      <c r="S20" s="45">
        <f t="shared" si="7"/>
        <v>11990.959139784947</v>
      </c>
      <c r="T20">
        <v>1</v>
      </c>
    </row>
    <row r="21" spans="1:20" x14ac:dyDescent="0.25">
      <c r="A21" s="46">
        <v>63</v>
      </c>
      <c r="B21" s="39">
        <f t="shared" si="0"/>
        <v>30.326086956521738</v>
      </c>
      <c r="C21" s="47">
        <v>148379</v>
      </c>
      <c r="D21" s="41">
        <f t="shared" si="1"/>
        <v>4892.7842293906815</v>
      </c>
      <c r="E21">
        <v>1</v>
      </c>
      <c r="F21" s="58">
        <v>58</v>
      </c>
      <c r="G21" s="68">
        <f t="shared" si="2"/>
        <v>33.41317365269461</v>
      </c>
      <c r="H21" s="54">
        <v>425212</v>
      </c>
      <c r="I21" s="69">
        <f t="shared" si="3"/>
        <v>12725.878853046595</v>
      </c>
      <c r="K21" s="46">
        <v>53</v>
      </c>
      <c r="L21" s="39">
        <f t="shared" si="4"/>
        <v>30.326086956521738</v>
      </c>
      <c r="M21" s="47">
        <v>427876</v>
      </c>
      <c r="N21" s="41">
        <f t="shared" si="5"/>
        <v>14109.17275985663</v>
      </c>
      <c r="O21">
        <v>1</v>
      </c>
      <c r="P21" s="48">
        <v>51</v>
      </c>
      <c r="Q21" s="43">
        <f t="shared" si="6"/>
        <v>33.41317365269461</v>
      </c>
      <c r="R21" s="49">
        <v>295735</v>
      </c>
      <c r="S21" s="45">
        <f t="shared" si="7"/>
        <v>8850.8503584229402</v>
      </c>
      <c r="T21">
        <v>1</v>
      </c>
    </row>
    <row r="22" spans="1:20" x14ac:dyDescent="0.25">
      <c r="A22" s="46">
        <v>5</v>
      </c>
      <c r="B22" s="39">
        <f t="shared" si="0"/>
        <v>30.326086956521738</v>
      </c>
      <c r="C22" s="47">
        <v>135603</v>
      </c>
      <c r="D22" s="41">
        <f t="shared" si="1"/>
        <v>4471.4967741935488</v>
      </c>
      <c r="E22">
        <v>1</v>
      </c>
      <c r="F22" s="58">
        <v>69</v>
      </c>
      <c r="G22" s="68">
        <f t="shared" si="2"/>
        <v>33.41317365269461</v>
      </c>
      <c r="H22" s="54">
        <v>301059</v>
      </c>
      <c r="I22" s="69">
        <f t="shared" si="3"/>
        <v>9010.188709677419</v>
      </c>
      <c r="K22" s="46">
        <v>30</v>
      </c>
      <c r="L22" s="39">
        <f t="shared" si="4"/>
        <v>30.326086956521738</v>
      </c>
      <c r="M22" s="47">
        <v>412457</v>
      </c>
      <c r="N22" s="41">
        <f t="shared" si="5"/>
        <v>13600.732616487456</v>
      </c>
      <c r="O22">
        <v>1</v>
      </c>
      <c r="P22" s="48">
        <v>84</v>
      </c>
      <c r="Q22" s="43">
        <f t="shared" si="6"/>
        <v>33.41317365269461</v>
      </c>
      <c r="R22" s="49">
        <v>277116</v>
      </c>
      <c r="S22" s="45">
        <f t="shared" si="7"/>
        <v>8293.6150537634403</v>
      </c>
      <c r="T22">
        <v>1</v>
      </c>
    </row>
    <row r="23" spans="1:20" x14ac:dyDescent="0.25">
      <c r="A23" s="50">
        <v>89</v>
      </c>
      <c r="B23" s="70">
        <f t="shared" si="0"/>
        <v>30.326086956521738</v>
      </c>
      <c r="C23" s="51">
        <v>43767</v>
      </c>
      <c r="D23" s="71">
        <f t="shared" si="1"/>
        <v>1443.2129032258065</v>
      </c>
      <c r="E23">
        <v>1</v>
      </c>
      <c r="F23" s="58">
        <v>91</v>
      </c>
      <c r="G23" s="68">
        <f t="shared" si="2"/>
        <v>33.41317365269461</v>
      </c>
      <c r="H23" s="54">
        <v>248437</v>
      </c>
      <c r="I23" s="69">
        <f t="shared" si="3"/>
        <v>7435.3008960573479</v>
      </c>
      <c r="K23" s="46">
        <v>45</v>
      </c>
      <c r="L23" s="39">
        <f t="shared" si="4"/>
        <v>30.326086956521738</v>
      </c>
      <c r="M23" s="47">
        <v>411553</v>
      </c>
      <c r="N23" s="41">
        <f t="shared" si="5"/>
        <v>13570.923297491039</v>
      </c>
      <c r="O23">
        <v>1</v>
      </c>
      <c r="P23" s="48">
        <v>100</v>
      </c>
      <c r="Q23" s="43">
        <f t="shared" si="6"/>
        <v>33.41317365269461</v>
      </c>
      <c r="R23" s="49">
        <v>196154</v>
      </c>
      <c r="S23" s="45">
        <f t="shared" si="7"/>
        <v>5870.5587813620077</v>
      </c>
      <c r="T23">
        <v>1</v>
      </c>
    </row>
    <row r="24" spans="1:20" x14ac:dyDescent="0.25">
      <c r="A24" s="46">
        <v>8</v>
      </c>
      <c r="B24" s="39">
        <f t="shared" si="0"/>
        <v>30.326086956521738</v>
      </c>
      <c r="C24" s="47">
        <v>-31569</v>
      </c>
      <c r="D24" s="41">
        <f t="shared" si="1"/>
        <v>-1040.9849462365592</v>
      </c>
      <c r="E24">
        <v>1</v>
      </c>
      <c r="F24" s="50">
        <v>75</v>
      </c>
      <c r="G24" s="70">
        <f t="shared" si="2"/>
        <v>33.41317365269461</v>
      </c>
      <c r="H24" s="51">
        <v>241104</v>
      </c>
      <c r="I24" s="71">
        <f t="shared" si="3"/>
        <v>7215.8365591397851</v>
      </c>
      <c r="J24">
        <v>0</v>
      </c>
      <c r="K24" s="50">
        <v>43</v>
      </c>
      <c r="L24" s="70">
        <f t="shared" si="4"/>
        <v>30.326086956521738</v>
      </c>
      <c r="M24" s="51">
        <v>287718</v>
      </c>
      <c r="N24" s="71">
        <f t="shared" si="5"/>
        <v>9487.4752688172048</v>
      </c>
      <c r="O24">
        <v>0</v>
      </c>
      <c r="P24" s="48">
        <v>56</v>
      </c>
      <c r="Q24" s="43">
        <f t="shared" si="6"/>
        <v>33.41317365269461</v>
      </c>
      <c r="R24" s="49">
        <v>175558</v>
      </c>
      <c r="S24" s="45">
        <f t="shared" si="7"/>
        <v>5254.1551971326162</v>
      </c>
      <c r="T24">
        <v>1</v>
      </c>
    </row>
    <row r="25" spans="1:20" x14ac:dyDescent="0.25">
      <c r="A25" s="46">
        <v>62</v>
      </c>
      <c r="B25" s="39">
        <f t="shared" si="0"/>
        <v>30.326086956521738</v>
      </c>
      <c r="C25" s="47">
        <v>-50310</v>
      </c>
      <c r="D25" s="41">
        <f t="shared" si="1"/>
        <v>-1658.9677419354839</v>
      </c>
      <c r="E25">
        <v>1</v>
      </c>
      <c r="F25" s="58">
        <v>21</v>
      </c>
      <c r="G25" s="68">
        <f t="shared" si="2"/>
        <v>33.41317365269461</v>
      </c>
      <c r="H25" s="54">
        <v>182068</v>
      </c>
      <c r="I25" s="69">
        <f t="shared" si="3"/>
        <v>5448.9885304659501</v>
      </c>
      <c r="K25" s="52">
        <v>47</v>
      </c>
      <c r="L25" s="72">
        <f t="shared" si="4"/>
        <v>30.326086956521738</v>
      </c>
      <c r="M25" s="53">
        <v>244892</v>
      </c>
      <c r="N25" s="73">
        <f t="shared" si="5"/>
        <v>8075.2917562724015</v>
      </c>
      <c r="O25">
        <v>0.66666666666666785</v>
      </c>
      <c r="P25" s="48">
        <v>24</v>
      </c>
      <c r="Q25" s="43">
        <f t="shared" si="6"/>
        <v>33.41317365269461</v>
      </c>
      <c r="R25" s="49">
        <v>71007</v>
      </c>
      <c r="S25" s="45">
        <f t="shared" si="7"/>
        <v>2125.1198924731184</v>
      </c>
      <c r="T25">
        <v>1</v>
      </c>
    </row>
    <row r="26" spans="1:20" x14ac:dyDescent="0.25">
      <c r="A26" s="46">
        <v>20</v>
      </c>
      <c r="B26" s="39">
        <f t="shared" si="0"/>
        <v>30.326086956521738</v>
      </c>
      <c r="C26" s="47">
        <v>-55320</v>
      </c>
      <c r="D26" s="41">
        <f t="shared" si="1"/>
        <v>-1824.1720430107528</v>
      </c>
      <c r="E26">
        <v>1</v>
      </c>
      <c r="F26" s="50">
        <v>59</v>
      </c>
      <c r="G26" s="70">
        <f t="shared" si="2"/>
        <v>33.41317365269461</v>
      </c>
      <c r="H26" s="51">
        <v>167225</v>
      </c>
      <c r="I26" s="71">
        <f t="shared" si="3"/>
        <v>5004.7625448028675</v>
      </c>
      <c r="J26">
        <v>0</v>
      </c>
      <c r="K26" s="58">
        <v>27</v>
      </c>
      <c r="L26" s="68">
        <f t="shared" si="4"/>
        <v>30.326086956521738</v>
      </c>
      <c r="M26" s="54">
        <v>217246</v>
      </c>
      <c r="N26" s="69">
        <f t="shared" si="5"/>
        <v>7163.6673835125448</v>
      </c>
      <c r="P26" s="48">
        <v>94</v>
      </c>
      <c r="Q26" s="43">
        <f t="shared" si="6"/>
        <v>33.41317365269461</v>
      </c>
      <c r="R26" s="49">
        <v>48569</v>
      </c>
      <c r="S26" s="45">
        <f t="shared" si="7"/>
        <v>1453.5883512544804</v>
      </c>
      <c r="T26">
        <v>1</v>
      </c>
    </row>
    <row r="27" spans="1:20" x14ac:dyDescent="0.25">
      <c r="A27" s="46">
        <v>14</v>
      </c>
      <c r="B27" s="39">
        <f t="shared" si="0"/>
        <v>30.326086956521738</v>
      </c>
      <c r="C27" s="47">
        <v>-99929</v>
      </c>
      <c r="D27" s="41">
        <f t="shared" si="1"/>
        <v>-3295.1498207885306</v>
      </c>
      <c r="E27">
        <v>1</v>
      </c>
      <c r="F27" s="50">
        <v>63</v>
      </c>
      <c r="G27" s="70">
        <f t="shared" si="2"/>
        <v>33.41317365269461</v>
      </c>
      <c r="H27" s="51">
        <v>-59023</v>
      </c>
      <c r="I27" s="71">
        <f t="shared" si="3"/>
        <v>-1766.4589605734768</v>
      </c>
      <c r="J27">
        <v>0</v>
      </c>
      <c r="K27" s="50">
        <v>98</v>
      </c>
      <c r="L27" s="70">
        <f t="shared" si="4"/>
        <v>30.326086956521738</v>
      </c>
      <c r="M27" s="51">
        <v>186371</v>
      </c>
      <c r="N27" s="71">
        <f t="shared" si="5"/>
        <v>6145.5670250896055</v>
      </c>
      <c r="O27">
        <v>0</v>
      </c>
      <c r="P27" s="48">
        <v>98</v>
      </c>
      <c r="Q27" s="43">
        <f t="shared" si="6"/>
        <v>33.41317365269461</v>
      </c>
      <c r="R27" s="49">
        <v>42432</v>
      </c>
      <c r="S27" s="45">
        <f t="shared" si="7"/>
        <v>1269.9182795698925</v>
      </c>
      <c r="T27">
        <v>1</v>
      </c>
    </row>
    <row r="28" spans="1:20" x14ac:dyDescent="0.25">
      <c r="A28" s="46">
        <v>59</v>
      </c>
      <c r="B28" s="39">
        <f t="shared" si="0"/>
        <v>30.326086956521738</v>
      </c>
      <c r="C28" s="47">
        <v>-120499</v>
      </c>
      <c r="D28" s="41">
        <f t="shared" si="1"/>
        <v>-3973.4437275985665</v>
      </c>
      <c r="E28">
        <v>1</v>
      </c>
      <c r="F28" s="58">
        <v>70</v>
      </c>
      <c r="G28" s="68">
        <f t="shared" si="2"/>
        <v>33.41317365269461</v>
      </c>
      <c r="H28" s="54">
        <v>-82956</v>
      </c>
      <c r="I28" s="69">
        <f t="shared" si="3"/>
        <v>-2482.7333333333336</v>
      </c>
      <c r="K28" s="58">
        <v>82</v>
      </c>
      <c r="L28" s="68">
        <f t="shared" si="4"/>
        <v>30.326086956521738</v>
      </c>
      <c r="M28" s="54">
        <v>157735</v>
      </c>
      <c r="N28" s="69">
        <f t="shared" si="5"/>
        <v>5201.2974910394269</v>
      </c>
      <c r="P28" s="48">
        <v>79</v>
      </c>
      <c r="Q28" s="43">
        <f t="shared" si="6"/>
        <v>33.41317365269461</v>
      </c>
      <c r="R28" s="49">
        <v>-17472</v>
      </c>
      <c r="S28" s="45">
        <f t="shared" si="7"/>
        <v>-522.9075268817204</v>
      </c>
      <c r="T28">
        <v>1</v>
      </c>
    </row>
    <row r="29" spans="1:20" x14ac:dyDescent="0.25">
      <c r="A29" s="58">
        <v>11</v>
      </c>
      <c r="B29" s="68">
        <f t="shared" si="0"/>
        <v>30.326086956521738</v>
      </c>
      <c r="C29" s="54">
        <v>-150180</v>
      </c>
      <c r="D29" s="69">
        <f t="shared" si="1"/>
        <v>-4952.1720430107525</v>
      </c>
      <c r="F29" s="58">
        <v>64</v>
      </c>
      <c r="G29" s="68">
        <f t="shared" si="2"/>
        <v>33.41317365269461</v>
      </c>
      <c r="H29" s="54">
        <v>-163863</v>
      </c>
      <c r="I29" s="69">
        <f t="shared" si="3"/>
        <v>-4904.1435483870973</v>
      </c>
      <c r="K29" s="50">
        <v>39</v>
      </c>
      <c r="L29" s="70">
        <f t="shared" si="4"/>
        <v>30.326086956521738</v>
      </c>
      <c r="M29" s="51">
        <v>75371</v>
      </c>
      <c r="N29" s="71">
        <f t="shared" si="5"/>
        <v>2485.3519713261649</v>
      </c>
      <c r="O29">
        <v>0</v>
      </c>
      <c r="P29" s="50">
        <v>30</v>
      </c>
      <c r="Q29" s="70">
        <f t="shared" si="6"/>
        <v>33.41317365269461</v>
      </c>
      <c r="R29" s="51">
        <v>-18899</v>
      </c>
      <c r="S29" s="71">
        <f t="shared" si="7"/>
        <v>-565.61523297491044</v>
      </c>
      <c r="T29">
        <v>0</v>
      </c>
    </row>
    <row r="30" spans="1:20" x14ac:dyDescent="0.25">
      <c r="A30" s="58">
        <v>19</v>
      </c>
      <c r="B30" s="68">
        <f t="shared" si="0"/>
        <v>30.326086956521738</v>
      </c>
      <c r="C30" s="54">
        <v>-212225</v>
      </c>
      <c r="D30" s="69">
        <f t="shared" si="1"/>
        <v>-6998.1003584229393</v>
      </c>
      <c r="F30" s="50">
        <v>8</v>
      </c>
      <c r="G30" s="70">
        <f t="shared" si="2"/>
        <v>33.41317365269461</v>
      </c>
      <c r="H30" s="51">
        <v>-187009</v>
      </c>
      <c r="I30" s="71">
        <f t="shared" si="3"/>
        <v>-5596.8643369175625</v>
      </c>
      <c r="J30">
        <v>0</v>
      </c>
      <c r="K30" s="50">
        <v>79</v>
      </c>
      <c r="L30" s="70">
        <f t="shared" si="4"/>
        <v>30.326086956521738</v>
      </c>
      <c r="M30" s="51">
        <v>42924</v>
      </c>
      <c r="N30" s="71">
        <f t="shared" si="5"/>
        <v>1415.4150537634409</v>
      </c>
      <c r="O30">
        <v>0</v>
      </c>
      <c r="P30" s="50">
        <v>99</v>
      </c>
      <c r="Q30" s="70">
        <f t="shared" si="6"/>
        <v>33.41317365269461</v>
      </c>
      <c r="R30" s="51">
        <v>-53380</v>
      </c>
      <c r="S30" s="71">
        <f t="shared" si="7"/>
        <v>-1597.573476702509</v>
      </c>
    </row>
    <row r="31" spans="1:20" x14ac:dyDescent="0.25">
      <c r="A31" s="50">
        <v>7</v>
      </c>
      <c r="B31" s="70">
        <f t="shared" si="0"/>
        <v>30.326086956521738</v>
      </c>
      <c r="C31" s="51">
        <v>-425925</v>
      </c>
      <c r="D31" s="71">
        <f t="shared" si="1"/>
        <v>-14044.83870967742</v>
      </c>
      <c r="E31">
        <v>0</v>
      </c>
      <c r="F31" s="50">
        <v>61</v>
      </c>
      <c r="G31" s="70">
        <f t="shared" si="2"/>
        <v>33.41317365269461</v>
      </c>
      <c r="H31" s="51">
        <v>-223907</v>
      </c>
      <c r="I31" s="71">
        <f t="shared" si="3"/>
        <v>-6701.159318996416</v>
      </c>
      <c r="J31">
        <v>0</v>
      </c>
      <c r="K31" s="58">
        <v>49</v>
      </c>
      <c r="L31" s="68">
        <f t="shared" si="4"/>
        <v>30.326086956521738</v>
      </c>
      <c r="M31" s="54">
        <v>-35135</v>
      </c>
      <c r="N31" s="69">
        <f t="shared" si="5"/>
        <v>-1158.573476702509</v>
      </c>
      <c r="P31" s="48">
        <v>76</v>
      </c>
      <c r="Q31" s="43">
        <f t="shared" si="6"/>
        <v>33.41317365269461</v>
      </c>
      <c r="R31" s="49">
        <v>-134133</v>
      </c>
      <c r="S31" s="45">
        <f t="shared" si="7"/>
        <v>-4014.3747311827956</v>
      </c>
      <c r="T31">
        <v>1</v>
      </c>
    </row>
    <row r="32" spans="1:20" x14ac:dyDescent="0.25">
      <c r="A32" s="58">
        <v>88</v>
      </c>
      <c r="B32" s="68">
        <f t="shared" si="0"/>
        <v>30.326086956521738</v>
      </c>
      <c r="C32" s="54">
        <v>-426293</v>
      </c>
      <c r="D32" s="69">
        <f t="shared" si="1"/>
        <v>-14056.973476702509</v>
      </c>
      <c r="F32" s="58">
        <v>92</v>
      </c>
      <c r="G32" s="68">
        <f t="shared" si="2"/>
        <v>33.41317365269461</v>
      </c>
      <c r="H32" s="54">
        <v>-299484</v>
      </c>
      <c r="I32" s="69">
        <f t="shared" si="3"/>
        <v>-8963.0516129032258</v>
      </c>
      <c r="K32" s="50">
        <v>86</v>
      </c>
      <c r="L32" s="70">
        <f t="shared" si="4"/>
        <v>30.326086956521738</v>
      </c>
      <c r="M32" s="51">
        <v>-36114</v>
      </c>
      <c r="N32" s="71">
        <f t="shared" si="5"/>
        <v>-1190.8559139784948</v>
      </c>
      <c r="O32">
        <v>0</v>
      </c>
      <c r="P32" s="58">
        <v>27</v>
      </c>
      <c r="Q32" s="68">
        <f t="shared" si="6"/>
        <v>33.41317365269461</v>
      </c>
      <c r="R32" s="54">
        <v>-237585</v>
      </c>
      <c r="S32" s="69">
        <f t="shared" si="7"/>
        <v>-7110.5188172043008</v>
      </c>
    </row>
    <row r="33" spans="1:20" x14ac:dyDescent="0.25">
      <c r="A33" s="50">
        <v>1</v>
      </c>
      <c r="B33" s="70">
        <f t="shared" si="0"/>
        <v>30.326086956521738</v>
      </c>
      <c r="C33" s="51">
        <v>-436549</v>
      </c>
      <c r="D33" s="71">
        <f t="shared" si="1"/>
        <v>-14395.164157706093</v>
      </c>
      <c r="E33">
        <v>0</v>
      </c>
      <c r="F33" s="58">
        <v>93</v>
      </c>
      <c r="G33" s="68">
        <f t="shared" si="2"/>
        <v>33.41317365269461</v>
      </c>
      <c r="H33" s="54">
        <v>-392062</v>
      </c>
      <c r="I33" s="69">
        <f t="shared" si="3"/>
        <v>-11733.755197132617</v>
      </c>
      <c r="K33" s="50">
        <v>95</v>
      </c>
      <c r="L33" s="70">
        <f t="shared" si="4"/>
        <v>30.326086956521738</v>
      </c>
      <c r="M33" s="51">
        <v>-117870</v>
      </c>
      <c r="N33" s="71">
        <f t="shared" si="5"/>
        <v>-3886.7526881720432</v>
      </c>
      <c r="O33">
        <v>0</v>
      </c>
      <c r="P33" s="58">
        <v>49</v>
      </c>
      <c r="Q33" s="68">
        <f t="shared" si="6"/>
        <v>33.41317365269461</v>
      </c>
      <c r="R33" s="54">
        <v>-320509</v>
      </c>
      <c r="S33" s="69">
        <f t="shared" si="7"/>
        <v>-9592.2944444444438</v>
      </c>
    </row>
    <row r="34" spans="1:20" x14ac:dyDescent="0.25">
      <c r="A34" s="50">
        <v>16</v>
      </c>
      <c r="B34" s="70">
        <f t="shared" si="0"/>
        <v>30.326086956521738</v>
      </c>
      <c r="C34" s="51">
        <v>-516654</v>
      </c>
      <c r="D34" s="71">
        <f t="shared" si="1"/>
        <v>-17036.619354838709</v>
      </c>
      <c r="E34">
        <v>0</v>
      </c>
      <c r="F34" s="58">
        <v>17</v>
      </c>
      <c r="G34" s="68">
        <f t="shared" si="2"/>
        <v>33.41317365269461</v>
      </c>
      <c r="H34" s="54">
        <v>-421127</v>
      </c>
      <c r="I34" s="69">
        <f t="shared" si="3"/>
        <v>-12603.621684587813</v>
      </c>
      <c r="K34" s="58">
        <v>42</v>
      </c>
      <c r="L34" s="68">
        <f t="shared" si="4"/>
        <v>30.326086956521738</v>
      </c>
      <c r="M34" s="54">
        <v>-137859</v>
      </c>
      <c r="N34" s="69">
        <f t="shared" si="5"/>
        <v>-4545.8881720430109</v>
      </c>
      <c r="P34" s="52">
        <v>47</v>
      </c>
      <c r="Q34" s="72">
        <f t="shared" si="6"/>
        <v>33.41317365269461</v>
      </c>
      <c r="R34" s="53">
        <v>-338573</v>
      </c>
      <c r="S34" s="73">
        <f t="shared" si="7"/>
        <v>-10132.919534050179</v>
      </c>
      <c r="T34">
        <v>0</v>
      </c>
    </row>
    <row r="35" spans="1:20" x14ac:dyDescent="0.25">
      <c r="A35" s="52">
        <v>73</v>
      </c>
      <c r="B35" s="72">
        <f t="shared" si="0"/>
        <v>30.326086956521738</v>
      </c>
      <c r="C35" s="53">
        <v>-526062</v>
      </c>
      <c r="D35" s="73">
        <f t="shared" si="1"/>
        <v>-17346.847311827958</v>
      </c>
      <c r="F35" s="50">
        <v>5</v>
      </c>
      <c r="G35" s="70">
        <f t="shared" si="2"/>
        <v>33.41317365269461</v>
      </c>
      <c r="H35" s="51">
        <v>-473972</v>
      </c>
      <c r="I35" s="71">
        <f t="shared" si="3"/>
        <v>-14185.183512544803</v>
      </c>
      <c r="J35">
        <v>0</v>
      </c>
      <c r="K35" s="58">
        <v>50</v>
      </c>
      <c r="L35" s="68">
        <f t="shared" si="4"/>
        <v>30.326086956521738</v>
      </c>
      <c r="M35" s="54">
        <v>-141217</v>
      </c>
      <c r="N35" s="69">
        <f t="shared" si="5"/>
        <v>-4656.6179211469534</v>
      </c>
      <c r="P35" s="50">
        <v>34</v>
      </c>
      <c r="Q35" s="70">
        <f t="shared" si="6"/>
        <v>33.41317365269461</v>
      </c>
      <c r="R35" s="51">
        <v>-343537</v>
      </c>
      <c r="S35" s="71">
        <f t="shared" si="7"/>
        <v>-10281.483691756273</v>
      </c>
    </row>
    <row r="36" spans="1:20" x14ac:dyDescent="0.25">
      <c r="A36" s="58">
        <v>69</v>
      </c>
      <c r="B36" s="68">
        <f t="shared" si="0"/>
        <v>30.326086956521738</v>
      </c>
      <c r="C36" s="54">
        <v>-582190</v>
      </c>
      <c r="D36" s="69">
        <f t="shared" si="1"/>
        <v>-19197.663082437277</v>
      </c>
      <c r="F36" s="58">
        <v>67</v>
      </c>
      <c r="G36" s="68">
        <f t="shared" si="2"/>
        <v>33.41317365269461</v>
      </c>
      <c r="H36" s="54">
        <v>-479440</v>
      </c>
      <c r="I36" s="69">
        <f t="shared" si="3"/>
        <v>-14348.831541218638</v>
      </c>
      <c r="K36" s="50">
        <v>24</v>
      </c>
      <c r="L36" s="70">
        <f t="shared" si="4"/>
        <v>30.326086956521738</v>
      </c>
      <c r="M36" s="51">
        <v>-265494</v>
      </c>
      <c r="N36" s="71">
        <f t="shared" si="5"/>
        <v>-8754.6408602150532</v>
      </c>
      <c r="O36">
        <v>0</v>
      </c>
      <c r="P36" s="58">
        <v>26</v>
      </c>
      <c r="Q36" s="68">
        <f t="shared" si="6"/>
        <v>33.41317365269461</v>
      </c>
      <c r="R36" s="54">
        <v>-410208</v>
      </c>
      <c r="S36" s="69">
        <f t="shared" si="7"/>
        <v>-12276.834408602152</v>
      </c>
    </row>
    <row r="37" spans="1:20" x14ac:dyDescent="0.25">
      <c r="A37" s="58">
        <v>17</v>
      </c>
      <c r="B37" s="68">
        <f t="shared" si="0"/>
        <v>30.326086956521738</v>
      </c>
      <c r="C37" s="54">
        <v>-710390</v>
      </c>
      <c r="D37" s="69">
        <f t="shared" si="1"/>
        <v>-23425.046594982079</v>
      </c>
      <c r="F37" s="58">
        <v>65</v>
      </c>
      <c r="G37" s="68">
        <f t="shared" si="2"/>
        <v>33.41317365269461</v>
      </c>
      <c r="H37" s="54">
        <v>-681880</v>
      </c>
      <c r="I37" s="69">
        <f t="shared" si="3"/>
        <v>-20407.519713261649</v>
      </c>
      <c r="K37" s="50">
        <v>44</v>
      </c>
      <c r="L37" s="70">
        <f t="shared" si="4"/>
        <v>30.326086956521738</v>
      </c>
      <c r="M37" s="51">
        <v>-279807</v>
      </c>
      <c r="N37" s="71">
        <f t="shared" si="5"/>
        <v>-9226.6107526881715</v>
      </c>
      <c r="O37">
        <v>0</v>
      </c>
      <c r="P37" s="58">
        <v>55</v>
      </c>
      <c r="Q37" s="68">
        <f t="shared" si="6"/>
        <v>33.41317365269461</v>
      </c>
      <c r="R37" s="54">
        <v>-412943</v>
      </c>
      <c r="S37" s="69">
        <f t="shared" si="7"/>
        <v>-12358.688351254481</v>
      </c>
    </row>
    <row r="38" spans="1:20" x14ac:dyDescent="0.25">
      <c r="A38" s="58">
        <v>12</v>
      </c>
      <c r="B38" s="68">
        <f t="shared" si="0"/>
        <v>30.326086956521738</v>
      </c>
      <c r="C38" s="54">
        <v>-753136</v>
      </c>
      <c r="D38" s="69">
        <f t="shared" si="1"/>
        <v>-24834.592114695341</v>
      </c>
      <c r="F38" s="50">
        <v>15</v>
      </c>
      <c r="G38" s="70">
        <f t="shared" si="2"/>
        <v>33.41317365269461</v>
      </c>
      <c r="H38" s="51">
        <v>-737370</v>
      </c>
      <c r="I38" s="71">
        <f t="shared" si="3"/>
        <v>-22068.241935483871</v>
      </c>
      <c r="J38">
        <v>0</v>
      </c>
      <c r="K38" s="58">
        <v>78</v>
      </c>
      <c r="L38" s="68">
        <f t="shared" si="4"/>
        <v>30.326086956521738</v>
      </c>
      <c r="M38" s="54">
        <v>-450754</v>
      </c>
      <c r="N38" s="69">
        <f t="shared" si="5"/>
        <v>-14863.572759856632</v>
      </c>
      <c r="P38" s="50">
        <v>22</v>
      </c>
      <c r="Q38" s="70">
        <f t="shared" si="6"/>
        <v>33.41317365269461</v>
      </c>
      <c r="R38" s="51">
        <v>-443480</v>
      </c>
      <c r="S38" s="71">
        <f t="shared" si="7"/>
        <v>-13272.609318996416</v>
      </c>
    </row>
    <row r="39" spans="1:20" x14ac:dyDescent="0.25">
      <c r="A39" s="58">
        <v>58</v>
      </c>
      <c r="B39" s="68">
        <f t="shared" si="0"/>
        <v>30.326086956521738</v>
      </c>
      <c r="C39" s="54">
        <v>-793953</v>
      </c>
      <c r="D39" s="69">
        <f t="shared" si="1"/>
        <v>-26180.529032258066</v>
      </c>
      <c r="F39" s="50">
        <v>6</v>
      </c>
      <c r="G39" s="70">
        <f t="shared" si="2"/>
        <v>33.41317365269461</v>
      </c>
      <c r="H39" s="51">
        <v>-760719</v>
      </c>
      <c r="I39" s="71">
        <f t="shared" si="3"/>
        <v>-22767.038172043012</v>
      </c>
      <c r="J39">
        <v>0</v>
      </c>
      <c r="K39" s="58">
        <v>81</v>
      </c>
      <c r="L39" s="68">
        <f t="shared" si="4"/>
        <v>30.326086956521738</v>
      </c>
      <c r="M39" s="54">
        <v>-460974</v>
      </c>
      <c r="N39" s="69">
        <f t="shared" si="5"/>
        <v>-15200.576344086023</v>
      </c>
      <c r="P39" s="58">
        <v>97</v>
      </c>
      <c r="Q39" s="68">
        <f t="shared" si="6"/>
        <v>33.41317365269461</v>
      </c>
      <c r="R39" s="54">
        <v>-474669</v>
      </c>
      <c r="S39" s="69">
        <f t="shared" si="7"/>
        <v>-14206.043548387097</v>
      </c>
    </row>
    <row r="40" spans="1:20" x14ac:dyDescent="0.25">
      <c r="A40" s="58">
        <v>68</v>
      </c>
      <c r="B40" s="68">
        <f t="shared" si="0"/>
        <v>30.326086956521738</v>
      </c>
      <c r="C40" s="54">
        <v>-803861</v>
      </c>
      <c r="D40" s="69">
        <f t="shared" si="1"/>
        <v>-26507.244444444445</v>
      </c>
      <c r="F40" s="58">
        <v>18</v>
      </c>
      <c r="G40" s="68">
        <f t="shared" si="2"/>
        <v>33.41317365269461</v>
      </c>
      <c r="H40" s="54">
        <v>-824942</v>
      </c>
      <c r="I40" s="69">
        <f t="shared" si="3"/>
        <v>-24689.124372759856</v>
      </c>
      <c r="K40" s="58">
        <v>48</v>
      </c>
      <c r="L40" s="68">
        <f t="shared" si="4"/>
        <v>30.326086956521738</v>
      </c>
      <c r="M40" s="54">
        <v>-522318</v>
      </c>
      <c r="N40" s="69">
        <f t="shared" si="5"/>
        <v>-17223.389247311829</v>
      </c>
      <c r="P40" s="50">
        <v>57</v>
      </c>
      <c r="Q40" s="70">
        <f t="shared" si="6"/>
        <v>33.41317365269461</v>
      </c>
      <c r="R40" s="51">
        <v>-519769</v>
      </c>
      <c r="S40" s="71">
        <f t="shared" si="7"/>
        <v>-15555.810573476703</v>
      </c>
    </row>
    <row r="41" spans="1:20" x14ac:dyDescent="0.25">
      <c r="A41" s="58">
        <v>60</v>
      </c>
      <c r="B41" s="68">
        <f t="shared" si="0"/>
        <v>30.326086956521738</v>
      </c>
      <c r="C41" s="54">
        <v>-850901</v>
      </c>
      <c r="D41" s="69">
        <f t="shared" si="1"/>
        <v>-28058.384229390682</v>
      </c>
      <c r="F41" s="58">
        <v>11</v>
      </c>
      <c r="G41" s="68">
        <f t="shared" si="2"/>
        <v>33.41317365269461</v>
      </c>
      <c r="H41" s="54">
        <v>-906527</v>
      </c>
      <c r="I41" s="69">
        <f t="shared" si="3"/>
        <v>-27130.825985663083</v>
      </c>
      <c r="K41" s="58">
        <v>87</v>
      </c>
      <c r="L41" s="68">
        <f t="shared" si="4"/>
        <v>30.326086956521738</v>
      </c>
      <c r="M41" s="54">
        <v>-542332</v>
      </c>
      <c r="N41" s="69">
        <f t="shared" si="5"/>
        <v>-17883.349103942652</v>
      </c>
      <c r="P41" s="50">
        <v>35</v>
      </c>
      <c r="Q41" s="70">
        <f t="shared" si="6"/>
        <v>33.41317365269461</v>
      </c>
      <c r="R41" s="51">
        <v>-552149</v>
      </c>
      <c r="S41" s="71">
        <f t="shared" si="7"/>
        <v>-16524.889426523299</v>
      </c>
      <c r="T41">
        <v>0</v>
      </c>
    </row>
    <row r="42" spans="1:20" x14ac:dyDescent="0.25">
      <c r="A42" s="50">
        <v>74</v>
      </c>
      <c r="B42" s="70">
        <f t="shared" si="0"/>
        <v>30.326086956521738</v>
      </c>
      <c r="C42" s="51">
        <v>-871942</v>
      </c>
      <c r="D42" s="71">
        <f t="shared" si="1"/>
        <v>-28752.209318996418</v>
      </c>
      <c r="E42">
        <v>0</v>
      </c>
      <c r="F42" s="50">
        <v>14</v>
      </c>
      <c r="G42" s="70">
        <f t="shared" si="2"/>
        <v>33.41317365269461</v>
      </c>
      <c r="H42" s="51">
        <v>-923878</v>
      </c>
      <c r="I42" s="71">
        <f t="shared" si="3"/>
        <v>-27650.112186379931</v>
      </c>
      <c r="J42">
        <v>0</v>
      </c>
      <c r="K42" s="58">
        <v>41</v>
      </c>
      <c r="L42" s="68">
        <f t="shared" si="4"/>
        <v>30.326086956521738</v>
      </c>
      <c r="M42" s="54">
        <v>-545075</v>
      </c>
      <c r="N42" s="69">
        <f t="shared" si="5"/>
        <v>-17973.799283154123</v>
      </c>
      <c r="P42" s="58">
        <v>81</v>
      </c>
      <c r="Q42" s="68">
        <f t="shared" si="6"/>
        <v>33.41317365269461</v>
      </c>
      <c r="R42" s="54">
        <v>-553719</v>
      </c>
      <c r="S42" s="69">
        <f t="shared" si="7"/>
        <v>-16571.876881720429</v>
      </c>
    </row>
    <row r="43" spans="1:20" x14ac:dyDescent="0.25">
      <c r="A43" s="50">
        <v>71</v>
      </c>
      <c r="B43" s="70">
        <f t="shared" si="0"/>
        <v>30.326086956521738</v>
      </c>
      <c r="C43" s="51">
        <v>-879757</v>
      </c>
      <c r="D43" s="71">
        <f t="shared" si="1"/>
        <v>-29009.908243727601</v>
      </c>
      <c r="E43">
        <v>0</v>
      </c>
      <c r="F43" s="50">
        <v>90</v>
      </c>
      <c r="G43" s="70">
        <f t="shared" si="2"/>
        <v>33.41317365269461</v>
      </c>
      <c r="H43" s="51">
        <v>-944796</v>
      </c>
      <c r="I43" s="71">
        <f t="shared" si="3"/>
        <v>-28276.152688172042</v>
      </c>
      <c r="J43">
        <v>0</v>
      </c>
      <c r="K43" s="58">
        <v>23</v>
      </c>
      <c r="L43" s="68">
        <f t="shared" si="4"/>
        <v>30.326086956521738</v>
      </c>
      <c r="M43" s="54">
        <v>-550483</v>
      </c>
      <c r="N43" s="69">
        <f t="shared" si="5"/>
        <v>-18152.127598566309</v>
      </c>
      <c r="P43" s="50">
        <v>25</v>
      </c>
      <c r="Q43" s="70">
        <f t="shared" si="6"/>
        <v>33.41317365269461</v>
      </c>
      <c r="R43" s="51">
        <v>-602771</v>
      </c>
      <c r="S43" s="71">
        <f t="shared" si="7"/>
        <v>-18039.920609318997</v>
      </c>
      <c r="T43">
        <v>0</v>
      </c>
    </row>
    <row r="44" spans="1:20" x14ac:dyDescent="0.25">
      <c r="A44" s="58">
        <v>13</v>
      </c>
      <c r="B44" s="68">
        <f t="shared" si="0"/>
        <v>30.326086956521738</v>
      </c>
      <c r="C44" s="54">
        <v>-1072053</v>
      </c>
      <c r="D44" s="69">
        <f t="shared" si="1"/>
        <v>-35350.851612903229</v>
      </c>
      <c r="F44" s="58">
        <v>88</v>
      </c>
      <c r="G44" s="68">
        <f t="shared" si="2"/>
        <v>33.41317365269461</v>
      </c>
      <c r="H44" s="54">
        <v>-964689</v>
      </c>
      <c r="I44" s="69">
        <f t="shared" si="3"/>
        <v>-28871.516666666666</v>
      </c>
      <c r="K44" s="58">
        <v>55</v>
      </c>
      <c r="L44" s="68">
        <f t="shared" si="4"/>
        <v>30.326086956521738</v>
      </c>
      <c r="M44" s="54">
        <v>-592287</v>
      </c>
      <c r="N44" s="69">
        <f t="shared" si="5"/>
        <v>-19530.610752688171</v>
      </c>
      <c r="P44" s="58">
        <v>23</v>
      </c>
      <c r="Q44" s="68">
        <f t="shared" si="6"/>
        <v>33.41317365269461</v>
      </c>
      <c r="R44" s="54">
        <v>-625997</v>
      </c>
      <c r="S44" s="69">
        <f t="shared" si="7"/>
        <v>-18735.035663082439</v>
      </c>
    </row>
    <row r="45" spans="1:20" x14ac:dyDescent="0.25">
      <c r="A45" s="58">
        <v>92</v>
      </c>
      <c r="B45" s="68">
        <f t="shared" si="0"/>
        <v>30.326086956521738</v>
      </c>
      <c r="C45" s="54">
        <v>-1105120</v>
      </c>
      <c r="D45" s="69">
        <f t="shared" si="1"/>
        <v>-36441.232974910396</v>
      </c>
      <c r="F45" s="50">
        <v>10</v>
      </c>
      <c r="G45" s="70">
        <f t="shared" si="2"/>
        <v>33.41317365269461</v>
      </c>
      <c r="H45" s="51">
        <v>-1019506</v>
      </c>
      <c r="I45" s="71">
        <f t="shared" si="3"/>
        <v>-30512.097132616487</v>
      </c>
      <c r="J45">
        <v>0</v>
      </c>
      <c r="K45" s="50">
        <v>31</v>
      </c>
      <c r="L45" s="70">
        <f t="shared" si="4"/>
        <v>30.326086956521738</v>
      </c>
      <c r="M45" s="51">
        <v>-620072</v>
      </c>
      <c r="N45" s="71">
        <f t="shared" si="5"/>
        <v>-20446.818637992834</v>
      </c>
      <c r="O45">
        <v>0</v>
      </c>
      <c r="P45" s="58">
        <v>78</v>
      </c>
      <c r="Q45" s="68">
        <f t="shared" si="6"/>
        <v>33.41317365269461</v>
      </c>
      <c r="R45" s="54">
        <v>-732192</v>
      </c>
      <c r="S45" s="69">
        <f t="shared" si="7"/>
        <v>-21913.273118279569</v>
      </c>
    </row>
    <row r="46" spans="1:20" x14ac:dyDescent="0.25">
      <c r="A46" s="58">
        <v>21</v>
      </c>
      <c r="B46" s="68">
        <f t="shared" si="0"/>
        <v>30.326086956521738</v>
      </c>
      <c r="C46" s="54">
        <v>-1124143</v>
      </c>
      <c r="D46" s="69">
        <f t="shared" si="1"/>
        <v>-37068.514695340506</v>
      </c>
      <c r="F46" s="50">
        <v>2</v>
      </c>
      <c r="G46" s="70">
        <f t="shared" si="2"/>
        <v>33.41317365269461</v>
      </c>
      <c r="H46" s="51">
        <v>-1048073</v>
      </c>
      <c r="I46" s="71">
        <f t="shared" si="3"/>
        <v>-31367.059318996417</v>
      </c>
      <c r="J46">
        <v>0</v>
      </c>
      <c r="K46" s="58">
        <v>40</v>
      </c>
      <c r="L46" s="68">
        <f t="shared" si="4"/>
        <v>30.326086956521738</v>
      </c>
      <c r="M46" s="54">
        <v>-658386</v>
      </c>
      <c r="N46" s="69">
        <f t="shared" si="5"/>
        <v>-21710.219354838711</v>
      </c>
      <c r="P46" s="58">
        <v>41</v>
      </c>
      <c r="Q46" s="68">
        <f t="shared" si="6"/>
        <v>33.41317365269461</v>
      </c>
      <c r="R46" s="54">
        <v>-890843</v>
      </c>
      <c r="S46" s="69">
        <f t="shared" si="7"/>
        <v>-26661.430286738352</v>
      </c>
    </row>
    <row r="47" spans="1:20" x14ac:dyDescent="0.25">
      <c r="A47" s="58">
        <v>64</v>
      </c>
      <c r="B47" s="68">
        <f t="shared" si="0"/>
        <v>30.326086956521738</v>
      </c>
      <c r="C47" s="54">
        <v>-1198677</v>
      </c>
      <c r="D47" s="69">
        <f t="shared" si="1"/>
        <v>-39526.26666666667</v>
      </c>
      <c r="F47" s="58">
        <v>12</v>
      </c>
      <c r="G47" s="68">
        <f t="shared" si="2"/>
        <v>33.41317365269461</v>
      </c>
      <c r="H47" s="54">
        <v>-1098022</v>
      </c>
      <c r="I47" s="69">
        <f t="shared" si="3"/>
        <v>-32861.948745519716</v>
      </c>
      <c r="K47" s="58">
        <v>97</v>
      </c>
      <c r="L47" s="68">
        <f t="shared" si="4"/>
        <v>30.326086956521738</v>
      </c>
      <c r="M47" s="54">
        <v>-661431</v>
      </c>
      <c r="N47" s="69">
        <f t="shared" si="5"/>
        <v>-21810.627956989247</v>
      </c>
      <c r="P47" s="58">
        <v>48</v>
      </c>
      <c r="Q47" s="68">
        <f t="shared" si="6"/>
        <v>33.41317365269461</v>
      </c>
      <c r="R47" s="54">
        <v>-914243</v>
      </c>
      <c r="S47" s="69">
        <f t="shared" si="7"/>
        <v>-27361.752867383515</v>
      </c>
    </row>
    <row r="48" spans="1:20" x14ac:dyDescent="0.25">
      <c r="A48" s="50">
        <v>3</v>
      </c>
      <c r="B48" s="70">
        <f t="shared" si="0"/>
        <v>30.326086956521738</v>
      </c>
      <c r="C48" s="51">
        <v>-1231829</v>
      </c>
      <c r="D48" s="71">
        <f t="shared" si="1"/>
        <v>-40619.450896057351</v>
      </c>
      <c r="E48">
        <v>0</v>
      </c>
      <c r="F48" s="50">
        <v>72</v>
      </c>
      <c r="G48" s="70">
        <f t="shared" si="2"/>
        <v>33.41317365269461</v>
      </c>
      <c r="H48" s="51">
        <v>-1168137</v>
      </c>
      <c r="I48" s="71">
        <f t="shared" si="3"/>
        <v>-34960.372580645162</v>
      </c>
      <c r="J48">
        <v>0</v>
      </c>
      <c r="K48" s="50">
        <v>56</v>
      </c>
      <c r="L48" s="70">
        <f t="shared" si="4"/>
        <v>30.326086956521738</v>
      </c>
      <c r="M48" s="51">
        <v>-736742</v>
      </c>
      <c r="N48" s="71">
        <f t="shared" si="5"/>
        <v>-24294.001433691756</v>
      </c>
      <c r="O48">
        <v>0</v>
      </c>
      <c r="P48" s="58">
        <v>96</v>
      </c>
      <c r="Q48" s="68">
        <f t="shared" si="6"/>
        <v>33.41317365269461</v>
      </c>
      <c r="R48" s="54">
        <v>-944950</v>
      </c>
      <c r="S48" s="69">
        <f t="shared" si="7"/>
        <v>-28280.76164874552</v>
      </c>
    </row>
    <row r="49" spans="1:20" x14ac:dyDescent="0.25">
      <c r="A49" s="58">
        <v>70</v>
      </c>
      <c r="B49" s="68">
        <f t="shared" si="0"/>
        <v>30.326086956521738</v>
      </c>
      <c r="C49" s="54">
        <v>-1290356</v>
      </c>
      <c r="D49" s="69">
        <f t="shared" si="1"/>
        <v>-42549.373476702509</v>
      </c>
      <c r="F49" s="50">
        <v>62</v>
      </c>
      <c r="G49" s="70">
        <f t="shared" si="2"/>
        <v>33.41317365269461</v>
      </c>
      <c r="H49" s="51">
        <v>-1177761</v>
      </c>
      <c r="I49" s="71">
        <f t="shared" si="3"/>
        <v>-35248.402688172042</v>
      </c>
      <c r="J49">
        <v>0</v>
      </c>
      <c r="K49" s="50">
        <v>85</v>
      </c>
      <c r="L49" s="70">
        <f t="shared" si="4"/>
        <v>30.326086956521738</v>
      </c>
      <c r="M49" s="51">
        <v>-789944</v>
      </c>
      <c r="N49" s="71">
        <f t="shared" si="5"/>
        <v>-26048.332616487456</v>
      </c>
      <c r="O49">
        <v>0</v>
      </c>
      <c r="P49" s="58">
        <v>82</v>
      </c>
      <c r="Q49" s="68">
        <f t="shared" si="6"/>
        <v>33.41317365269461</v>
      </c>
      <c r="R49" s="54">
        <v>-954865</v>
      </c>
      <c r="S49" s="69">
        <f t="shared" si="7"/>
        <v>-28577.500896057347</v>
      </c>
    </row>
    <row r="50" spans="1:20" x14ac:dyDescent="0.25">
      <c r="A50" s="58">
        <v>65</v>
      </c>
      <c r="B50" s="68">
        <f t="shared" si="0"/>
        <v>30.326086956521738</v>
      </c>
      <c r="C50" s="54">
        <v>-1335361</v>
      </c>
      <c r="D50" s="69">
        <f t="shared" si="1"/>
        <v>-44033.409318996419</v>
      </c>
      <c r="F50" s="58">
        <v>19</v>
      </c>
      <c r="G50" s="68">
        <f t="shared" si="2"/>
        <v>33.41317365269461</v>
      </c>
      <c r="H50" s="54">
        <v>-1251057</v>
      </c>
      <c r="I50" s="69">
        <f t="shared" si="3"/>
        <v>-37442.028494623657</v>
      </c>
      <c r="K50" s="58">
        <v>26</v>
      </c>
      <c r="L50" s="68">
        <f t="shared" si="4"/>
        <v>30.326086956521738</v>
      </c>
      <c r="M50" s="54">
        <v>-946136</v>
      </c>
      <c r="N50" s="69">
        <f t="shared" si="5"/>
        <v>-31198.749820788533</v>
      </c>
      <c r="P50" s="58">
        <v>50</v>
      </c>
      <c r="Q50" s="68">
        <f t="shared" si="6"/>
        <v>33.41317365269461</v>
      </c>
      <c r="R50" s="54">
        <v>-1011749</v>
      </c>
      <c r="S50" s="69">
        <f t="shared" si="7"/>
        <v>-30279.943189964157</v>
      </c>
    </row>
    <row r="51" spans="1:20" x14ac:dyDescent="0.25">
      <c r="A51" s="58">
        <v>18</v>
      </c>
      <c r="B51" s="68">
        <f t="shared" si="0"/>
        <v>30.326086956521738</v>
      </c>
      <c r="C51" s="54">
        <v>-1388548</v>
      </c>
      <c r="D51" s="69">
        <f t="shared" si="1"/>
        <v>-45787.2458781362</v>
      </c>
      <c r="F51" s="58">
        <v>68</v>
      </c>
      <c r="G51" s="68">
        <f t="shared" si="2"/>
        <v>33.41317365269461</v>
      </c>
      <c r="H51" s="54">
        <v>-1292553</v>
      </c>
      <c r="I51" s="69">
        <f t="shared" si="3"/>
        <v>-38683.933870967739</v>
      </c>
      <c r="K51" s="50">
        <v>84</v>
      </c>
      <c r="L51" s="70">
        <f t="shared" si="4"/>
        <v>30.326086956521738</v>
      </c>
      <c r="M51" s="51">
        <v>-948146</v>
      </c>
      <c r="N51" s="71">
        <f t="shared" si="5"/>
        <v>-31265.029390681004</v>
      </c>
      <c r="O51">
        <v>0</v>
      </c>
      <c r="P51" s="58">
        <v>40</v>
      </c>
      <c r="Q51" s="68">
        <f t="shared" si="6"/>
        <v>33.41317365269461</v>
      </c>
      <c r="R51" s="54">
        <v>-1028317</v>
      </c>
      <c r="S51" s="69">
        <f t="shared" si="7"/>
        <v>-30775.795519713261</v>
      </c>
    </row>
    <row r="52" spans="1:20" x14ac:dyDescent="0.25">
      <c r="A52" s="58">
        <v>91</v>
      </c>
      <c r="B52" s="68">
        <f t="shared" si="0"/>
        <v>30.326086956521738</v>
      </c>
      <c r="C52" s="54">
        <v>-1477388</v>
      </c>
      <c r="D52" s="69">
        <f t="shared" si="1"/>
        <v>-48716.736917562725</v>
      </c>
      <c r="F52" s="58">
        <v>60</v>
      </c>
      <c r="G52" s="68">
        <f t="shared" si="2"/>
        <v>33.41317365269461</v>
      </c>
      <c r="H52" s="54">
        <v>-1363928</v>
      </c>
      <c r="I52" s="69">
        <f t="shared" si="3"/>
        <v>-40820.067383512549</v>
      </c>
      <c r="K52" s="58">
        <v>37</v>
      </c>
      <c r="L52" s="68">
        <f t="shared" si="4"/>
        <v>30.326086956521738</v>
      </c>
      <c r="M52" s="54">
        <v>-1123636</v>
      </c>
      <c r="N52" s="69">
        <f t="shared" si="5"/>
        <v>-37051.796415770608</v>
      </c>
      <c r="P52" s="50">
        <v>45</v>
      </c>
      <c r="Q52" s="70">
        <f t="shared" si="6"/>
        <v>33.41317365269461</v>
      </c>
      <c r="R52" s="51">
        <v>-1108132</v>
      </c>
      <c r="S52" s="71">
        <f t="shared" si="7"/>
        <v>-33164.524014336916</v>
      </c>
      <c r="T52">
        <v>0</v>
      </c>
    </row>
    <row r="53" spans="1:20" x14ac:dyDescent="0.25">
      <c r="A53" s="58">
        <v>67</v>
      </c>
      <c r="B53" s="68">
        <f t="shared" si="0"/>
        <v>30.326086956521738</v>
      </c>
      <c r="C53" s="54">
        <v>-1558535</v>
      </c>
      <c r="D53" s="69">
        <f t="shared" si="1"/>
        <v>-51392.551971326167</v>
      </c>
      <c r="F53" s="50">
        <v>66</v>
      </c>
      <c r="G53" s="70">
        <f t="shared" si="2"/>
        <v>33.41317365269461</v>
      </c>
      <c r="H53" s="51">
        <v>-1541082</v>
      </c>
      <c r="I53" s="71">
        <f t="shared" si="3"/>
        <v>-46121.988172043013</v>
      </c>
      <c r="J53">
        <v>0</v>
      </c>
      <c r="K53" s="58">
        <v>77</v>
      </c>
      <c r="L53" s="68">
        <f t="shared" si="4"/>
        <v>30.326086956521738</v>
      </c>
      <c r="M53" s="54">
        <v>-1136517</v>
      </c>
      <c r="N53" s="69">
        <f t="shared" si="5"/>
        <v>-37476.546236559137</v>
      </c>
      <c r="P53" s="58">
        <v>37</v>
      </c>
      <c r="Q53" s="68">
        <f t="shared" si="6"/>
        <v>33.41317365269461</v>
      </c>
      <c r="R53" s="54">
        <v>-1231599</v>
      </c>
      <c r="S53" s="69">
        <f t="shared" si="7"/>
        <v>-36859.683333333334</v>
      </c>
    </row>
    <row r="54" spans="1:20" x14ac:dyDescent="0.25">
      <c r="A54" s="58">
        <v>93</v>
      </c>
      <c r="B54" s="68">
        <f t="shared" si="0"/>
        <v>30.326086956521738</v>
      </c>
      <c r="C54" s="54">
        <v>-1560391</v>
      </c>
      <c r="D54" s="69">
        <f t="shared" si="1"/>
        <v>-51453.753405017924</v>
      </c>
      <c r="F54" s="58">
        <v>13</v>
      </c>
      <c r="G54" s="68">
        <f t="shared" si="2"/>
        <v>33.41317365269461</v>
      </c>
      <c r="H54" s="54">
        <v>-1570807</v>
      </c>
      <c r="I54" s="69">
        <f t="shared" si="3"/>
        <v>-47011.607347670251</v>
      </c>
      <c r="K54" s="50">
        <v>94</v>
      </c>
      <c r="L54" s="70">
        <f t="shared" si="4"/>
        <v>30.326086956521738</v>
      </c>
      <c r="M54" s="51">
        <v>-1189690</v>
      </c>
      <c r="N54" s="71">
        <f t="shared" si="5"/>
        <v>-39229.921146953406</v>
      </c>
      <c r="O54">
        <v>0</v>
      </c>
      <c r="P54" s="58">
        <v>80</v>
      </c>
      <c r="Q54" s="68">
        <f t="shared" si="6"/>
        <v>33.41317365269461</v>
      </c>
      <c r="R54" s="54">
        <v>-1261366</v>
      </c>
      <c r="S54" s="69">
        <f t="shared" si="7"/>
        <v>-37750.559498207884</v>
      </c>
    </row>
    <row r="55" spans="1:20" x14ac:dyDescent="0.25">
      <c r="A55" s="58"/>
      <c r="B55" s="59"/>
      <c r="C55" s="54"/>
      <c r="D55" s="55"/>
      <c r="F55" s="58"/>
      <c r="G55" s="59"/>
      <c r="H55" s="54"/>
      <c r="I55" s="55"/>
      <c r="K55" s="50">
        <v>32</v>
      </c>
      <c r="L55" s="70">
        <f t="shared" si="4"/>
        <v>30.326086956521738</v>
      </c>
      <c r="M55" s="51">
        <v>-1238968</v>
      </c>
      <c r="N55" s="71">
        <f t="shared" si="5"/>
        <v>-40854.858781362011</v>
      </c>
      <c r="O55">
        <v>0</v>
      </c>
      <c r="P55" s="58">
        <v>52</v>
      </c>
      <c r="Q55" s="68">
        <f t="shared" si="6"/>
        <v>33.41317365269461</v>
      </c>
      <c r="R55" s="54">
        <v>-1306284</v>
      </c>
      <c r="S55" s="69">
        <f t="shared" si="7"/>
        <v>-39094.879569892473</v>
      </c>
    </row>
    <row r="56" spans="1:20" x14ac:dyDescent="0.25">
      <c r="A56" s="58"/>
      <c r="B56" s="59"/>
      <c r="C56" s="54"/>
      <c r="D56" s="55"/>
      <c r="F56" s="58"/>
      <c r="G56" s="59"/>
      <c r="H56" s="54"/>
      <c r="I56" s="55"/>
      <c r="K56" s="58">
        <v>36</v>
      </c>
      <c r="L56" s="68">
        <f t="shared" si="4"/>
        <v>30.326086956521738</v>
      </c>
      <c r="M56" s="54">
        <v>-1281241</v>
      </c>
      <c r="N56" s="69">
        <f t="shared" si="5"/>
        <v>-42248.807168458785</v>
      </c>
      <c r="P56" s="58">
        <v>38</v>
      </c>
      <c r="Q56" s="68">
        <f t="shared" si="6"/>
        <v>33.41317365269461</v>
      </c>
      <c r="R56" s="54">
        <v>-1308829</v>
      </c>
      <c r="S56" s="69">
        <f t="shared" si="7"/>
        <v>-39171.047132616492</v>
      </c>
    </row>
    <row r="57" spans="1:20" x14ac:dyDescent="0.25">
      <c r="A57" s="58"/>
      <c r="B57" s="59"/>
      <c r="C57" s="54"/>
      <c r="D57" s="55"/>
      <c r="F57" s="58"/>
      <c r="G57" s="59"/>
      <c r="H57" s="54"/>
      <c r="I57" s="55"/>
      <c r="K57" s="50">
        <v>29</v>
      </c>
      <c r="L57" s="70">
        <f t="shared" si="4"/>
        <v>30.326086956521738</v>
      </c>
      <c r="M57" s="51">
        <v>-1329121</v>
      </c>
      <c r="N57" s="71">
        <f t="shared" si="5"/>
        <v>-43827.645878136202</v>
      </c>
      <c r="O57">
        <v>0</v>
      </c>
      <c r="P57" s="50">
        <v>46</v>
      </c>
      <c r="Q57" s="70">
        <f t="shared" si="6"/>
        <v>33.41317365269461</v>
      </c>
      <c r="R57" s="51">
        <v>-1311822</v>
      </c>
      <c r="S57" s="71">
        <f t="shared" si="7"/>
        <v>-39260.622580645162</v>
      </c>
      <c r="T57">
        <v>0</v>
      </c>
    </row>
    <row r="58" spans="1:20" x14ac:dyDescent="0.25">
      <c r="A58" s="58"/>
      <c r="B58" s="59"/>
      <c r="C58" s="54"/>
      <c r="D58" s="55"/>
      <c r="F58" s="58"/>
      <c r="G58" s="59"/>
      <c r="H58" s="54"/>
      <c r="I58" s="55"/>
      <c r="K58" s="58">
        <v>80</v>
      </c>
      <c r="L58" s="68">
        <f t="shared" si="4"/>
        <v>30.326086956521738</v>
      </c>
      <c r="M58" s="54">
        <v>-1382584</v>
      </c>
      <c r="N58" s="69">
        <f t="shared" si="5"/>
        <v>-45590.583512544807</v>
      </c>
      <c r="P58" s="50">
        <v>53</v>
      </c>
      <c r="Q58" s="70">
        <f t="shared" si="6"/>
        <v>33.41317365269461</v>
      </c>
      <c r="R58" s="51">
        <v>-1316172</v>
      </c>
      <c r="S58" s="71">
        <f t="shared" si="7"/>
        <v>-39390.810752688172</v>
      </c>
      <c r="T58">
        <v>0</v>
      </c>
    </row>
    <row r="59" spans="1:20" x14ac:dyDescent="0.25">
      <c r="A59" s="58"/>
      <c r="B59" s="59"/>
      <c r="C59" s="54"/>
      <c r="D59" s="55"/>
      <c r="F59" s="58"/>
      <c r="G59" s="59"/>
      <c r="H59" s="54"/>
      <c r="I59" s="55"/>
      <c r="K59" s="58">
        <v>38</v>
      </c>
      <c r="L59" s="68">
        <f t="shared" si="4"/>
        <v>30.326086956521738</v>
      </c>
      <c r="M59" s="54">
        <v>-1454904</v>
      </c>
      <c r="N59" s="69">
        <f t="shared" si="5"/>
        <v>-47975.329032258065</v>
      </c>
      <c r="P59" s="58">
        <v>87</v>
      </c>
      <c r="Q59" s="68">
        <f t="shared" si="6"/>
        <v>33.41317365269461</v>
      </c>
      <c r="R59" s="54">
        <v>-1394051</v>
      </c>
      <c r="S59" s="69">
        <f t="shared" si="7"/>
        <v>-41721.598028673834</v>
      </c>
    </row>
    <row r="60" spans="1:20" x14ac:dyDescent="0.25">
      <c r="A60" s="58"/>
      <c r="B60" s="59"/>
      <c r="C60" s="54"/>
      <c r="D60" s="55"/>
      <c r="F60" s="58"/>
      <c r="G60" s="59"/>
      <c r="H60" s="54"/>
      <c r="I60" s="55"/>
      <c r="K60" s="58">
        <v>96</v>
      </c>
      <c r="L60" s="68">
        <f t="shared" si="4"/>
        <v>30.326086956521738</v>
      </c>
      <c r="M60" s="54">
        <v>-1495940</v>
      </c>
      <c r="N60" s="69">
        <f t="shared" si="5"/>
        <v>-49328.487455197137</v>
      </c>
      <c r="P60" s="58">
        <v>36</v>
      </c>
      <c r="Q60" s="68">
        <f t="shared" si="6"/>
        <v>33.41317365269461</v>
      </c>
      <c r="R60" s="54">
        <v>-1395762</v>
      </c>
      <c r="S60" s="69">
        <f t="shared" si="7"/>
        <v>-41772.805376344084</v>
      </c>
    </row>
    <row r="61" spans="1:20" x14ac:dyDescent="0.25">
      <c r="A61" s="58"/>
      <c r="B61" s="59"/>
      <c r="C61" s="54"/>
      <c r="D61" s="55"/>
      <c r="F61" s="58"/>
      <c r="G61" s="59"/>
      <c r="H61" s="54"/>
      <c r="I61" s="55"/>
      <c r="K61" s="50">
        <v>76</v>
      </c>
      <c r="L61" s="70">
        <f t="shared" si="4"/>
        <v>30.326086956521738</v>
      </c>
      <c r="M61" s="51">
        <v>-1505954</v>
      </c>
      <c r="N61" s="71">
        <f t="shared" si="5"/>
        <v>-49658.698207885303</v>
      </c>
      <c r="O61">
        <v>0</v>
      </c>
      <c r="P61" s="58">
        <v>42</v>
      </c>
      <c r="Q61" s="68">
        <f t="shared" si="6"/>
        <v>33.41317365269461</v>
      </c>
      <c r="R61" s="54">
        <v>-1449513</v>
      </c>
      <c r="S61" s="69">
        <f t="shared" si="7"/>
        <v>-43381.48225806452</v>
      </c>
    </row>
    <row r="62" spans="1:20" x14ac:dyDescent="0.25">
      <c r="A62" s="58"/>
      <c r="B62" s="59"/>
      <c r="C62" s="54"/>
      <c r="D62" s="55"/>
      <c r="F62" s="58"/>
      <c r="G62" s="59"/>
      <c r="H62" s="54"/>
      <c r="I62" s="55"/>
      <c r="K62" s="58">
        <v>52</v>
      </c>
      <c r="L62" s="68">
        <f t="shared" si="4"/>
        <v>30.326086956521738</v>
      </c>
      <c r="M62" s="54">
        <v>-1572435</v>
      </c>
      <c r="N62" s="69">
        <f t="shared" si="5"/>
        <v>-51850.903225806454</v>
      </c>
      <c r="P62" s="50">
        <v>28</v>
      </c>
      <c r="Q62" s="70">
        <f t="shared" si="6"/>
        <v>33.41317365269461</v>
      </c>
      <c r="R62" s="51">
        <v>-1475625</v>
      </c>
      <c r="S62" s="71">
        <f t="shared" si="7"/>
        <v>-44162.970430107525</v>
      </c>
      <c r="T62">
        <v>0</v>
      </c>
    </row>
    <row r="63" spans="1:20" x14ac:dyDescent="0.25">
      <c r="A63" s="58"/>
      <c r="B63" s="59"/>
      <c r="C63" s="54"/>
      <c r="D63" s="55"/>
      <c r="F63" s="58"/>
      <c r="G63" s="59"/>
      <c r="H63" s="54"/>
      <c r="I63" s="55"/>
      <c r="K63" s="50">
        <v>100</v>
      </c>
      <c r="L63" s="70">
        <f t="shared" si="4"/>
        <v>30.326086956521738</v>
      </c>
      <c r="M63" s="51">
        <v>-1597710</v>
      </c>
      <c r="N63" s="71">
        <f t="shared" si="5"/>
        <v>-52684.344086021505</v>
      </c>
      <c r="O63">
        <v>0</v>
      </c>
      <c r="P63" s="50">
        <v>83</v>
      </c>
      <c r="Q63" s="70">
        <f t="shared" si="6"/>
        <v>33.41317365269461</v>
      </c>
      <c r="R63" s="51">
        <v>-1533913</v>
      </c>
      <c r="S63" s="71">
        <f t="shared" si="7"/>
        <v>-45907.432078853046</v>
      </c>
    </row>
    <row r="64" spans="1:20" x14ac:dyDescent="0.25">
      <c r="A64" s="58"/>
      <c r="B64" s="59"/>
      <c r="C64" s="54"/>
      <c r="D64" s="55"/>
      <c r="F64" s="58"/>
      <c r="G64" s="59"/>
      <c r="H64" s="54"/>
      <c r="I64" s="55"/>
      <c r="K64" s="50">
        <v>51</v>
      </c>
      <c r="L64" s="70">
        <f t="shared" si="4"/>
        <v>30.326086956521738</v>
      </c>
      <c r="M64" s="51">
        <v>-1602000</v>
      </c>
      <c r="N64" s="71">
        <f t="shared" si="5"/>
        <v>-52825.806451612902</v>
      </c>
      <c r="O64">
        <v>0</v>
      </c>
      <c r="P64" s="58">
        <v>77</v>
      </c>
      <c r="Q64" s="68">
        <f t="shared" si="6"/>
        <v>33.41317365269461</v>
      </c>
      <c r="R64" s="54">
        <v>-1545855</v>
      </c>
      <c r="S64" s="69">
        <f t="shared" si="7"/>
        <v>-46264.836021505376</v>
      </c>
    </row>
    <row r="65" spans="1:19" x14ac:dyDescent="0.25">
      <c r="A65" s="58"/>
      <c r="B65" s="59"/>
      <c r="C65" s="54"/>
      <c r="D65" s="55"/>
      <c r="F65" s="58"/>
      <c r="G65" s="59"/>
      <c r="H65" s="54"/>
      <c r="I65" s="55"/>
      <c r="K65" s="58"/>
      <c r="L65" s="59"/>
      <c r="M65" s="54"/>
      <c r="N65" s="55"/>
      <c r="P65" s="58"/>
      <c r="Q65" s="59"/>
      <c r="R65" s="54"/>
      <c r="S65" s="55"/>
    </row>
    <row r="66" spans="1:19" x14ac:dyDescent="0.25">
      <c r="A66" s="58"/>
      <c r="B66" s="59"/>
      <c r="C66" s="54"/>
      <c r="D66" s="55"/>
      <c r="F66" s="58"/>
      <c r="G66" s="59"/>
      <c r="H66" s="54"/>
      <c r="I66" s="55"/>
      <c r="K66" s="58"/>
      <c r="L66" s="59"/>
      <c r="M66" s="54"/>
      <c r="N66" s="55"/>
      <c r="P66" s="58"/>
      <c r="Q66" s="59"/>
      <c r="R66" s="54"/>
      <c r="S66" s="55"/>
    </row>
    <row r="67" spans="1:19" x14ac:dyDescent="0.25">
      <c r="A67" s="58"/>
      <c r="B67" s="59"/>
      <c r="C67" s="54"/>
      <c r="D67" s="55"/>
      <c r="F67" s="58"/>
      <c r="G67" s="59"/>
      <c r="H67" s="54"/>
      <c r="I67" s="55"/>
      <c r="K67" s="58"/>
      <c r="L67" s="59"/>
      <c r="M67" s="54"/>
      <c r="N67" s="55"/>
      <c r="P67" s="58"/>
      <c r="Q67" s="59"/>
      <c r="R67" s="54"/>
      <c r="S67" s="55"/>
    </row>
    <row r="68" spans="1:19" x14ac:dyDescent="0.25">
      <c r="A68" s="58"/>
      <c r="B68" s="59"/>
      <c r="C68" s="54"/>
      <c r="D68" s="55"/>
      <c r="F68" s="58"/>
      <c r="G68" s="59"/>
      <c r="H68" s="54"/>
      <c r="I68" s="55"/>
      <c r="K68" s="58"/>
      <c r="L68" s="59"/>
      <c r="M68" s="54"/>
      <c r="N68" s="55"/>
      <c r="P68" s="58"/>
      <c r="Q68" s="59"/>
      <c r="R68" s="54"/>
      <c r="S68" s="55"/>
    </row>
    <row r="69" spans="1:19" x14ac:dyDescent="0.25">
      <c r="A69" s="58"/>
      <c r="B69" s="59"/>
      <c r="C69" s="54"/>
      <c r="D69" s="55"/>
      <c r="F69" s="58"/>
      <c r="G69" s="59"/>
      <c r="H69" s="54"/>
      <c r="I69" s="55"/>
      <c r="K69" s="58"/>
      <c r="L69" s="59"/>
      <c r="M69" s="54"/>
      <c r="N69" s="55"/>
      <c r="P69" s="58"/>
      <c r="Q69" s="59"/>
      <c r="R69" s="54"/>
      <c r="S69" s="55"/>
    </row>
    <row r="70" spans="1:19" x14ac:dyDescent="0.25">
      <c r="A70" s="58"/>
      <c r="B70" s="59"/>
      <c r="C70" s="54"/>
      <c r="D70" s="55"/>
      <c r="F70" s="58"/>
      <c r="G70" s="59"/>
      <c r="H70" s="54"/>
      <c r="I70" s="55"/>
      <c r="K70" s="58"/>
      <c r="L70" s="59"/>
      <c r="M70" s="54"/>
      <c r="N70" s="55"/>
      <c r="P70" s="58"/>
      <c r="Q70" s="59"/>
      <c r="R70" s="54"/>
      <c r="S70" s="55"/>
    </row>
    <row r="71" spans="1:19" x14ac:dyDescent="0.25">
      <c r="A71" s="58"/>
      <c r="B71" s="59"/>
      <c r="C71" s="54"/>
      <c r="D71" s="55"/>
      <c r="F71" s="58"/>
      <c r="G71" s="59"/>
      <c r="H71" s="54"/>
      <c r="I71" s="55"/>
      <c r="K71" s="58"/>
      <c r="L71" s="59"/>
      <c r="M71" s="54"/>
      <c r="N71" s="55"/>
      <c r="P71" s="58"/>
      <c r="Q71" s="59"/>
      <c r="R71" s="54"/>
      <c r="S71" s="55"/>
    </row>
    <row r="72" spans="1:19" x14ac:dyDescent="0.25">
      <c r="A72" s="58"/>
      <c r="B72" s="59"/>
      <c r="C72" s="54"/>
      <c r="D72" s="55"/>
      <c r="F72" s="58"/>
      <c r="G72" s="59"/>
      <c r="H72" s="54"/>
      <c r="I72" s="55"/>
      <c r="K72" s="58"/>
      <c r="L72" s="59"/>
      <c r="M72" s="54"/>
      <c r="N72" s="55"/>
      <c r="P72" s="58"/>
      <c r="Q72" s="59"/>
      <c r="R72" s="54"/>
      <c r="S72" s="55"/>
    </row>
    <row r="73" spans="1:19" x14ac:dyDescent="0.25">
      <c r="A73" s="58"/>
      <c r="B73" s="59"/>
      <c r="C73" s="54"/>
      <c r="D73" s="55"/>
      <c r="F73" s="58"/>
      <c r="G73" s="59"/>
      <c r="H73" s="54"/>
      <c r="I73" s="55"/>
      <c r="K73" s="58"/>
      <c r="L73" s="59"/>
      <c r="M73" s="54"/>
      <c r="N73" s="55"/>
      <c r="P73" s="58"/>
      <c r="Q73" s="59"/>
      <c r="R73" s="54"/>
      <c r="S73" s="55"/>
    </row>
    <row r="74" spans="1:19" x14ac:dyDescent="0.25">
      <c r="A74" s="58"/>
      <c r="B74" s="59"/>
      <c r="C74" s="54"/>
      <c r="D74" s="55"/>
      <c r="F74" s="58"/>
      <c r="G74" s="59"/>
      <c r="H74" s="54"/>
      <c r="I74" s="55"/>
      <c r="K74" s="58"/>
      <c r="L74" s="59"/>
      <c r="M74" s="54"/>
      <c r="N74" s="55"/>
      <c r="P74" s="58"/>
      <c r="Q74" s="59"/>
      <c r="R74" s="54"/>
      <c r="S74" s="55"/>
    </row>
    <row r="75" spans="1:19" x14ac:dyDescent="0.25">
      <c r="A75" s="58"/>
      <c r="B75" s="59"/>
      <c r="C75" s="54"/>
      <c r="D75" s="55"/>
      <c r="F75" s="58"/>
      <c r="G75" s="59"/>
      <c r="H75" s="54"/>
      <c r="I75" s="55"/>
      <c r="K75" s="58"/>
      <c r="L75" s="59"/>
      <c r="M75" s="54"/>
      <c r="N75" s="55"/>
      <c r="P75" s="58"/>
      <c r="Q75" s="59"/>
      <c r="R75" s="54"/>
      <c r="S75" s="55"/>
    </row>
    <row r="76" spans="1:19" x14ac:dyDescent="0.25">
      <c r="A76" s="58"/>
      <c r="B76" s="59"/>
      <c r="C76" s="54"/>
      <c r="D76" s="55"/>
      <c r="F76" s="58"/>
      <c r="G76" s="59"/>
      <c r="H76" s="54"/>
      <c r="I76" s="55"/>
      <c r="K76" s="58"/>
      <c r="L76" s="59"/>
      <c r="M76" s="54"/>
      <c r="N76" s="55"/>
      <c r="P76" s="58"/>
      <c r="Q76" s="59"/>
      <c r="R76" s="54"/>
      <c r="S76" s="55"/>
    </row>
    <row r="77" spans="1:19" x14ac:dyDescent="0.25">
      <c r="A77" s="58"/>
      <c r="B77" s="59"/>
      <c r="C77" s="54"/>
      <c r="D77" s="55"/>
      <c r="F77" s="58"/>
      <c r="G77" s="59"/>
      <c r="H77" s="54"/>
      <c r="I77" s="55"/>
      <c r="K77" s="58"/>
      <c r="L77" s="59"/>
      <c r="M77" s="54"/>
      <c r="N77" s="55"/>
      <c r="P77" s="58"/>
      <c r="Q77" s="59"/>
      <c r="R77" s="54"/>
      <c r="S77" s="55"/>
    </row>
    <row r="78" spans="1:19" x14ac:dyDescent="0.25">
      <c r="A78" s="58"/>
      <c r="B78" s="59"/>
      <c r="C78" s="54"/>
      <c r="D78" s="55"/>
      <c r="F78" s="58"/>
      <c r="G78" s="59"/>
      <c r="H78" s="54"/>
      <c r="I78" s="55"/>
      <c r="K78" s="58"/>
      <c r="L78" s="59"/>
      <c r="M78" s="54"/>
      <c r="N78" s="55"/>
      <c r="P78" s="58"/>
      <c r="Q78" s="59"/>
      <c r="R78" s="54"/>
      <c r="S78" s="55"/>
    </row>
    <row r="79" spans="1:19" x14ac:dyDescent="0.25">
      <c r="A79" s="58"/>
      <c r="B79" s="59"/>
      <c r="C79" s="54"/>
      <c r="D79" s="55"/>
      <c r="F79" s="58"/>
      <c r="G79" s="59"/>
      <c r="H79" s="54"/>
      <c r="I79" s="55"/>
      <c r="K79" s="58"/>
      <c r="L79" s="59"/>
      <c r="M79" s="54"/>
      <c r="N79" s="55"/>
      <c r="P79" s="58"/>
      <c r="Q79" s="59"/>
      <c r="R79" s="54"/>
      <c r="S79" s="55"/>
    </row>
    <row r="80" spans="1:19" x14ac:dyDescent="0.25">
      <c r="A80" s="58"/>
      <c r="B80" s="59"/>
      <c r="C80" s="54"/>
      <c r="D80" s="55"/>
      <c r="F80" s="58"/>
      <c r="G80" s="59"/>
      <c r="H80" s="54"/>
      <c r="I80" s="55"/>
      <c r="K80" s="58"/>
      <c r="L80" s="59"/>
      <c r="M80" s="54"/>
      <c r="N80" s="55"/>
      <c r="P80" s="58"/>
      <c r="Q80" s="59"/>
      <c r="R80" s="54"/>
      <c r="S80" s="55"/>
    </row>
    <row r="81" spans="1:19" x14ac:dyDescent="0.25">
      <c r="A81" s="58"/>
      <c r="B81" s="59"/>
      <c r="C81" s="54"/>
      <c r="D81" s="55"/>
      <c r="F81" s="58"/>
      <c r="G81" s="59"/>
      <c r="H81" s="54"/>
      <c r="I81" s="55"/>
      <c r="K81" s="58"/>
      <c r="L81" s="59"/>
      <c r="M81" s="54"/>
      <c r="N81" s="55"/>
      <c r="P81" s="58"/>
      <c r="Q81" s="59"/>
      <c r="R81" s="54"/>
      <c r="S81" s="55"/>
    </row>
    <row r="82" spans="1:19" x14ac:dyDescent="0.25">
      <c r="A82" s="58"/>
      <c r="B82" s="59"/>
      <c r="C82" s="54"/>
      <c r="D82" s="55"/>
      <c r="F82" s="58"/>
      <c r="G82" s="59"/>
      <c r="H82" s="54"/>
      <c r="I82" s="55"/>
      <c r="K82" s="58"/>
      <c r="L82" s="59"/>
      <c r="M82" s="54"/>
      <c r="N82" s="55"/>
      <c r="P82" s="58"/>
      <c r="Q82" s="59"/>
      <c r="R82" s="54"/>
      <c r="S82" s="55"/>
    </row>
    <row r="83" spans="1:19" x14ac:dyDescent="0.25">
      <c r="A83" s="58"/>
      <c r="B83" s="59"/>
      <c r="C83" s="54"/>
      <c r="D83" s="55"/>
      <c r="F83" s="58"/>
      <c r="G83" s="59"/>
      <c r="H83" s="54"/>
      <c r="I83" s="55"/>
      <c r="K83" s="58"/>
      <c r="L83" s="59"/>
      <c r="M83" s="54"/>
      <c r="N83" s="55"/>
      <c r="P83" s="58"/>
      <c r="Q83" s="59"/>
      <c r="R83" s="54"/>
      <c r="S83" s="55"/>
    </row>
    <row r="84" spans="1:19" x14ac:dyDescent="0.25">
      <c r="A84" s="58"/>
      <c r="B84" s="59"/>
      <c r="C84" s="54"/>
      <c r="D84" s="55"/>
      <c r="F84" s="58"/>
      <c r="G84" s="59"/>
      <c r="H84" s="54"/>
      <c r="I84" s="55"/>
      <c r="K84" s="58"/>
      <c r="L84" s="59"/>
      <c r="M84" s="54"/>
      <c r="N84" s="55"/>
      <c r="P84" s="58"/>
      <c r="Q84" s="59"/>
      <c r="R84" s="54"/>
      <c r="S84" s="55"/>
    </row>
    <row r="85" spans="1:19" x14ac:dyDescent="0.25">
      <c r="A85" s="58"/>
      <c r="B85" s="59"/>
      <c r="C85" s="54"/>
      <c r="D85" s="55"/>
      <c r="F85" s="58"/>
      <c r="G85" s="59"/>
      <c r="H85" s="54"/>
      <c r="I85" s="55"/>
      <c r="K85" s="58"/>
      <c r="L85" s="59"/>
      <c r="M85" s="54"/>
      <c r="N85" s="55"/>
      <c r="P85" s="58"/>
      <c r="Q85" s="59"/>
      <c r="R85" s="54"/>
      <c r="S85" s="55"/>
    </row>
    <row r="86" spans="1:19" x14ac:dyDescent="0.25">
      <c r="A86" s="58"/>
      <c r="B86" s="59"/>
      <c r="C86" s="54"/>
      <c r="D86" s="55"/>
      <c r="F86" s="58"/>
      <c r="G86" s="59"/>
      <c r="H86" s="54"/>
      <c r="I86" s="55"/>
      <c r="K86" s="58"/>
      <c r="L86" s="59"/>
      <c r="M86" s="54"/>
      <c r="N86" s="55"/>
      <c r="P86" s="58"/>
      <c r="Q86" s="59"/>
      <c r="R86" s="54"/>
      <c r="S86" s="55"/>
    </row>
    <row r="87" spans="1:19" x14ac:dyDescent="0.25">
      <c r="A87" s="58"/>
      <c r="B87" s="59"/>
      <c r="C87" s="54"/>
      <c r="D87" s="55"/>
      <c r="F87" s="58"/>
      <c r="G87" s="59"/>
      <c r="H87" s="54"/>
      <c r="I87" s="55"/>
      <c r="K87" s="58"/>
      <c r="L87" s="59"/>
      <c r="M87" s="54"/>
      <c r="N87" s="55"/>
      <c r="P87" s="58"/>
      <c r="Q87" s="59"/>
      <c r="R87" s="54"/>
      <c r="S87" s="55"/>
    </row>
    <row r="88" spans="1:19" x14ac:dyDescent="0.25">
      <c r="A88" s="58"/>
      <c r="B88" s="59"/>
      <c r="C88" s="54"/>
      <c r="D88" s="55"/>
      <c r="F88" s="58"/>
      <c r="G88" s="59"/>
      <c r="H88" s="54"/>
      <c r="I88" s="55"/>
      <c r="K88" s="58"/>
      <c r="L88" s="59"/>
      <c r="M88" s="54"/>
      <c r="N88" s="55"/>
      <c r="P88" s="58"/>
      <c r="Q88" s="59"/>
      <c r="R88" s="54"/>
      <c r="S88" s="55"/>
    </row>
    <row r="89" spans="1:19" x14ac:dyDescent="0.25">
      <c r="A89" s="58"/>
      <c r="B89" s="59"/>
      <c r="C89" s="54"/>
      <c r="D89" s="55"/>
      <c r="F89" s="58"/>
      <c r="G89" s="59"/>
      <c r="H89" s="54"/>
      <c r="I89" s="55"/>
      <c r="K89" s="58"/>
      <c r="L89" s="59"/>
      <c r="M89" s="54"/>
      <c r="N89" s="55"/>
      <c r="P89" s="58"/>
      <c r="Q89" s="59"/>
      <c r="R89" s="54"/>
      <c r="S89" s="55"/>
    </row>
    <row r="90" spans="1:19" x14ac:dyDescent="0.25">
      <c r="A90" s="58"/>
      <c r="B90" s="59"/>
      <c r="C90" s="54"/>
      <c r="D90" s="55"/>
      <c r="F90" s="58"/>
      <c r="G90" s="59"/>
      <c r="H90" s="54"/>
      <c r="I90" s="55"/>
      <c r="K90" s="58"/>
      <c r="L90" s="59"/>
      <c r="M90" s="54"/>
      <c r="N90" s="55"/>
      <c r="P90" s="58"/>
      <c r="Q90" s="59"/>
      <c r="R90" s="54"/>
      <c r="S90" s="55"/>
    </row>
    <row r="91" spans="1:19" x14ac:dyDescent="0.25">
      <c r="A91" s="58"/>
      <c r="B91" s="59"/>
      <c r="C91" s="54"/>
      <c r="D91" s="55"/>
      <c r="F91" s="58"/>
      <c r="G91" s="59"/>
      <c r="H91" s="54"/>
      <c r="I91" s="55"/>
      <c r="K91" s="58"/>
      <c r="L91" s="59"/>
      <c r="M91" s="54"/>
      <c r="N91" s="55"/>
      <c r="P91" s="58"/>
      <c r="Q91" s="59"/>
      <c r="R91" s="54"/>
      <c r="S91" s="55"/>
    </row>
    <row r="92" spans="1:19" x14ac:dyDescent="0.25">
      <c r="A92" s="58"/>
      <c r="B92" s="59"/>
      <c r="C92" s="54"/>
      <c r="D92" s="55"/>
      <c r="F92" s="58"/>
      <c r="G92" s="59"/>
      <c r="H92" s="54"/>
      <c r="I92" s="55"/>
      <c r="K92" s="58"/>
      <c r="L92" s="59"/>
      <c r="M92" s="54"/>
      <c r="N92" s="55"/>
      <c r="P92" s="58"/>
      <c r="Q92" s="59"/>
      <c r="R92" s="54"/>
      <c r="S92" s="55"/>
    </row>
    <row r="93" spans="1:19" x14ac:dyDescent="0.25">
      <c r="A93" s="58"/>
      <c r="B93" s="59"/>
      <c r="C93" s="54"/>
      <c r="D93" s="55"/>
      <c r="F93" s="58"/>
      <c r="G93" s="59"/>
      <c r="H93" s="54"/>
      <c r="I93" s="55"/>
      <c r="K93" s="58"/>
      <c r="L93" s="59"/>
      <c r="M93" s="54"/>
      <c r="N93" s="55"/>
      <c r="P93" s="58"/>
      <c r="Q93" s="59"/>
      <c r="R93" s="54"/>
      <c r="S93" s="55"/>
    </row>
    <row r="94" spans="1:19" x14ac:dyDescent="0.25">
      <c r="A94" s="58"/>
      <c r="B94" s="59"/>
      <c r="C94" s="54"/>
      <c r="D94" s="55"/>
      <c r="F94" s="58"/>
      <c r="G94" s="59"/>
      <c r="H94" s="54"/>
      <c r="I94" s="55"/>
      <c r="K94" s="58"/>
      <c r="L94" s="59"/>
      <c r="M94" s="54"/>
      <c r="N94" s="55"/>
      <c r="P94" s="58"/>
      <c r="Q94" s="59"/>
      <c r="R94" s="54"/>
      <c r="S94" s="55"/>
    </row>
    <row r="95" spans="1:19" x14ac:dyDescent="0.25">
      <c r="A95" s="58"/>
      <c r="B95" s="59"/>
      <c r="C95" s="54"/>
      <c r="D95" s="55"/>
      <c r="F95" s="58"/>
      <c r="G95" s="59"/>
      <c r="H95" s="54"/>
      <c r="I95" s="55"/>
      <c r="K95" s="58"/>
      <c r="L95" s="59"/>
      <c r="M95" s="54"/>
      <c r="N95" s="55"/>
      <c r="P95" s="58"/>
      <c r="Q95" s="59"/>
      <c r="R95" s="54"/>
      <c r="S95" s="55"/>
    </row>
    <row r="96" spans="1:19" x14ac:dyDescent="0.25">
      <c r="A96" s="58"/>
      <c r="B96" s="59"/>
      <c r="C96" s="54"/>
      <c r="D96" s="55"/>
      <c r="F96" s="58"/>
      <c r="G96" s="59"/>
      <c r="H96" s="54"/>
      <c r="I96" s="55"/>
      <c r="K96" s="58"/>
      <c r="L96" s="59"/>
      <c r="M96" s="54"/>
      <c r="N96" s="55"/>
      <c r="P96" s="58"/>
      <c r="Q96" s="59"/>
      <c r="R96" s="54"/>
      <c r="S96" s="55"/>
    </row>
    <row r="97" spans="1:19" x14ac:dyDescent="0.25">
      <c r="A97" s="58"/>
      <c r="B97" s="59"/>
      <c r="C97" s="54"/>
      <c r="D97" s="55"/>
      <c r="F97" s="58"/>
      <c r="G97" s="59"/>
      <c r="H97" s="54"/>
      <c r="I97" s="55"/>
      <c r="K97" s="58"/>
      <c r="L97" s="59"/>
      <c r="M97" s="54"/>
      <c r="N97" s="55"/>
      <c r="P97" s="58"/>
      <c r="Q97" s="59"/>
      <c r="R97" s="54"/>
      <c r="S97" s="55"/>
    </row>
    <row r="98" spans="1:19" x14ac:dyDescent="0.25">
      <c r="A98" s="58"/>
      <c r="B98" s="59"/>
      <c r="C98" s="54"/>
      <c r="D98" s="55"/>
      <c r="F98" s="58"/>
      <c r="G98" s="59"/>
      <c r="H98" s="54"/>
      <c r="I98" s="55"/>
      <c r="K98" s="58"/>
      <c r="L98" s="59"/>
      <c r="M98" s="54"/>
      <c r="N98" s="55"/>
      <c r="P98" s="58"/>
      <c r="Q98" s="59"/>
      <c r="R98" s="54"/>
      <c r="S98" s="55"/>
    </row>
    <row r="99" spans="1:19" x14ac:dyDescent="0.25">
      <c r="A99" s="58"/>
      <c r="B99" s="59"/>
      <c r="C99" s="54"/>
      <c r="D99" s="55"/>
      <c r="F99" s="58"/>
      <c r="G99" s="59"/>
      <c r="H99" s="54"/>
      <c r="I99" s="55"/>
      <c r="K99" s="58"/>
      <c r="L99" s="59"/>
      <c r="M99" s="54"/>
      <c r="N99" s="55"/>
      <c r="P99" s="58"/>
      <c r="Q99" s="59"/>
      <c r="R99" s="54"/>
      <c r="S99" s="55"/>
    </row>
    <row r="100" spans="1:19" x14ac:dyDescent="0.25">
      <c r="A100" s="58"/>
      <c r="B100" s="59"/>
      <c r="C100" s="54"/>
      <c r="D100" s="55"/>
      <c r="F100" s="58"/>
      <c r="G100" s="59"/>
      <c r="H100" s="54"/>
      <c r="I100" s="55"/>
      <c r="K100" s="58"/>
      <c r="L100" s="59"/>
      <c r="M100" s="54"/>
      <c r="N100" s="55"/>
      <c r="P100" s="58"/>
      <c r="Q100" s="59"/>
      <c r="R100" s="54"/>
      <c r="S100" s="55"/>
    </row>
    <row r="101" spans="1:19" x14ac:dyDescent="0.25">
      <c r="A101" s="58"/>
      <c r="B101" s="59"/>
      <c r="C101" s="54"/>
      <c r="D101" s="55"/>
      <c r="F101" s="58"/>
      <c r="G101" s="59"/>
      <c r="H101" s="54"/>
      <c r="I101" s="55"/>
      <c r="K101" s="58"/>
      <c r="L101" s="59"/>
      <c r="M101" s="54"/>
      <c r="N101" s="55"/>
      <c r="P101" s="58"/>
      <c r="Q101" s="59"/>
      <c r="R101" s="54"/>
      <c r="S101" s="55"/>
    </row>
    <row r="102" spans="1:19" x14ac:dyDescent="0.25">
      <c r="A102" s="58"/>
      <c r="B102" s="59"/>
      <c r="C102" s="54"/>
      <c r="D102" s="55"/>
      <c r="F102" s="58"/>
      <c r="G102" s="59"/>
      <c r="H102" s="54"/>
      <c r="I102" s="55"/>
      <c r="K102" s="58"/>
      <c r="L102" s="59"/>
      <c r="M102" s="54"/>
      <c r="N102" s="55"/>
      <c r="P102" s="58"/>
      <c r="Q102" s="59"/>
      <c r="R102" s="54"/>
      <c r="S102" s="55"/>
    </row>
    <row r="103" spans="1:19" x14ac:dyDescent="0.25">
      <c r="A103" s="58"/>
      <c r="B103" s="59"/>
      <c r="C103" s="54"/>
      <c r="D103" s="55"/>
      <c r="F103" s="58"/>
      <c r="G103" s="59"/>
      <c r="H103" s="54"/>
      <c r="I103" s="55"/>
      <c r="K103" s="58"/>
      <c r="L103" s="59"/>
      <c r="M103" s="54"/>
      <c r="N103" s="55"/>
      <c r="P103" s="58"/>
      <c r="Q103" s="59"/>
      <c r="R103" s="54"/>
      <c r="S103" s="55"/>
    </row>
    <row r="104" spans="1:19" x14ac:dyDescent="0.25">
      <c r="A104" s="58"/>
      <c r="B104" s="59"/>
      <c r="C104" s="54"/>
      <c r="D104" s="55"/>
      <c r="F104" s="58"/>
      <c r="G104" s="59"/>
      <c r="H104" s="54"/>
      <c r="I104" s="55"/>
      <c r="K104" s="58"/>
      <c r="L104" s="59"/>
      <c r="M104" s="54"/>
      <c r="N104" s="55"/>
      <c r="P104" s="58"/>
      <c r="Q104" s="59"/>
      <c r="R104" s="54"/>
      <c r="S104" s="55"/>
    </row>
    <row r="105" spans="1:19" x14ac:dyDescent="0.25">
      <c r="A105" s="58"/>
      <c r="B105" s="59"/>
      <c r="C105" s="54"/>
      <c r="D105" s="55"/>
      <c r="F105" s="58"/>
      <c r="G105" s="59"/>
      <c r="H105" s="54"/>
      <c r="I105" s="55"/>
      <c r="K105" s="58"/>
      <c r="L105" s="59"/>
      <c r="M105" s="54"/>
      <c r="N105" s="55"/>
      <c r="P105" s="58"/>
      <c r="Q105" s="59"/>
      <c r="R105" s="54"/>
      <c r="S105" s="55"/>
    </row>
    <row r="106" spans="1:19" x14ac:dyDescent="0.25">
      <c r="A106" s="58"/>
      <c r="B106" s="59"/>
      <c r="C106" s="54"/>
      <c r="D106" s="55"/>
      <c r="F106" s="58"/>
      <c r="G106" s="59"/>
      <c r="H106" s="54"/>
      <c r="I106" s="55"/>
      <c r="K106" s="58"/>
      <c r="L106" s="59"/>
      <c r="M106" s="54"/>
      <c r="N106" s="55"/>
      <c r="P106" s="58"/>
      <c r="Q106" s="59"/>
      <c r="R106" s="54"/>
      <c r="S106" s="55"/>
    </row>
    <row r="107" spans="1:19" x14ac:dyDescent="0.25">
      <c r="A107" s="58"/>
      <c r="B107" s="59"/>
      <c r="C107" s="54"/>
      <c r="D107" s="55"/>
      <c r="F107" s="58"/>
      <c r="G107" s="59"/>
      <c r="H107" s="54"/>
      <c r="I107" s="55"/>
      <c r="K107" s="58"/>
      <c r="L107" s="59"/>
      <c r="M107" s="54"/>
      <c r="N107" s="55"/>
      <c r="P107" s="58"/>
      <c r="Q107" s="59"/>
      <c r="R107" s="54"/>
      <c r="S107" s="55"/>
    </row>
    <row r="108" spans="1:19" x14ac:dyDescent="0.25">
      <c r="A108" s="58"/>
      <c r="B108" s="59"/>
      <c r="C108" s="54"/>
      <c r="D108" s="55"/>
      <c r="F108" s="58"/>
      <c r="G108" s="59"/>
      <c r="H108" s="54"/>
      <c r="I108" s="55"/>
      <c r="K108" s="58"/>
      <c r="L108" s="59"/>
      <c r="M108" s="54"/>
      <c r="N108" s="55"/>
      <c r="P108" s="58"/>
      <c r="Q108" s="59"/>
      <c r="R108" s="54"/>
      <c r="S108" s="55"/>
    </row>
    <row r="109" spans="1:19" x14ac:dyDescent="0.25">
      <c r="A109" s="58"/>
      <c r="B109" s="59"/>
      <c r="C109" s="54"/>
      <c r="D109" s="55"/>
      <c r="F109" s="58"/>
      <c r="G109" s="59"/>
      <c r="H109" s="54"/>
      <c r="I109" s="55"/>
      <c r="K109" s="58"/>
      <c r="L109" s="59"/>
      <c r="M109" s="54"/>
      <c r="N109" s="55"/>
      <c r="P109" s="58"/>
      <c r="Q109" s="59"/>
      <c r="R109" s="54"/>
      <c r="S109" s="55"/>
    </row>
    <row r="110" spans="1:19" x14ac:dyDescent="0.25">
      <c r="A110" s="58"/>
      <c r="B110" s="59"/>
      <c r="C110" s="54"/>
      <c r="D110" s="55"/>
      <c r="F110" s="58"/>
      <c r="G110" s="59"/>
      <c r="H110" s="54"/>
      <c r="I110" s="55"/>
      <c r="K110" s="58"/>
      <c r="L110" s="59"/>
      <c r="M110" s="54"/>
      <c r="N110" s="55"/>
      <c r="P110" s="58"/>
      <c r="Q110" s="59"/>
      <c r="R110" s="54"/>
      <c r="S110" s="55"/>
    </row>
    <row r="111" spans="1:19" x14ac:dyDescent="0.25">
      <c r="A111" s="58"/>
      <c r="B111" s="59"/>
      <c r="C111" s="54"/>
      <c r="D111" s="55"/>
      <c r="F111" s="58"/>
      <c r="G111" s="59"/>
      <c r="H111" s="54"/>
      <c r="I111" s="55"/>
      <c r="K111" s="58"/>
      <c r="L111" s="59"/>
      <c r="M111" s="54"/>
      <c r="N111" s="55"/>
      <c r="P111" s="58"/>
      <c r="Q111" s="59"/>
      <c r="R111" s="54"/>
      <c r="S111" s="55"/>
    </row>
    <row r="112" spans="1:19" x14ac:dyDescent="0.25">
      <c r="A112" s="58"/>
      <c r="B112" s="59"/>
      <c r="C112" s="54"/>
      <c r="D112" s="55"/>
      <c r="F112" s="58"/>
      <c r="G112" s="59"/>
      <c r="H112" s="54"/>
      <c r="I112" s="55"/>
      <c r="K112" s="58"/>
      <c r="L112" s="59"/>
      <c r="M112" s="54"/>
      <c r="N112" s="55"/>
      <c r="P112" s="58"/>
      <c r="Q112" s="59"/>
      <c r="R112" s="54"/>
      <c r="S112" s="55"/>
    </row>
    <row r="113" spans="1:19" x14ac:dyDescent="0.25">
      <c r="A113" s="58"/>
      <c r="B113" s="59"/>
      <c r="C113" s="54"/>
      <c r="D113" s="55"/>
      <c r="F113" s="58"/>
      <c r="G113" s="59"/>
      <c r="H113" s="54"/>
      <c r="I113" s="55"/>
      <c r="K113" s="58"/>
      <c r="L113" s="59"/>
      <c r="M113" s="54"/>
      <c r="N113" s="55"/>
      <c r="P113" s="58"/>
      <c r="Q113" s="59"/>
      <c r="R113" s="54"/>
      <c r="S113" s="55"/>
    </row>
    <row r="114" spans="1:19" x14ac:dyDescent="0.25">
      <c r="A114" s="58"/>
      <c r="B114" s="59"/>
      <c r="C114" s="54"/>
      <c r="D114" s="55"/>
      <c r="F114" s="58"/>
      <c r="G114" s="59"/>
      <c r="H114" s="54"/>
      <c r="I114" s="55"/>
      <c r="K114" s="58"/>
      <c r="L114" s="59"/>
      <c r="M114" s="54"/>
      <c r="N114" s="55"/>
      <c r="P114" s="58"/>
      <c r="Q114" s="59"/>
      <c r="R114" s="54"/>
      <c r="S114" s="55"/>
    </row>
    <row r="115" spans="1:19" x14ac:dyDescent="0.25">
      <c r="A115" s="58"/>
      <c r="B115" s="59"/>
      <c r="C115" s="54"/>
      <c r="D115" s="55"/>
      <c r="F115" s="58"/>
      <c r="G115" s="59"/>
      <c r="H115" s="54"/>
      <c r="I115" s="55"/>
      <c r="K115" s="58"/>
      <c r="L115" s="59"/>
      <c r="M115" s="54"/>
      <c r="N115" s="55"/>
      <c r="P115" s="58"/>
      <c r="Q115" s="59"/>
      <c r="R115" s="54"/>
      <c r="S115" s="55"/>
    </row>
    <row r="116" spans="1:19" x14ac:dyDescent="0.25">
      <c r="A116" s="58"/>
      <c r="B116" s="59"/>
      <c r="C116" s="54"/>
      <c r="D116" s="55"/>
      <c r="F116" s="58"/>
      <c r="G116" s="59"/>
      <c r="H116" s="54"/>
      <c r="I116" s="55"/>
      <c r="K116" s="58"/>
      <c r="L116" s="59"/>
      <c r="M116" s="54"/>
      <c r="N116" s="55"/>
      <c r="P116" s="58"/>
      <c r="Q116" s="59"/>
      <c r="R116" s="54"/>
      <c r="S116" s="55"/>
    </row>
    <row r="117" spans="1:19" x14ac:dyDescent="0.25">
      <c r="A117" s="58"/>
      <c r="B117" s="59"/>
      <c r="C117" s="54"/>
      <c r="D117" s="55"/>
      <c r="F117" s="58"/>
      <c r="G117" s="59"/>
      <c r="H117" s="54"/>
      <c r="I117" s="55"/>
      <c r="K117" s="58"/>
      <c r="L117" s="59"/>
      <c r="M117" s="54"/>
      <c r="N117" s="55"/>
      <c r="P117" s="58"/>
      <c r="Q117" s="59"/>
      <c r="R117" s="54"/>
      <c r="S117" s="55"/>
    </row>
    <row r="118" spans="1:19" ht="15.75" thickBot="1" x14ac:dyDescent="0.3">
      <c r="A118" s="60"/>
      <c r="B118" s="61"/>
      <c r="C118" s="56"/>
      <c r="D118" s="57"/>
      <c r="F118" s="60"/>
      <c r="G118" s="61"/>
      <c r="H118" s="56"/>
      <c r="I118" s="57"/>
      <c r="K118" s="58"/>
      <c r="L118" s="59"/>
      <c r="M118" s="54"/>
      <c r="N118" s="55"/>
      <c r="P118" s="58"/>
      <c r="Q118" s="59"/>
      <c r="R118" s="54"/>
      <c r="S118" s="55"/>
    </row>
    <row r="119" spans="1:19" x14ac:dyDescent="0.25">
      <c r="K119" s="58"/>
      <c r="L119" s="59"/>
      <c r="M119" s="54"/>
      <c r="N119" s="55"/>
      <c r="P119" s="58"/>
      <c r="Q119" s="59"/>
      <c r="R119" s="54"/>
      <c r="S119" s="55"/>
    </row>
    <row r="120" spans="1:19" x14ac:dyDescent="0.25">
      <c r="K120" s="58"/>
      <c r="L120" s="59"/>
      <c r="M120" s="54"/>
      <c r="N120" s="55"/>
      <c r="P120" s="58"/>
      <c r="Q120" s="59"/>
      <c r="R120" s="54"/>
      <c r="S120" s="55"/>
    </row>
    <row r="121" spans="1:19" x14ac:dyDescent="0.25">
      <c r="K121" s="58"/>
      <c r="L121" s="59"/>
      <c r="M121" s="54"/>
      <c r="N121" s="55"/>
      <c r="P121" s="58"/>
      <c r="Q121" s="59"/>
      <c r="R121" s="54"/>
      <c r="S121" s="55"/>
    </row>
    <row r="122" spans="1:19" x14ac:dyDescent="0.25">
      <c r="K122" s="58"/>
      <c r="L122" s="59"/>
      <c r="M122" s="54"/>
      <c r="N122" s="55"/>
      <c r="P122" s="58"/>
      <c r="Q122" s="59"/>
      <c r="R122" s="54"/>
      <c r="S122" s="55"/>
    </row>
    <row r="123" spans="1:19" x14ac:dyDescent="0.25">
      <c r="K123" s="58"/>
      <c r="L123" s="59"/>
      <c r="M123" s="54"/>
      <c r="N123" s="55"/>
      <c r="P123" s="58"/>
      <c r="Q123" s="59"/>
      <c r="R123" s="54"/>
      <c r="S123" s="55"/>
    </row>
    <row r="124" spans="1:19" x14ac:dyDescent="0.25">
      <c r="K124" s="58"/>
      <c r="L124" s="59"/>
      <c r="M124" s="54"/>
      <c r="N124" s="55"/>
      <c r="P124" s="58"/>
      <c r="Q124" s="59"/>
      <c r="R124" s="54"/>
      <c r="S124" s="55"/>
    </row>
    <row r="125" spans="1:19" x14ac:dyDescent="0.25">
      <c r="K125" s="58"/>
      <c r="L125" s="59"/>
      <c r="M125" s="54"/>
      <c r="N125" s="55"/>
      <c r="P125" s="58"/>
      <c r="Q125" s="59"/>
      <c r="R125" s="54"/>
      <c r="S125" s="55"/>
    </row>
    <row r="126" spans="1:19" x14ac:dyDescent="0.25">
      <c r="K126" s="58"/>
      <c r="L126" s="59"/>
      <c r="M126" s="54"/>
      <c r="N126" s="55"/>
      <c r="P126" s="58"/>
      <c r="Q126" s="59"/>
      <c r="R126" s="54"/>
      <c r="S126" s="55"/>
    </row>
    <row r="127" spans="1:19" x14ac:dyDescent="0.25">
      <c r="K127" s="58"/>
      <c r="L127" s="59"/>
      <c r="M127" s="54"/>
      <c r="N127" s="55"/>
      <c r="P127" s="58"/>
      <c r="Q127" s="59"/>
      <c r="R127" s="54"/>
      <c r="S127" s="55"/>
    </row>
    <row r="128" spans="1:19" x14ac:dyDescent="0.25">
      <c r="K128" s="58"/>
      <c r="L128" s="59"/>
      <c r="M128" s="54"/>
      <c r="N128" s="55"/>
      <c r="P128" s="58"/>
      <c r="Q128" s="59"/>
      <c r="R128" s="54"/>
      <c r="S128" s="55"/>
    </row>
    <row r="129" spans="11:19" x14ac:dyDescent="0.25">
      <c r="K129" s="58"/>
      <c r="L129" s="59"/>
      <c r="M129" s="54"/>
      <c r="N129" s="55"/>
      <c r="P129" s="58"/>
      <c r="Q129" s="59"/>
      <c r="R129" s="54"/>
      <c r="S129" s="55"/>
    </row>
    <row r="130" spans="11:19" x14ac:dyDescent="0.25">
      <c r="K130" s="58"/>
      <c r="L130" s="59"/>
      <c r="M130" s="54"/>
      <c r="N130" s="55"/>
      <c r="P130" s="58"/>
      <c r="Q130" s="59"/>
      <c r="R130" s="54"/>
      <c r="S130" s="55"/>
    </row>
    <row r="131" spans="11:19" x14ac:dyDescent="0.25">
      <c r="K131" s="58"/>
      <c r="L131" s="59"/>
      <c r="M131" s="54"/>
      <c r="N131" s="55"/>
      <c r="P131" s="58"/>
      <c r="Q131" s="59"/>
      <c r="R131" s="54"/>
      <c r="S131" s="55"/>
    </row>
    <row r="132" spans="11:19" x14ac:dyDescent="0.25">
      <c r="K132" s="58"/>
      <c r="L132" s="59"/>
      <c r="M132" s="54"/>
      <c r="N132" s="55"/>
      <c r="P132" s="58"/>
      <c r="Q132" s="59"/>
      <c r="R132" s="54"/>
      <c r="S132" s="55"/>
    </row>
    <row r="133" spans="11:19" x14ac:dyDescent="0.25">
      <c r="K133" s="58"/>
      <c r="L133" s="59"/>
      <c r="M133" s="54"/>
      <c r="N133" s="55"/>
      <c r="P133" s="58"/>
      <c r="Q133" s="59"/>
      <c r="R133" s="54"/>
      <c r="S133" s="55"/>
    </row>
    <row r="134" spans="11:19" x14ac:dyDescent="0.25">
      <c r="K134" s="58"/>
      <c r="L134" s="59"/>
      <c r="M134" s="54"/>
      <c r="N134" s="55"/>
      <c r="P134" s="58"/>
      <c r="Q134" s="59"/>
      <c r="R134" s="54"/>
      <c r="S134" s="55"/>
    </row>
    <row r="135" spans="11:19" x14ac:dyDescent="0.25">
      <c r="K135" s="58"/>
      <c r="L135" s="59"/>
      <c r="M135" s="54"/>
      <c r="N135" s="55"/>
      <c r="P135" s="58"/>
      <c r="Q135" s="59"/>
      <c r="R135" s="54"/>
      <c r="S135" s="55"/>
    </row>
    <row r="136" spans="11:19" x14ac:dyDescent="0.25">
      <c r="K136" s="58"/>
      <c r="L136" s="59"/>
      <c r="M136" s="54"/>
      <c r="N136" s="55"/>
      <c r="P136" s="58"/>
      <c r="Q136" s="59"/>
      <c r="R136" s="54"/>
      <c r="S136" s="55"/>
    </row>
    <row r="137" spans="11:19" x14ac:dyDescent="0.25">
      <c r="K137" s="58"/>
      <c r="L137" s="59"/>
      <c r="M137" s="54"/>
      <c r="N137" s="55"/>
      <c r="P137" s="58"/>
      <c r="Q137" s="59"/>
      <c r="R137" s="54"/>
      <c r="S137" s="55"/>
    </row>
    <row r="138" spans="11:19" x14ac:dyDescent="0.25">
      <c r="K138" s="58"/>
      <c r="L138" s="59"/>
      <c r="M138" s="54"/>
      <c r="N138" s="55"/>
      <c r="P138" s="58"/>
      <c r="Q138" s="59"/>
      <c r="R138" s="54"/>
      <c r="S138" s="55"/>
    </row>
    <row r="139" spans="11:19" x14ac:dyDescent="0.25">
      <c r="K139" s="58"/>
      <c r="L139" s="59"/>
      <c r="M139" s="54"/>
      <c r="N139" s="55"/>
      <c r="P139" s="58"/>
      <c r="Q139" s="59"/>
      <c r="R139" s="54"/>
      <c r="S139" s="55"/>
    </row>
    <row r="140" spans="11:19" x14ac:dyDescent="0.25">
      <c r="K140" s="58"/>
      <c r="L140" s="59"/>
      <c r="M140" s="54"/>
      <c r="N140" s="55"/>
      <c r="P140" s="58"/>
      <c r="Q140" s="59"/>
      <c r="R140" s="54"/>
      <c r="S140" s="55"/>
    </row>
    <row r="141" spans="11:19" x14ac:dyDescent="0.25">
      <c r="K141" s="58"/>
      <c r="L141" s="59"/>
      <c r="M141" s="54"/>
      <c r="N141" s="55"/>
      <c r="P141" s="58"/>
      <c r="Q141" s="59"/>
      <c r="R141" s="54"/>
      <c r="S141" s="55"/>
    </row>
    <row r="142" spans="11:19" x14ac:dyDescent="0.25">
      <c r="K142" s="58"/>
      <c r="L142" s="59"/>
      <c r="M142" s="54"/>
      <c r="N142" s="55"/>
      <c r="P142" s="58"/>
      <c r="Q142" s="59"/>
      <c r="R142" s="54"/>
      <c r="S142" s="55"/>
    </row>
    <row r="143" spans="11:19" x14ac:dyDescent="0.25">
      <c r="K143" s="58"/>
      <c r="L143" s="59"/>
      <c r="M143" s="54"/>
      <c r="N143" s="55"/>
      <c r="P143" s="58"/>
      <c r="Q143" s="59"/>
      <c r="R143" s="54"/>
      <c r="S143" s="55"/>
    </row>
    <row r="144" spans="11:19" x14ac:dyDescent="0.25">
      <c r="K144" s="58"/>
      <c r="L144" s="59"/>
      <c r="M144" s="54"/>
      <c r="N144" s="55"/>
      <c r="P144" s="58"/>
      <c r="Q144" s="59"/>
      <c r="R144" s="54"/>
      <c r="S144" s="55"/>
    </row>
    <row r="145" spans="11:19" x14ac:dyDescent="0.25">
      <c r="K145" s="58"/>
      <c r="L145" s="59"/>
      <c r="M145" s="54"/>
      <c r="N145" s="55"/>
      <c r="P145" s="58"/>
      <c r="Q145" s="59"/>
      <c r="R145" s="54"/>
      <c r="S145" s="55"/>
    </row>
    <row r="146" spans="11:19" x14ac:dyDescent="0.25">
      <c r="K146" s="58"/>
      <c r="L146" s="59"/>
      <c r="M146" s="54"/>
      <c r="N146" s="55"/>
      <c r="P146" s="58"/>
      <c r="Q146" s="59"/>
      <c r="R146" s="54"/>
      <c r="S146" s="55"/>
    </row>
    <row r="147" spans="11:19" x14ac:dyDescent="0.25">
      <c r="K147" s="58"/>
      <c r="L147" s="59"/>
      <c r="M147" s="54"/>
      <c r="N147" s="55"/>
      <c r="P147" s="58"/>
      <c r="Q147" s="59"/>
      <c r="R147" s="54"/>
      <c r="S147" s="55"/>
    </row>
    <row r="148" spans="11:19" x14ac:dyDescent="0.25">
      <c r="K148" s="58"/>
      <c r="L148" s="59"/>
      <c r="M148" s="54"/>
      <c r="N148" s="55"/>
      <c r="P148" s="58"/>
      <c r="Q148" s="59"/>
      <c r="R148" s="54"/>
      <c r="S148" s="55"/>
    </row>
    <row r="149" spans="11:19" x14ac:dyDescent="0.25">
      <c r="K149" s="58"/>
      <c r="L149" s="59"/>
      <c r="M149" s="54"/>
      <c r="N149" s="55"/>
      <c r="P149" s="58"/>
      <c r="Q149" s="59"/>
      <c r="R149" s="54"/>
      <c r="S149" s="55"/>
    </row>
    <row r="150" spans="11:19" x14ac:dyDescent="0.25">
      <c r="K150" s="58"/>
      <c r="L150" s="59"/>
      <c r="M150" s="54"/>
      <c r="N150" s="55"/>
      <c r="P150" s="58"/>
      <c r="Q150" s="59"/>
      <c r="R150" s="54"/>
      <c r="S150" s="55"/>
    </row>
    <row r="151" spans="11:19" x14ac:dyDescent="0.25">
      <c r="K151" s="58"/>
      <c r="L151" s="59"/>
      <c r="M151" s="54"/>
      <c r="N151" s="55"/>
      <c r="P151" s="58"/>
      <c r="Q151" s="59"/>
      <c r="R151" s="54"/>
      <c r="S151" s="55"/>
    </row>
    <row r="152" spans="11:19" x14ac:dyDescent="0.25">
      <c r="K152" s="58"/>
      <c r="L152" s="59"/>
      <c r="M152" s="54"/>
      <c r="N152" s="55"/>
      <c r="P152" s="58"/>
      <c r="Q152" s="59"/>
      <c r="R152" s="54"/>
      <c r="S152" s="55"/>
    </row>
    <row r="153" spans="11:19" x14ac:dyDescent="0.25">
      <c r="K153" s="58"/>
      <c r="L153" s="59"/>
      <c r="M153" s="54"/>
      <c r="N153" s="55"/>
      <c r="P153" s="58"/>
      <c r="Q153" s="59"/>
      <c r="R153" s="54"/>
      <c r="S153" s="55"/>
    </row>
    <row r="154" spans="11:19" x14ac:dyDescent="0.25">
      <c r="K154" s="58"/>
      <c r="L154" s="59"/>
      <c r="M154" s="54"/>
      <c r="N154" s="55"/>
      <c r="P154" s="58"/>
      <c r="Q154" s="59"/>
      <c r="R154" s="54"/>
      <c r="S154" s="55"/>
    </row>
    <row r="155" spans="11:19" x14ac:dyDescent="0.25">
      <c r="K155" s="58"/>
      <c r="L155" s="59"/>
      <c r="M155" s="54"/>
      <c r="N155" s="55"/>
      <c r="P155" s="58"/>
      <c r="Q155" s="59"/>
      <c r="R155" s="54"/>
      <c r="S155" s="55"/>
    </row>
    <row r="156" spans="11:19" x14ac:dyDescent="0.25">
      <c r="K156" s="58"/>
      <c r="L156" s="59"/>
      <c r="M156" s="54"/>
      <c r="N156" s="55"/>
      <c r="P156" s="58"/>
      <c r="Q156" s="59"/>
      <c r="R156" s="54"/>
      <c r="S156" s="55"/>
    </row>
    <row r="157" spans="11:19" x14ac:dyDescent="0.25">
      <c r="K157" s="58"/>
      <c r="L157" s="59"/>
      <c r="M157" s="54"/>
      <c r="N157" s="55"/>
      <c r="P157" s="58"/>
      <c r="Q157" s="59"/>
      <c r="R157" s="54"/>
      <c r="S157" s="55"/>
    </row>
    <row r="158" spans="11:19" x14ac:dyDescent="0.25">
      <c r="K158" s="58"/>
      <c r="L158" s="59"/>
      <c r="M158" s="54"/>
      <c r="N158" s="55"/>
      <c r="P158" s="58"/>
      <c r="Q158" s="59"/>
      <c r="R158" s="54"/>
      <c r="S158" s="55"/>
    </row>
    <row r="159" spans="11:19" x14ac:dyDescent="0.25">
      <c r="K159" s="58"/>
      <c r="L159" s="59"/>
      <c r="M159" s="54"/>
      <c r="N159" s="55"/>
      <c r="P159" s="58"/>
      <c r="Q159" s="59"/>
      <c r="R159" s="54"/>
      <c r="S159" s="55"/>
    </row>
    <row r="160" spans="11:19" x14ac:dyDescent="0.25">
      <c r="K160" s="58"/>
      <c r="L160" s="59"/>
      <c r="M160" s="54"/>
      <c r="N160" s="55"/>
      <c r="P160" s="58"/>
      <c r="Q160" s="59"/>
      <c r="R160" s="54"/>
      <c r="S160" s="55"/>
    </row>
    <row r="161" spans="11:19" x14ac:dyDescent="0.25">
      <c r="K161" s="58"/>
      <c r="L161" s="59"/>
      <c r="M161" s="54"/>
      <c r="N161" s="55"/>
      <c r="P161" s="58"/>
      <c r="Q161" s="59"/>
      <c r="R161" s="54"/>
      <c r="S161" s="55"/>
    </row>
    <row r="162" spans="11:19" x14ac:dyDescent="0.25">
      <c r="K162" s="58"/>
      <c r="L162" s="59"/>
      <c r="M162" s="54"/>
      <c r="N162" s="55"/>
      <c r="P162" s="58"/>
      <c r="Q162" s="59"/>
      <c r="R162" s="54"/>
      <c r="S162" s="55"/>
    </row>
    <row r="163" spans="11:19" x14ac:dyDescent="0.25">
      <c r="K163" s="58"/>
      <c r="L163" s="59"/>
      <c r="M163" s="54"/>
      <c r="N163" s="55"/>
      <c r="P163" s="58"/>
      <c r="Q163" s="59"/>
      <c r="R163" s="54"/>
      <c r="S163" s="55"/>
    </row>
    <row r="164" spans="11:19" x14ac:dyDescent="0.25">
      <c r="K164" s="58"/>
      <c r="L164" s="59"/>
      <c r="M164" s="54"/>
      <c r="N164" s="55"/>
      <c r="P164" s="58"/>
      <c r="Q164" s="59"/>
      <c r="R164" s="54"/>
      <c r="S164" s="55"/>
    </row>
    <row r="165" spans="11:19" x14ac:dyDescent="0.25">
      <c r="K165" s="58"/>
      <c r="L165" s="59"/>
      <c r="M165" s="54"/>
      <c r="N165" s="55"/>
      <c r="P165" s="58"/>
      <c r="Q165" s="59"/>
      <c r="R165" s="54"/>
      <c r="S165" s="55"/>
    </row>
    <row r="166" spans="11:19" x14ac:dyDescent="0.25">
      <c r="K166" s="58"/>
      <c r="L166" s="59"/>
      <c r="M166" s="54"/>
      <c r="N166" s="55"/>
      <c r="P166" s="58"/>
      <c r="Q166" s="59"/>
      <c r="R166" s="54"/>
      <c r="S166" s="55"/>
    </row>
    <row r="167" spans="11:19" x14ac:dyDescent="0.25">
      <c r="K167" s="58"/>
      <c r="L167" s="59"/>
      <c r="M167" s="54"/>
      <c r="N167" s="55"/>
      <c r="P167" s="58"/>
      <c r="Q167" s="59"/>
      <c r="R167" s="54"/>
      <c r="S167" s="55"/>
    </row>
    <row r="168" spans="11:19" x14ac:dyDescent="0.25">
      <c r="K168" s="58"/>
      <c r="L168" s="59"/>
      <c r="M168" s="54"/>
      <c r="N168" s="55"/>
      <c r="P168" s="58"/>
      <c r="Q168" s="59"/>
      <c r="R168" s="54"/>
      <c r="S168" s="55"/>
    </row>
    <row r="169" spans="11:19" x14ac:dyDescent="0.25">
      <c r="K169" s="58"/>
      <c r="L169" s="59"/>
      <c r="M169" s="54"/>
      <c r="N169" s="55"/>
      <c r="P169" s="58"/>
      <c r="Q169" s="59"/>
      <c r="R169" s="54"/>
      <c r="S169" s="55"/>
    </row>
    <row r="170" spans="11:19" x14ac:dyDescent="0.25">
      <c r="K170" s="58"/>
      <c r="L170" s="59"/>
      <c r="M170" s="54"/>
      <c r="N170" s="55"/>
      <c r="P170" s="58"/>
      <c r="Q170" s="59"/>
      <c r="R170" s="54"/>
      <c r="S170" s="55"/>
    </row>
    <row r="171" spans="11:19" x14ac:dyDescent="0.25">
      <c r="K171" s="58"/>
      <c r="L171" s="59"/>
      <c r="M171" s="54"/>
      <c r="N171" s="55"/>
      <c r="P171" s="58"/>
      <c r="Q171" s="59"/>
      <c r="R171" s="54"/>
      <c r="S171" s="55"/>
    </row>
    <row r="172" spans="11:19" x14ac:dyDescent="0.25">
      <c r="K172" s="58"/>
      <c r="L172" s="59"/>
      <c r="M172" s="54"/>
      <c r="N172" s="55"/>
      <c r="P172" s="58"/>
      <c r="Q172" s="59"/>
      <c r="R172" s="54"/>
      <c r="S172" s="55"/>
    </row>
    <row r="173" spans="11:19" x14ac:dyDescent="0.25">
      <c r="K173" s="58"/>
      <c r="L173" s="59"/>
      <c r="M173" s="54"/>
      <c r="N173" s="55"/>
      <c r="P173" s="58"/>
      <c r="Q173" s="59"/>
      <c r="R173" s="54"/>
      <c r="S173" s="55"/>
    </row>
    <row r="174" spans="11:19" x14ac:dyDescent="0.25">
      <c r="K174" s="58"/>
      <c r="L174" s="59"/>
      <c r="M174" s="54"/>
      <c r="N174" s="55"/>
      <c r="P174" s="58"/>
      <c r="Q174" s="59"/>
      <c r="R174" s="54"/>
      <c r="S174" s="55"/>
    </row>
    <row r="175" spans="11:19" x14ac:dyDescent="0.25">
      <c r="K175" s="58"/>
      <c r="L175" s="59"/>
      <c r="M175" s="54"/>
      <c r="N175" s="55"/>
      <c r="P175" s="58"/>
      <c r="Q175" s="59"/>
      <c r="R175" s="54"/>
      <c r="S175" s="55"/>
    </row>
    <row r="176" spans="11:19" x14ac:dyDescent="0.25">
      <c r="K176" s="58"/>
      <c r="L176" s="59"/>
      <c r="M176" s="54"/>
      <c r="N176" s="55"/>
      <c r="P176" s="58"/>
      <c r="Q176" s="59"/>
      <c r="R176" s="54"/>
      <c r="S176" s="55"/>
    </row>
    <row r="177" spans="11:19" x14ac:dyDescent="0.25">
      <c r="K177" s="58"/>
      <c r="L177" s="59"/>
      <c r="M177" s="54"/>
      <c r="N177" s="55"/>
      <c r="P177" s="58"/>
      <c r="Q177" s="59"/>
      <c r="R177" s="54"/>
      <c r="S177" s="55"/>
    </row>
    <row r="178" spans="11:19" x14ac:dyDescent="0.25">
      <c r="K178" s="58"/>
      <c r="L178" s="59"/>
      <c r="M178" s="54"/>
      <c r="N178" s="55"/>
      <c r="P178" s="58"/>
      <c r="Q178" s="59"/>
      <c r="R178" s="54"/>
      <c r="S178" s="55"/>
    </row>
    <row r="179" spans="11:19" x14ac:dyDescent="0.25">
      <c r="K179" s="58"/>
      <c r="L179" s="59"/>
      <c r="M179" s="54"/>
      <c r="N179" s="55"/>
      <c r="P179" s="58"/>
      <c r="Q179" s="59"/>
      <c r="R179" s="54"/>
      <c r="S179" s="55"/>
    </row>
    <row r="180" spans="11:19" x14ac:dyDescent="0.25">
      <c r="K180" s="58"/>
      <c r="L180" s="59"/>
      <c r="M180" s="54"/>
      <c r="N180" s="55"/>
      <c r="P180" s="58"/>
      <c r="Q180" s="59"/>
      <c r="R180" s="54"/>
      <c r="S180" s="55"/>
    </row>
    <row r="181" spans="11:19" x14ac:dyDescent="0.25">
      <c r="K181" s="58"/>
      <c r="L181" s="59"/>
      <c r="M181" s="54"/>
      <c r="N181" s="55"/>
      <c r="P181" s="58"/>
      <c r="Q181" s="59"/>
      <c r="R181" s="54"/>
      <c r="S181" s="55"/>
    </row>
    <row r="182" spans="11:19" x14ac:dyDescent="0.25">
      <c r="K182" s="58"/>
      <c r="L182" s="59"/>
      <c r="M182" s="54"/>
      <c r="N182" s="55"/>
      <c r="P182" s="58"/>
      <c r="Q182" s="59"/>
      <c r="R182" s="54"/>
      <c r="S182" s="55"/>
    </row>
    <row r="183" spans="11:19" x14ac:dyDescent="0.25">
      <c r="K183" s="58"/>
      <c r="L183" s="59"/>
      <c r="M183" s="54"/>
      <c r="N183" s="55"/>
      <c r="P183" s="58"/>
      <c r="Q183" s="59"/>
      <c r="R183" s="54"/>
      <c r="S183" s="55"/>
    </row>
    <row r="184" spans="11:19" x14ac:dyDescent="0.25">
      <c r="K184" s="58"/>
      <c r="L184" s="59"/>
      <c r="M184" s="54"/>
      <c r="N184" s="55"/>
      <c r="P184" s="58"/>
      <c r="Q184" s="59"/>
      <c r="R184" s="54"/>
      <c r="S184" s="55"/>
    </row>
    <row r="185" spans="11:19" x14ac:dyDescent="0.25">
      <c r="K185" s="58"/>
      <c r="L185" s="59"/>
      <c r="M185" s="54"/>
      <c r="N185" s="55"/>
      <c r="P185" s="58"/>
      <c r="Q185" s="59"/>
      <c r="R185" s="54"/>
      <c r="S185" s="55"/>
    </row>
    <row r="186" spans="11:19" x14ac:dyDescent="0.25">
      <c r="K186" s="58"/>
      <c r="L186" s="59"/>
      <c r="M186" s="54"/>
      <c r="N186" s="55"/>
      <c r="P186" s="58"/>
      <c r="Q186" s="59"/>
      <c r="R186" s="54"/>
      <c r="S186" s="55"/>
    </row>
    <row r="187" spans="11:19" x14ac:dyDescent="0.25">
      <c r="K187" s="58"/>
      <c r="L187" s="59"/>
      <c r="M187" s="54"/>
      <c r="N187" s="55"/>
      <c r="P187" s="58"/>
      <c r="Q187" s="59"/>
      <c r="R187" s="54"/>
      <c r="S187" s="55"/>
    </row>
    <row r="188" spans="11:19" x14ac:dyDescent="0.25">
      <c r="K188" s="58"/>
      <c r="L188" s="59"/>
      <c r="M188" s="54"/>
      <c r="N188" s="55"/>
      <c r="P188" s="58"/>
      <c r="Q188" s="59"/>
      <c r="R188" s="54"/>
      <c r="S188" s="55"/>
    </row>
    <row r="189" spans="11:19" x14ac:dyDescent="0.25">
      <c r="K189" s="58"/>
      <c r="L189" s="59"/>
      <c r="M189" s="54"/>
      <c r="N189" s="55"/>
      <c r="P189" s="58"/>
      <c r="Q189" s="59"/>
      <c r="R189" s="54"/>
      <c r="S189" s="55"/>
    </row>
    <row r="190" spans="11:19" x14ac:dyDescent="0.25">
      <c r="K190" s="58"/>
      <c r="L190" s="59"/>
      <c r="M190" s="54"/>
      <c r="N190" s="55"/>
      <c r="P190" s="58"/>
      <c r="Q190" s="59"/>
      <c r="R190" s="54"/>
      <c r="S190" s="55"/>
    </row>
    <row r="191" spans="11:19" x14ac:dyDescent="0.25">
      <c r="K191" s="58"/>
      <c r="L191" s="59"/>
      <c r="M191" s="54"/>
      <c r="N191" s="55"/>
      <c r="P191" s="58"/>
      <c r="Q191" s="59"/>
      <c r="R191" s="54"/>
      <c r="S191" s="55"/>
    </row>
    <row r="192" spans="11:19" x14ac:dyDescent="0.25">
      <c r="K192" s="58"/>
      <c r="L192" s="59"/>
      <c r="M192" s="54"/>
      <c r="N192" s="55"/>
      <c r="P192" s="58"/>
      <c r="Q192" s="59"/>
      <c r="R192" s="54"/>
      <c r="S192" s="55"/>
    </row>
    <row r="193" spans="11:19" x14ac:dyDescent="0.25">
      <c r="K193" s="58"/>
      <c r="L193" s="59"/>
      <c r="M193" s="54"/>
      <c r="N193" s="55"/>
      <c r="P193" s="58"/>
      <c r="Q193" s="59"/>
      <c r="R193" s="54"/>
      <c r="S193" s="55"/>
    </row>
    <row r="194" spans="11:19" x14ac:dyDescent="0.25">
      <c r="K194" s="58"/>
      <c r="L194" s="59"/>
      <c r="M194" s="54"/>
      <c r="N194" s="55"/>
      <c r="P194" s="58"/>
      <c r="Q194" s="59"/>
      <c r="R194" s="54"/>
      <c r="S194" s="55"/>
    </row>
    <row r="195" spans="11:19" x14ac:dyDescent="0.25">
      <c r="K195" s="58"/>
      <c r="L195" s="59"/>
      <c r="M195" s="54"/>
      <c r="N195" s="55"/>
      <c r="P195" s="58"/>
      <c r="Q195" s="59"/>
      <c r="R195" s="54"/>
      <c r="S195" s="55"/>
    </row>
    <row r="196" spans="11:19" x14ac:dyDescent="0.25">
      <c r="K196" s="58"/>
      <c r="L196" s="59"/>
      <c r="M196" s="54"/>
      <c r="N196" s="55"/>
      <c r="P196" s="58"/>
      <c r="Q196" s="59"/>
      <c r="R196" s="54"/>
      <c r="S196" s="55"/>
    </row>
    <row r="197" spans="11:19" x14ac:dyDescent="0.25">
      <c r="K197" s="58"/>
      <c r="L197" s="59"/>
      <c r="M197" s="54"/>
      <c r="N197" s="55"/>
      <c r="P197" s="58"/>
      <c r="Q197" s="59"/>
      <c r="R197" s="54"/>
      <c r="S197" s="55"/>
    </row>
    <row r="198" spans="11:19" x14ac:dyDescent="0.25">
      <c r="K198" s="58"/>
      <c r="L198" s="59"/>
      <c r="M198" s="54"/>
      <c r="N198" s="55"/>
      <c r="P198" s="58"/>
      <c r="Q198" s="59"/>
      <c r="R198" s="54"/>
      <c r="S198" s="55"/>
    </row>
    <row r="199" spans="11:19" x14ac:dyDescent="0.25">
      <c r="K199" s="58"/>
      <c r="L199" s="59"/>
      <c r="M199" s="54"/>
      <c r="N199" s="55"/>
      <c r="P199" s="58"/>
      <c r="Q199" s="59"/>
      <c r="R199" s="54"/>
      <c r="S199" s="55"/>
    </row>
    <row r="200" spans="11:19" x14ac:dyDescent="0.25">
      <c r="K200" s="58"/>
      <c r="L200" s="59"/>
      <c r="M200" s="54"/>
      <c r="N200" s="55"/>
      <c r="P200" s="58"/>
      <c r="Q200" s="59"/>
      <c r="R200" s="54"/>
      <c r="S200" s="55"/>
    </row>
    <row r="201" spans="11:19" x14ac:dyDescent="0.25">
      <c r="K201" s="58"/>
      <c r="L201" s="59"/>
      <c r="M201" s="54"/>
      <c r="N201" s="55"/>
      <c r="P201" s="58"/>
      <c r="Q201" s="59"/>
      <c r="R201" s="54"/>
      <c r="S201" s="55"/>
    </row>
    <row r="202" spans="11:19" x14ac:dyDescent="0.25">
      <c r="K202" s="58"/>
      <c r="L202" s="59"/>
      <c r="M202" s="54"/>
      <c r="N202" s="55"/>
      <c r="P202" s="58"/>
      <c r="Q202" s="59"/>
      <c r="R202" s="54"/>
      <c r="S202" s="55"/>
    </row>
    <row r="203" spans="11:19" x14ac:dyDescent="0.25">
      <c r="K203" s="58"/>
      <c r="L203" s="59"/>
      <c r="M203" s="54"/>
      <c r="N203" s="55"/>
      <c r="P203" s="58"/>
      <c r="Q203" s="59"/>
      <c r="R203" s="54"/>
      <c r="S203" s="55"/>
    </row>
    <row r="204" spans="11:19" x14ac:dyDescent="0.25">
      <c r="K204" s="58"/>
      <c r="L204" s="59"/>
      <c r="M204" s="54"/>
      <c r="N204" s="55"/>
      <c r="P204" s="58"/>
      <c r="Q204" s="59"/>
      <c r="R204" s="54"/>
      <c r="S204" s="55"/>
    </row>
    <row r="205" spans="11:19" x14ac:dyDescent="0.25">
      <c r="K205" s="58"/>
      <c r="L205" s="59"/>
      <c r="M205" s="54"/>
      <c r="N205" s="55"/>
      <c r="P205" s="58"/>
      <c r="Q205" s="59"/>
      <c r="R205" s="54"/>
      <c r="S205" s="55"/>
    </row>
    <row r="206" spans="11:19" x14ac:dyDescent="0.25">
      <c r="K206" s="58"/>
      <c r="L206" s="59"/>
      <c r="M206" s="54"/>
      <c r="N206" s="55"/>
      <c r="P206" s="58"/>
      <c r="Q206" s="59"/>
      <c r="R206" s="54"/>
      <c r="S206" s="55"/>
    </row>
    <row r="207" spans="11:19" x14ac:dyDescent="0.25">
      <c r="K207" s="58"/>
      <c r="L207" s="59"/>
      <c r="M207" s="54"/>
      <c r="N207" s="55"/>
      <c r="P207" s="58"/>
      <c r="Q207" s="59"/>
      <c r="R207" s="54"/>
      <c r="S207" s="55"/>
    </row>
    <row r="208" spans="11:19" x14ac:dyDescent="0.25">
      <c r="K208" s="58"/>
      <c r="L208" s="59"/>
      <c r="M208" s="54"/>
      <c r="N208" s="55"/>
      <c r="P208" s="58"/>
      <c r="Q208" s="59"/>
      <c r="R208" s="54"/>
      <c r="S208" s="55"/>
    </row>
    <row r="209" spans="11:19" x14ac:dyDescent="0.25">
      <c r="K209" s="58"/>
      <c r="L209" s="59"/>
      <c r="M209" s="54"/>
      <c r="N209" s="55"/>
      <c r="P209" s="58"/>
      <c r="Q209" s="59"/>
      <c r="R209" s="54"/>
      <c r="S209" s="55"/>
    </row>
    <row r="210" spans="11:19" x14ac:dyDescent="0.25">
      <c r="K210" s="58"/>
      <c r="L210" s="59"/>
      <c r="M210" s="54"/>
      <c r="N210" s="55"/>
      <c r="P210" s="58"/>
      <c r="Q210" s="59"/>
      <c r="R210" s="54"/>
      <c r="S210" s="55"/>
    </row>
    <row r="211" spans="11:19" x14ac:dyDescent="0.25">
      <c r="K211" s="58"/>
      <c r="L211" s="59"/>
      <c r="M211" s="54"/>
      <c r="N211" s="55"/>
      <c r="P211" s="58"/>
      <c r="Q211" s="59"/>
      <c r="R211" s="54"/>
      <c r="S211" s="55"/>
    </row>
    <row r="212" spans="11:19" x14ac:dyDescent="0.25">
      <c r="K212" s="58"/>
      <c r="L212" s="59"/>
      <c r="M212" s="54"/>
      <c r="N212" s="55"/>
      <c r="P212" s="58"/>
      <c r="Q212" s="59"/>
      <c r="R212" s="54"/>
      <c r="S212" s="55"/>
    </row>
    <row r="213" spans="11:19" x14ac:dyDescent="0.25">
      <c r="K213" s="58"/>
      <c r="L213" s="59"/>
      <c r="M213" s="54"/>
      <c r="N213" s="55"/>
      <c r="P213" s="58"/>
      <c r="Q213" s="59"/>
      <c r="R213" s="54"/>
      <c r="S213" s="55"/>
    </row>
    <row r="214" spans="11:19" x14ac:dyDescent="0.25">
      <c r="K214" s="58"/>
      <c r="L214" s="59"/>
      <c r="M214" s="54"/>
      <c r="N214" s="55"/>
      <c r="P214" s="58"/>
      <c r="Q214" s="59"/>
      <c r="R214" s="54"/>
      <c r="S214" s="55"/>
    </row>
    <row r="215" spans="11:19" x14ac:dyDescent="0.25">
      <c r="K215" s="58"/>
      <c r="L215" s="59"/>
      <c r="M215" s="54"/>
      <c r="N215" s="55"/>
      <c r="P215" s="58"/>
      <c r="Q215" s="59"/>
      <c r="R215" s="54"/>
      <c r="S215" s="55"/>
    </row>
    <row r="216" spans="11:19" x14ac:dyDescent="0.25">
      <c r="K216" s="58"/>
      <c r="L216" s="59"/>
      <c r="M216" s="54"/>
      <c r="N216" s="55"/>
      <c r="P216" s="58"/>
      <c r="Q216" s="59"/>
      <c r="R216" s="54"/>
      <c r="S216" s="55"/>
    </row>
    <row r="217" spans="11:19" x14ac:dyDescent="0.25">
      <c r="K217" s="58"/>
      <c r="L217" s="59"/>
      <c r="M217" s="54"/>
      <c r="N217" s="55"/>
      <c r="P217" s="58"/>
      <c r="Q217" s="59"/>
      <c r="R217" s="54"/>
      <c r="S217" s="55"/>
    </row>
    <row r="218" spans="11:19" x14ac:dyDescent="0.25">
      <c r="K218" s="58"/>
      <c r="L218" s="59"/>
      <c r="M218" s="54"/>
      <c r="N218" s="55"/>
      <c r="P218" s="58"/>
      <c r="Q218" s="59"/>
      <c r="R218" s="54"/>
      <c r="S218" s="55"/>
    </row>
    <row r="219" spans="11:19" x14ac:dyDescent="0.25">
      <c r="K219" s="58"/>
      <c r="L219" s="59"/>
      <c r="M219" s="54"/>
      <c r="N219" s="55"/>
      <c r="P219" s="58"/>
      <c r="Q219" s="59"/>
      <c r="R219" s="54"/>
      <c r="S219" s="55"/>
    </row>
    <row r="220" spans="11:19" x14ac:dyDescent="0.25">
      <c r="K220" s="58"/>
      <c r="L220" s="59"/>
      <c r="M220" s="54"/>
      <c r="N220" s="55"/>
      <c r="P220" s="58"/>
      <c r="Q220" s="59"/>
      <c r="R220" s="54"/>
      <c r="S220" s="55"/>
    </row>
    <row r="221" spans="11:19" x14ac:dyDescent="0.25">
      <c r="K221" s="58"/>
      <c r="L221" s="59"/>
      <c r="M221" s="54"/>
      <c r="N221" s="55"/>
      <c r="P221" s="58"/>
      <c r="Q221" s="59"/>
      <c r="R221" s="54"/>
      <c r="S221" s="55"/>
    </row>
    <row r="222" spans="11:19" x14ac:dyDescent="0.25">
      <c r="K222" s="58"/>
      <c r="L222" s="59"/>
      <c r="M222" s="54"/>
      <c r="N222" s="55"/>
      <c r="P222" s="58"/>
      <c r="Q222" s="59"/>
      <c r="R222" s="54"/>
      <c r="S222" s="55"/>
    </row>
    <row r="223" spans="11:19" x14ac:dyDescent="0.25">
      <c r="K223" s="58"/>
      <c r="L223" s="59"/>
      <c r="M223" s="54"/>
      <c r="N223" s="55"/>
      <c r="P223" s="58"/>
      <c r="Q223" s="59"/>
      <c r="R223" s="54"/>
      <c r="S223" s="55"/>
    </row>
    <row r="224" spans="11:19" x14ac:dyDescent="0.25">
      <c r="K224" s="58"/>
      <c r="L224" s="59"/>
      <c r="M224" s="54"/>
      <c r="N224" s="55"/>
      <c r="P224" s="58"/>
      <c r="Q224" s="59"/>
      <c r="R224" s="54"/>
      <c r="S224" s="55"/>
    </row>
    <row r="225" spans="11:19" x14ac:dyDescent="0.25">
      <c r="K225" s="58"/>
      <c r="L225" s="59"/>
      <c r="M225" s="54"/>
      <c r="N225" s="55"/>
      <c r="P225" s="58"/>
      <c r="Q225" s="59"/>
      <c r="R225" s="54"/>
      <c r="S225" s="55"/>
    </row>
    <row r="226" spans="11:19" x14ac:dyDescent="0.25">
      <c r="K226" s="58"/>
      <c r="L226" s="59"/>
      <c r="M226" s="54"/>
      <c r="N226" s="55"/>
      <c r="P226" s="58"/>
      <c r="Q226" s="59"/>
      <c r="R226" s="54"/>
      <c r="S226" s="55"/>
    </row>
    <row r="227" spans="11:19" x14ac:dyDescent="0.25">
      <c r="K227" s="58"/>
      <c r="L227" s="59"/>
      <c r="M227" s="54"/>
      <c r="N227" s="55"/>
      <c r="P227" s="58"/>
      <c r="Q227" s="59"/>
      <c r="R227" s="54"/>
      <c r="S227" s="55"/>
    </row>
    <row r="228" spans="11:19" x14ac:dyDescent="0.25">
      <c r="K228" s="58"/>
      <c r="L228" s="59"/>
      <c r="M228" s="54"/>
      <c r="N228" s="55"/>
      <c r="P228" s="58"/>
      <c r="Q228" s="59"/>
      <c r="R228" s="54"/>
      <c r="S228" s="55"/>
    </row>
    <row r="229" spans="11:19" x14ac:dyDescent="0.25">
      <c r="K229" s="58"/>
      <c r="L229" s="59"/>
      <c r="M229" s="54"/>
      <c r="N229" s="55"/>
      <c r="P229" s="58"/>
      <c r="Q229" s="59"/>
      <c r="R229" s="54"/>
      <c r="S229" s="55"/>
    </row>
    <row r="230" spans="11:19" x14ac:dyDescent="0.25">
      <c r="K230" s="58"/>
      <c r="L230" s="59"/>
      <c r="M230" s="54"/>
      <c r="N230" s="55"/>
      <c r="P230" s="58"/>
      <c r="Q230" s="59"/>
      <c r="R230" s="54"/>
      <c r="S230" s="55"/>
    </row>
    <row r="231" spans="11:19" x14ac:dyDescent="0.25">
      <c r="K231" s="58"/>
      <c r="L231" s="59"/>
      <c r="M231" s="54"/>
      <c r="N231" s="55"/>
      <c r="P231" s="58"/>
      <c r="Q231" s="59"/>
      <c r="R231" s="54"/>
      <c r="S231" s="55"/>
    </row>
    <row r="232" spans="11:19" x14ac:dyDescent="0.25">
      <c r="K232" s="58"/>
      <c r="L232" s="59"/>
      <c r="M232" s="54"/>
      <c r="N232" s="55"/>
      <c r="P232" s="58"/>
      <c r="Q232" s="59"/>
      <c r="R232" s="54"/>
      <c r="S232" s="55"/>
    </row>
    <row r="233" spans="11:19" x14ac:dyDescent="0.25">
      <c r="K233" s="58"/>
      <c r="L233" s="59"/>
      <c r="M233" s="54"/>
      <c r="N233" s="55"/>
      <c r="P233" s="58"/>
      <c r="Q233" s="59"/>
      <c r="R233" s="54"/>
      <c r="S233" s="55"/>
    </row>
    <row r="234" spans="11:19" x14ac:dyDescent="0.25">
      <c r="K234" s="58"/>
      <c r="L234" s="59"/>
      <c r="M234" s="54"/>
      <c r="N234" s="55"/>
      <c r="P234" s="58"/>
      <c r="Q234" s="59"/>
      <c r="R234" s="54"/>
      <c r="S234" s="55"/>
    </row>
    <row r="235" spans="11:19" x14ac:dyDescent="0.25">
      <c r="K235" s="58"/>
      <c r="L235" s="59"/>
      <c r="M235" s="54"/>
      <c r="N235" s="55"/>
      <c r="P235" s="58"/>
      <c r="Q235" s="59"/>
      <c r="R235" s="54"/>
      <c r="S235" s="55"/>
    </row>
    <row r="236" spans="11:19" x14ac:dyDescent="0.25">
      <c r="K236" s="58"/>
      <c r="L236" s="59"/>
      <c r="M236" s="54"/>
      <c r="N236" s="55"/>
      <c r="P236" s="58"/>
      <c r="Q236" s="59"/>
      <c r="R236" s="54"/>
      <c r="S236" s="55"/>
    </row>
    <row r="237" spans="11:19" x14ac:dyDescent="0.25">
      <c r="K237" s="58"/>
      <c r="L237" s="59"/>
      <c r="M237" s="54"/>
      <c r="N237" s="55"/>
      <c r="P237" s="58"/>
      <c r="Q237" s="59"/>
      <c r="R237" s="54"/>
      <c r="S237" s="55"/>
    </row>
    <row r="238" spans="11:19" x14ac:dyDescent="0.25">
      <c r="K238" s="58"/>
      <c r="L238" s="59"/>
      <c r="M238" s="54"/>
      <c r="N238" s="55"/>
      <c r="P238" s="58"/>
      <c r="Q238" s="59"/>
      <c r="R238" s="54"/>
      <c r="S238" s="55"/>
    </row>
    <row r="239" spans="11:19" x14ac:dyDescent="0.25">
      <c r="K239" s="58"/>
      <c r="L239" s="59"/>
      <c r="M239" s="54"/>
      <c r="N239" s="55"/>
      <c r="P239" s="58"/>
      <c r="Q239" s="59"/>
      <c r="R239" s="54"/>
      <c r="S239" s="55"/>
    </row>
    <row r="240" spans="11:19" x14ac:dyDescent="0.25">
      <c r="K240" s="58"/>
      <c r="L240" s="59"/>
      <c r="M240" s="54"/>
      <c r="N240" s="55"/>
      <c r="P240" s="58"/>
      <c r="Q240" s="59"/>
      <c r="R240" s="54"/>
      <c r="S240" s="55"/>
    </row>
    <row r="241" spans="11:19" x14ac:dyDescent="0.25">
      <c r="K241" s="58"/>
      <c r="L241" s="59"/>
      <c r="M241" s="54"/>
      <c r="N241" s="55"/>
      <c r="P241" s="58"/>
      <c r="Q241" s="59"/>
      <c r="R241" s="54"/>
      <c r="S241" s="55"/>
    </row>
    <row r="242" spans="11:19" x14ac:dyDescent="0.25">
      <c r="K242" s="58"/>
      <c r="L242" s="59"/>
      <c r="M242" s="54"/>
      <c r="N242" s="55"/>
      <c r="P242" s="58"/>
      <c r="Q242" s="59"/>
      <c r="R242" s="54"/>
      <c r="S242" s="55"/>
    </row>
    <row r="243" spans="11:19" x14ac:dyDescent="0.25">
      <c r="K243" s="58"/>
      <c r="L243" s="59"/>
      <c r="M243" s="54"/>
      <c r="N243" s="55"/>
      <c r="P243" s="58"/>
      <c r="Q243" s="59"/>
      <c r="R243" s="54"/>
      <c r="S243" s="55"/>
    </row>
    <row r="244" spans="11:19" x14ac:dyDescent="0.25">
      <c r="K244" s="58"/>
      <c r="L244" s="59"/>
      <c r="M244" s="54"/>
      <c r="N244" s="55"/>
      <c r="P244" s="58"/>
      <c r="Q244" s="59"/>
      <c r="R244" s="54"/>
      <c r="S244" s="55"/>
    </row>
    <row r="245" spans="11:19" x14ac:dyDescent="0.25">
      <c r="K245" s="58"/>
      <c r="L245" s="59"/>
      <c r="M245" s="54"/>
      <c r="N245" s="55"/>
      <c r="P245" s="58"/>
      <c r="Q245" s="59"/>
      <c r="R245" s="54"/>
      <c r="S245" s="55"/>
    </row>
    <row r="246" spans="11:19" x14ac:dyDescent="0.25">
      <c r="K246" s="58"/>
      <c r="L246" s="59"/>
      <c r="M246" s="54"/>
      <c r="N246" s="55"/>
      <c r="P246" s="58"/>
      <c r="Q246" s="59"/>
      <c r="R246" s="54"/>
      <c r="S246" s="55"/>
    </row>
    <row r="247" spans="11:19" x14ac:dyDescent="0.25">
      <c r="K247" s="58"/>
      <c r="L247" s="59"/>
      <c r="M247" s="54"/>
      <c r="N247" s="55"/>
      <c r="P247" s="58"/>
      <c r="Q247" s="59"/>
      <c r="R247" s="54"/>
      <c r="S247" s="55"/>
    </row>
    <row r="248" spans="11:19" x14ac:dyDescent="0.25">
      <c r="K248" s="58"/>
      <c r="L248" s="59"/>
      <c r="M248" s="54"/>
      <c r="N248" s="55"/>
      <c r="P248" s="58"/>
      <c r="Q248" s="59"/>
      <c r="R248" s="54"/>
      <c r="S248" s="55"/>
    </row>
    <row r="249" spans="11:19" x14ac:dyDescent="0.25">
      <c r="K249" s="58"/>
      <c r="L249" s="59"/>
      <c r="M249" s="54"/>
      <c r="N249" s="55"/>
      <c r="P249" s="58"/>
      <c r="Q249" s="59"/>
      <c r="R249" s="54"/>
      <c r="S249" s="55"/>
    </row>
    <row r="250" spans="11:19" x14ac:dyDescent="0.25">
      <c r="K250" s="58"/>
      <c r="L250" s="59"/>
      <c r="M250" s="54"/>
      <c r="N250" s="55"/>
      <c r="P250" s="58"/>
      <c r="Q250" s="59"/>
      <c r="R250" s="54"/>
      <c r="S250" s="55"/>
    </row>
    <row r="251" spans="11:19" x14ac:dyDescent="0.25">
      <c r="K251" s="58"/>
      <c r="L251" s="59"/>
      <c r="M251" s="54"/>
      <c r="N251" s="55"/>
      <c r="P251" s="58"/>
      <c r="Q251" s="59"/>
      <c r="R251" s="54"/>
      <c r="S251" s="55"/>
    </row>
    <row r="252" spans="11:19" x14ac:dyDescent="0.25">
      <c r="K252" s="58"/>
      <c r="L252" s="59"/>
      <c r="M252" s="54"/>
      <c r="N252" s="55"/>
      <c r="P252" s="58"/>
      <c r="Q252" s="59"/>
      <c r="R252" s="54"/>
      <c r="S252" s="55"/>
    </row>
    <row r="253" spans="11:19" x14ac:dyDescent="0.25">
      <c r="K253" s="58"/>
      <c r="L253" s="59"/>
      <c r="M253" s="54"/>
      <c r="N253" s="55"/>
      <c r="P253" s="58"/>
      <c r="Q253" s="59"/>
      <c r="R253" s="54"/>
      <c r="S253" s="55"/>
    </row>
    <row r="254" spans="11:19" x14ac:dyDescent="0.25">
      <c r="K254" s="58"/>
      <c r="L254" s="59"/>
      <c r="M254" s="54"/>
      <c r="N254" s="55"/>
      <c r="P254" s="58"/>
      <c r="Q254" s="59"/>
      <c r="R254" s="54"/>
      <c r="S254" s="55"/>
    </row>
    <row r="255" spans="11:19" x14ac:dyDescent="0.25">
      <c r="K255" s="58"/>
      <c r="L255" s="59"/>
      <c r="M255" s="54"/>
      <c r="N255" s="55"/>
      <c r="P255" s="58"/>
      <c r="Q255" s="59"/>
      <c r="R255" s="54"/>
      <c r="S255" s="55"/>
    </row>
    <row r="256" spans="11:19" x14ac:dyDescent="0.25">
      <c r="K256" s="58"/>
      <c r="L256" s="59"/>
      <c r="M256" s="54"/>
      <c r="N256" s="55"/>
      <c r="P256" s="58"/>
      <c r="Q256" s="59"/>
      <c r="R256" s="54"/>
      <c r="S256" s="55"/>
    </row>
    <row r="257" spans="11:19" x14ac:dyDescent="0.25">
      <c r="K257" s="58"/>
      <c r="L257" s="59"/>
      <c r="M257" s="54"/>
      <c r="N257" s="55"/>
      <c r="P257" s="58"/>
      <c r="Q257" s="59"/>
      <c r="R257" s="54"/>
      <c r="S257" s="55"/>
    </row>
    <row r="258" spans="11:19" x14ac:dyDescent="0.25">
      <c r="K258" s="58"/>
      <c r="L258" s="59"/>
      <c r="M258" s="54"/>
      <c r="N258" s="55"/>
      <c r="P258" s="58"/>
      <c r="Q258" s="59"/>
      <c r="R258" s="54"/>
      <c r="S258" s="55"/>
    </row>
    <row r="259" spans="11:19" x14ac:dyDescent="0.25">
      <c r="K259" s="58"/>
      <c r="L259" s="59"/>
      <c r="M259" s="54"/>
      <c r="N259" s="55"/>
      <c r="P259" s="58"/>
      <c r="Q259" s="59"/>
      <c r="R259" s="54"/>
      <c r="S259" s="55"/>
    </row>
    <row r="260" spans="11:19" x14ac:dyDescent="0.25">
      <c r="K260" s="58"/>
      <c r="L260" s="59"/>
      <c r="M260" s="54"/>
      <c r="N260" s="55"/>
      <c r="P260" s="58"/>
      <c r="Q260" s="59"/>
      <c r="R260" s="54"/>
      <c r="S260" s="55"/>
    </row>
    <row r="261" spans="11:19" x14ac:dyDescent="0.25">
      <c r="K261" s="58"/>
      <c r="L261" s="59"/>
      <c r="M261" s="54"/>
      <c r="N261" s="55"/>
      <c r="P261" s="58"/>
      <c r="Q261" s="59"/>
      <c r="R261" s="54"/>
      <c r="S261" s="55"/>
    </row>
    <row r="262" spans="11:19" x14ac:dyDescent="0.25">
      <c r="K262" s="58"/>
      <c r="L262" s="59"/>
      <c r="M262" s="54"/>
      <c r="N262" s="55"/>
      <c r="P262" s="58"/>
      <c r="Q262" s="59"/>
      <c r="R262" s="54"/>
      <c r="S262" s="55"/>
    </row>
    <row r="263" spans="11:19" x14ac:dyDescent="0.25">
      <c r="K263" s="58"/>
      <c r="L263" s="59"/>
      <c r="M263" s="54"/>
      <c r="N263" s="55"/>
      <c r="P263" s="58"/>
      <c r="Q263" s="59"/>
      <c r="R263" s="54"/>
      <c r="S263" s="55"/>
    </row>
    <row r="264" spans="11:19" x14ac:dyDescent="0.25">
      <c r="K264" s="58"/>
      <c r="L264" s="59"/>
      <c r="M264" s="54"/>
      <c r="N264" s="55"/>
      <c r="P264" s="58"/>
      <c r="Q264" s="59"/>
      <c r="R264" s="54"/>
      <c r="S264" s="55"/>
    </row>
    <row r="265" spans="11:19" x14ac:dyDescent="0.25">
      <c r="K265" s="58"/>
      <c r="L265" s="59"/>
      <c r="M265" s="54"/>
      <c r="N265" s="55"/>
      <c r="P265" s="58"/>
      <c r="Q265" s="59"/>
      <c r="R265" s="54"/>
      <c r="S265" s="55"/>
    </row>
    <row r="266" spans="11:19" x14ac:dyDescent="0.25">
      <c r="K266" s="58"/>
      <c r="L266" s="59"/>
      <c r="M266" s="54"/>
      <c r="N266" s="55"/>
      <c r="P266" s="58"/>
      <c r="Q266" s="59"/>
      <c r="R266" s="54"/>
      <c r="S266" s="55"/>
    </row>
    <row r="267" spans="11:19" x14ac:dyDescent="0.25">
      <c r="K267" s="58"/>
      <c r="L267" s="59"/>
      <c r="M267" s="54"/>
      <c r="N267" s="55"/>
      <c r="P267" s="58"/>
      <c r="Q267" s="59"/>
      <c r="R267" s="54"/>
      <c r="S267" s="55"/>
    </row>
    <row r="268" spans="11:19" x14ac:dyDescent="0.25">
      <c r="K268" s="58"/>
      <c r="L268" s="59"/>
      <c r="M268" s="54"/>
      <c r="N268" s="55"/>
      <c r="P268" s="58"/>
      <c r="Q268" s="59"/>
      <c r="R268" s="54"/>
      <c r="S268" s="55"/>
    </row>
    <row r="269" spans="11:19" x14ac:dyDescent="0.25">
      <c r="K269" s="58"/>
      <c r="L269" s="59"/>
      <c r="M269" s="54"/>
      <c r="N269" s="55"/>
      <c r="P269" s="58"/>
      <c r="Q269" s="59"/>
      <c r="R269" s="54"/>
      <c r="S269" s="55"/>
    </row>
    <row r="270" spans="11:19" x14ac:dyDescent="0.25">
      <c r="K270" s="58"/>
      <c r="L270" s="59"/>
      <c r="M270" s="54"/>
      <c r="N270" s="55"/>
      <c r="P270" s="58"/>
      <c r="Q270" s="59"/>
      <c r="R270" s="54"/>
      <c r="S270" s="55"/>
    </row>
    <row r="271" spans="11:19" x14ac:dyDescent="0.25">
      <c r="K271" s="58"/>
      <c r="L271" s="59"/>
      <c r="M271" s="54"/>
      <c r="N271" s="55"/>
      <c r="P271" s="58"/>
      <c r="Q271" s="59"/>
      <c r="R271" s="54"/>
      <c r="S271" s="55"/>
    </row>
    <row r="272" spans="11:19" x14ac:dyDescent="0.25">
      <c r="K272" s="58"/>
      <c r="L272" s="59"/>
      <c r="M272" s="54"/>
      <c r="N272" s="55"/>
      <c r="P272" s="58"/>
      <c r="Q272" s="59"/>
      <c r="R272" s="54"/>
      <c r="S272" s="55"/>
    </row>
    <row r="273" spans="11:19" x14ac:dyDescent="0.25">
      <c r="K273" s="58"/>
      <c r="L273" s="59"/>
      <c r="M273" s="54"/>
      <c r="N273" s="55"/>
      <c r="P273" s="58"/>
      <c r="Q273" s="59"/>
      <c r="R273" s="54"/>
      <c r="S273" s="55"/>
    </row>
    <row r="274" spans="11:19" x14ac:dyDescent="0.25">
      <c r="K274" s="58"/>
      <c r="L274" s="59"/>
      <c r="M274" s="54"/>
      <c r="N274" s="55"/>
      <c r="P274" s="58"/>
      <c r="Q274" s="59"/>
      <c r="R274" s="54"/>
      <c r="S274" s="55"/>
    </row>
    <row r="275" spans="11:19" x14ac:dyDescent="0.25">
      <c r="K275" s="58"/>
      <c r="L275" s="59"/>
      <c r="M275" s="54"/>
      <c r="N275" s="55"/>
      <c r="P275" s="58"/>
      <c r="Q275" s="59"/>
      <c r="R275" s="54"/>
      <c r="S275" s="55"/>
    </row>
    <row r="276" spans="11:19" x14ac:dyDescent="0.25">
      <c r="K276" s="58"/>
      <c r="L276" s="59"/>
      <c r="M276" s="54"/>
      <c r="N276" s="55"/>
      <c r="P276" s="58"/>
      <c r="Q276" s="59"/>
      <c r="R276" s="54"/>
      <c r="S276" s="55"/>
    </row>
    <row r="277" spans="11:19" x14ac:dyDescent="0.25">
      <c r="K277" s="58"/>
      <c r="L277" s="59"/>
      <c r="M277" s="54"/>
      <c r="N277" s="55"/>
      <c r="P277" s="58"/>
      <c r="Q277" s="59"/>
      <c r="R277" s="54"/>
      <c r="S277" s="55"/>
    </row>
    <row r="278" spans="11:19" x14ac:dyDescent="0.25">
      <c r="K278" s="58"/>
      <c r="L278" s="59"/>
      <c r="M278" s="54"/>
      <c r="N278" s="55"/>
      <c r="P278" s="58"/>
      <c r="Q278" s="59"/>
      <c r="R278" s="54"/>
      <c r="S278" s="55"/>
    </row>
    <row r="279" spans="11:19" x14ac:dyDescent="0.25">
      <c r="K279" s="58"/>
      <c r="L279" s="59"/>
      <c r="M279" s="54"/>
      <c r="N279" s="55"/>
      <c r="P279" s="58"/>
      <c r="Q279" s="59"/>
      <c r="R279" s="54"/>
      <c r="S279" s="55"/>
    </row>
    <row r="280" spans="11:19" x14ac:dyDescent="0.25">
      <c r="K280" s="58"/>
      <c r="L280" s="59"/>
      <c r="M280" s="54"/>
      <c r="N280" s="55"/>
      <c r="P280" s="58"/>
      <c r="Q280" s="59"/>
      <c r="R280" s="54"/>
      <c r="S280" s="55"/>
    </row>
    <row r="281" spans="11:19" x14ac:dyDescent="0.25">
      <c r="K281" s="58"/>
      <c r="L281" s="59"/>
      <c r="M281" s="54"/>
      <c r="N281" s="55"/>
      <c r="P281" s="58"/>
      <c r="Q281" s="59"/>
      <c r="R281" s="54"/>
      <c r="S281" s="55"/>
    </row>
    <row r="282" spans="11:19" x14ac:dyDescent="0.25">
      <c r="K282" s="58"/>
      <c r="L282" s="59"/>
      <c r="M282" s="54"/>
      <c r="N282" s="55"/>
      <c r="P282" s="58"/>
      <c r="Q282" s="59"/>
      <c r="R282" s="54"/>
      <c r="S282" s="55"/>
    </row>
    <row r="283" spans="11:19" x14ac:dyDescent="0.25">
      <c r="K283" s="58"/>
      <c r="L283" s="59"/>
      <c r="M283" s="54"/>
      <c r="N283" s="55"/>
      <c r="P283" s="58"/>
      <c r="Q283" s="59"/>
      <c r="R283" s="54"/>
      <c r="S283" s="55"/>
    </row>
    <row r="284" spans="11:19" x14ac:dyDescent="0.25">
      <c r="K284" s="58"/>
      <c r="L284" s="59"/>
      <c r="M284" s="54"/>
      <c r="N284" s="55"/>
      <c r="P284" s="58"/>
      <c r="Q284" s="59"/>
      <c r="R284" s="54"/>
      <c r="S284" s="55"/>
    </row>
    <row r="285" spans="11:19" x14ac:dyDescent="0.25">
      <c r="K285" s="58"/>
      <c r="L285" s="59"/>
      <c r="M285" s="54"/>
      <c r="N285" s="55"/>
      <c r="P285" s="58"/>
      <c r="Q285" s="59"/>
      <c r="R285" s="54"/>
      <c r="S285" s="55"/>
    </row>
    <row r="286" spans="11:19" x14ac:dyDescent="0.25">
      <c r="K286" s="58"/>
      <c r="L286" s="59"/>
      <c r="M286" s="54"/>
      <c r="N286" s="55"/>
      <c r="P286" s="58"/>
      <c r="Q286" s="59"/>
      <c r="R286" s="54"/>
      <c r="S286" s="55"/>
    </row>
    <row r="287" spans="11:19" x14ac:dyDescent="0.25">
      <c r="K287" s="58"/>
      <c r="L287" s="59"/>
      <c r="M287" s="54"/>
      <c r="N287" s="55"/>
      <c r="P287" s="58"/>
      <c r="Q287" s="59"/>
      <c r="R287" s="54"/>
      <c r="S287" s="55"/>
    </row>
    <row r="288" spans="11:19" x14ac:dyDescent="0.25">
      <c r="K288" s="58"/>
      <c r="L288" s="59"/>
      <c r="M288" s="54"/>
      <c r="N288" s="55"/>
      <c r="P288" s="58"/>
      <c r="Q288" s="59"/>
      <c r="R288" s="54"/>
      <c r="S288" s="55"/>
    </row>
    <row r="289" spans="11:19" x14ac:dyDescent="0.25">
      <c r="K289" s="58"/>
      <c r="L289" s="59"/>
      <c r="M289" s="54"/>
      <c r="N289" s="55"/>
      <c r="P289" s="58"/>
      <c r="Q289" s="59"/>
      <c r="R289" s="54"/>
      <c r="S289" s="55"/>
    </row>
    <row r="290" spans="11:19" x14ac:dyDescent="0.25">
      <c r="K290" s="58"/>
      <c r="L290" s="59"/>
      <c r="M290" s="54"/>
      <c r="N290" s="55"/>
      <c r="P290" s="58"/>
      <c r="Q290" s="59"/>
      <c r="R290" s="54"/>
      <c r="S290" s="55"/>
    </row>
    <row r="291" spans="11:19" x14ac:dyDescent="0.25">
      <c r="K291" s="58"/>
      <c r="L291" s="59"/>
      <c r="M291" s="54"/>
      <c r="N291" s="55"/>
      <c r="P291" s="58"/>
      <c r="Q291" s="59"/>
      <c r="R291" s="54"/>
      <c r="S291" s="55"/>
    </row>
    <row r="292" spans="11:19" x14ac:dyDescent="0.25">
      <c r="K292" s="58"/>
      <c r="L292" s="59"/>
      <c r="M292" s="54"/>
      <c r="N292" s="55"/>
      <c r="P292" s="58"/>
      <c r="Q292" s="59"/>
      <c r="R292" s="54"/>
      <c r="S292" s="55"/>
    </row>
    <row r="293" spans="11:19" x14ac:dyDescent="0.25">
      <c r="K293" s="58"/>
      <c r="L293" s="59"/>
      <c r="M293" s="54"/>
      <c r="N293" s="55"/>
      <c r="P293" s="58"/>
      <c r="Q293" s="59"/>
      <c r="R293" s="54"/>
      <c r="S293" s="55"/>
    </row>
    <row r="294" spans="11:19" x14ac:dyDescent="0.25">
      <c r="K294" s="58"/>
      <c r="L294" s="59"/>
      <c r="M294" s="54"/>
      <c r="N294" s="55"/>
      <c r="P294" s="58"/>
      <c r="Q294" s="59"/>
      <c r="R294" s="54"/>
      <c r="S294" s="55"/>
    </row>
    <row r="295" spans="11:19" x14ac:dyDescent="0.25">
      <c r="K295" s="58"/>
      <c r="L295" s="59"/>
      <c r="M295" s="54"/>
      <c r="N295" s="55"/>
      <c r="P295" s="58"/>
      <c r="Q295" s="59"/>
      <c r="R295" s="54"/>
      <c r="S295" s="55"/>
    </row>
    <row r="296" spans="11:19" x14ac:dyDescent="0.25">
      <c r="K296" s="58"/>
      <c r="L296" s="59"/>
      <c r="M296" s="54"/>
      <c r="N296" s="55"/>
      <c r="P296" s="58"/>
      <c r="Q296" s="59"/>
      <c r="R296" s="54"/>
      <c r="S296" s="55"/>
    </row>
    <row r="297" spans="11:19" x14ac:dyDescent="0.25">
      <c r="K297" s="58"/>
      <c r="L297" s="59"/>
      <c r="M297" s="54"/>
      <c r="N297" s="55"/>
      <c r="P297" s="58"/>
      <c r="Q297" s="59"/>
      <c r="R297" s="54"/>
      <c r="S297" s="55"/>
    </row>
    <row r="298" spans="11:19" x14ac:dyDescent="0.25">
      <c r="K298" s="58"/>
      <c r="L298" s="59"/>
      <c r="M298" s="54"/>
      <c r="N298" s="55"/>
      <c r="P298" s="58"/>
      <c r="Q298" s="59"/>
      <c r="R298" s="54"/>
      <c r="S298" s="55"/>
    </row>
    <row r="299" spans="11:19" x14ac:dyDescent="0.25">
      <c r="K299" s="58"/>
      <c r="L299" s="59"/>
      <c r="M299" s="54"/>
      <c r="N299" s="55"/>
      <c r="P299" s="58"/>
      <c r="Q299" s="59"/>
      <c r="R299" s="54"/>
      <c r="S299" s="55"/>
    </row>
    <row r="300" spans="11:19" x14ac:dyDescent="0.25">
      <c r="K300" s="58"/>
      <c r="L300" s="59"/>
      <c r="M300" s="54"/>
      <c r="N300" s="55"/>
      <c r="P300" s="58"/>
      <c r="Q300" s="59"/>
      <c r="R300" s="54"/>
      <c r="S300" s="55"/>
    </row>
    <row r="301" spans="11:19" x14ac:dyDescent="0.25">
      <c r="K301" s="58"/>
      <c r="L301" s="59"/>
      <c r="M301" s="54"/>
      <c r="N301" s="55"/>
      <c r="P301" s="58"/>
      <c r="Q301" s="59"/>
      <c r="R301" s="54"/>
      <c r="S301" s="55"/>
    </row>
    <row r="302" spans="11:19" x14ac:dyDescent="0.25">
      <c r="K302" s="58"/>
      <c r="L302" s="59"/>
      <c r="M302" s="54"/>
      <c r="N302" s="55"/>
      <c r="P302" s="58"/>
      <c r="Q302" s="59"/>
      <c r="R302" s="54"/>
      <c r="S302" s="55"/>
    </row>
    <row r="303" spans="11:19" x14ac:dyDescent="0.25">
      <c r="K303" s="58"/>
      <c r="L303" s="59"/>
      <c r="M303" s="54"/>
      <c r="N303" s="55"/>
      <c r="P303" s="58"/>
      <c r="Q303" s="59"/>
      <c r="R303" s="54"/>
      <c r="S303" s="55"/>
    </row>
    <row r="304" spans="11:19" x14ac:dyDescent="0.25">
      <c r="K304" s="58"/>
      <c r="L304" s="59"/>
      <c r="M304" s="54"/>
      <c r="N304" s="55"/>
      <c r="P304" s="58"/>
      <c r="Q304" s="59"/>
      <c r="R304" s="54"/>
      <c r="S304" s="55"/>
    </row>
    <row r="305" spans="11:19" x14ac:dyDescent="0.25">
      <c r="K305" s="58"/>
      <c r="L305" s="59"/>
      <c r="M305" s="54"/>
      <c r="N305" s="55"/>
      <c r="P305" s="58"/>
      <c r="Q305" s="59"/>
      <c r="R305" s="54"/>
      <c r="S305" s="55"/>
    </row>
    <row r="306" spans="11:19" x14ac:dyDescent="0.25">
      <c r="K306" s="58"/>
      <c r="L306" s="59"/>
      <c r="M306" s="54"/>
      <c r="N306" s="55"/>
      <c r="P306" s="58"/>
      <c r="Q306" s="59"/>
      <c r="R306" s="54"/>
      <c r="S306" s="55"/>
    </row>
    <row r="307" spans="11:19" x14ac:dyDescent="0.25">
      <c r="K307" s="58"/>
      <c r="L307" s="59"/>
      <c r="M307" s="54"/>
      <c r="N307" s="55"/>
      <c r="P307" s="58"/>
      <c r="Q307" s="59"/>
      <c r="R307" s="54"/>
      <c r="S307" s="55"/>
    </row>
    <row r="308" spans="11:19" x14ac:dyDescent="0.25">
      <c r="K308" s="58"/>
      <c r="L308" s="59"/>
      <c r="M308" s="54"/>
      <c r="N308" s="55"/>
      <c r="P308" s="58"/>
      <c r="Q308" s="59"/>
      <c r="R308" s="54"/>
      <c r="S308" s="55"/>
    </row>
    <row r="309" spans="11:19" x14ac:dyDescent="0.25">
      <c r="K309" s="58"/>
      <c r="L309" s="59"/>
      <c r="M309" s="54"/>
      <c r="N309" s="55"/>
      <c r="P309" s="58"/>
      <c r="Q309" s="59"/>
      <c r="R309" s="54"/>
      <c r="S309" s="55"/>
    </row>
    <row r="310" spans="11:19" x14ac:dyDescent="0.25">
      <c r="K310" s="58"/>
      <c r="L310" s="59"/>
      <c r="M310" s="54"/>
      <c r="N310" s="55"/>
      <c r="P310" s="58"/>
      <c r="Q310" s="59"/>
      <c r="R310" s="54"/>
      <c r="S310" s="55"/>
    </row>
    <row r="311" spans="11:19" x14ac:dyDescent="0.25">
      <c r="K311" s="58"/>
      <c r="L311" s="59"/>
      <c r="M311" s="54"/>
      <c r="N311" s="55"/>
      <c r="P311" s="58"/>
      <c r="Q311" s="59"/>
      <c r="R311" s="54"/>
      <c r="S311" s="55"/>
    </row>
    <row r="312" spans="11:19" x14ac:dyDescent="0.25">
      <c r="K312" s="58"/>
      <c r="L312" s="59"/>
      <c r="M312" s="54"/>
      <c r="N312" s="55"/>
      <c r="P312" s="58"/>
      <c r="Q312" s="59"/>
      <c r="R312" s="54"/>
      <c r="S312" s="55"/>
    </row>
    <row r="313" spans="11:19" x14ac:dyDescent="0.25">
      <c r="K313" s="58"/>
      <c r="L313" s="59"/>
      <c r="M313" s="54"/>
      <c r="N313" s="55"/>
      <c r="P313" s="58"/>
      <c r="Q313" s="59"/>
      <c r="R313" s="54"/>
      <c r="S313" s="55"/>
    </row>
    <row r="314" spans="11:19" x14ac:dyDescent="0.25">
      <c r="K314" s="58"/>
      <c r="L314" s="59"/>
      <c r="M314" s="54"/>
      <c r="N314" s="55"/>
      <c r="P314" s="58"/>
      <c r="Q314" s="59"/>
      <c r="R314" s="54"/>
      <c r="S314" s="55"/>
    </row>
    <row r="315" spans="11:19" x14ac:dyDescent="0.25">
      <c r="K315" s="58"/>
      <c r="L315" s="59"/>
      <c r="M315" s="54"/>
      <c r="N315" s="55"/>
      <c r="P315" s="58"/>
      <c r="Q315" s="59"/>
      <c r="R315" s="54"/>
      <c r="S315" s="55"/>
    </row>
    <row r="316" spans="11:19" x14ac:dyDescent="0.25">
      <c r="K316" s="58"/>
      <c r="L316" s="59"/>
      <c r="M316" s="54"/>
      <c r="N316" s="55"/>
      <c r="P316" s="58"/>
      <c r="Q316" s="59"/>
      <c r="R316" s="54"/>
      <c r="S316" s="55"/>
    </row>
    <row r="317" spans="11:19" x14ac:dyDescent="0.25">
      <c r="K317" s="58"/>
      <c r="L317" s="59"/>
      <c r="M317" s="54"/>
      <c r="N317" s="55"/>
      <c r="P317" s="58"/>
      <c r="Q317" s="59"/>
      <c r="R317" s="54"/>
      <c r="S317" s="55"/>
    </row>
    <row r="318" spans="11:19" x14ac:dyDescent="0.25">
      <c r="K318" s="58"/>
      <c r="L318" s="59"/>
      <c r="M318" s="54"/>
      <c r="N318" s="55"/>
      <c r="P318" s="58"/>
      <c r="Q318" s="59"/>
      <c r="R318" s="54"/>
      <c r="S318" s="55"/>
    </row>
    <row r="319" spans="11:19" x14ac:dyDescent="0.25">
      <c r="K319" s="58"/>
      <c r="L319" s="59"/>
      <c r="M319" s="54"/>
      <c r="N319" s="55"/>
      <c r="P319" s="58"/>
      <c r="Q319" s="59"/>
      <c r="R319" s="54"/>
      <c r="S319" s="55"/>
    </row>
    <row r="320" spans="11:19" x14ac:dyDescent="0.25">
      <c r="K320" s="58"/>
      <c r="L320" s="59"/>
      <c r="M320" s="54"/>
      <c r="N320" s="55"/>
      <c r="P320" s="58"/>
      <c r="Q320" s="59"/>
      <c r="R320" s="54"/>
      <c r="S320" s="55"/>
    </row>
    <row r="321" spans="11:19" x14ac:dyDescent="0.25">
      <c r="K321" s="58"/>
      <c r="L321" s="59"/>
      <c r="M321" s="54"/>
      <c r="N321" s="55"/>
      <c r="P321" s="58"/>
      <c r="Q321" s="59"/>
      <c r="R321" s="54"/>
      <c r="S321" s="55"/>
    </row>
    <row r="322" spans="11:19" x14ac:dyDescent="0.25">
      <c r="K322" s="58"/>
      <c r="L322" s="59"/>
      <c r="M322" s="54"/>
      <c r="N322" s="55"/>
      <c r="P322" s="58"/>
      <c r="Q322" s="59"/>
      <c r="R322" s="54"/>
      <c r="S322" s="55"/>
    </row>
    <row r="323" spans="11:19" x14ac:dyDescent="0.25">
      <c r="K323" s="58"/>
      <c r="L323" s="59"/>
      <c r="M323" s="54"/>
      <c r="N323" s="55"/>
      <c r="P323" s="58"/>
      <c r="Q323" s="59"/>
      <c r="R323" s="54"/>
      <c r="S323" s="55"/>
    </row>
    <row r="324" spans="11:19" x14ac:dyDescent="0.25">
      <c r="K324" s="58"/>
      <c r="L324" s="59"/>
      <c r="M324" s="54"/>
      <c r="N324" s="55"/>
      <c r="P324" s="58"/>
      <c r="Q324" s="59"/>
      <c r="R324" s="54"/>
      <c r="S324" s="55"/>
    </row>
    <row r="325" spans="11:19" x14ac:dyDescent="0.25">
      <c r="K325" s="58"/>
      <c r="L325" s="59"/>
      <c r="M325" s="54"/>
      <c r="N325" s="55"/>
      <c r="P325" s="58"/>
      <c r="Q325" s="59"/>
      <c r="R325" s="54"/>
      <c r="S325" s="55"/>
    </row>
    <row r="326" spans="11:19" x14ac:dyDescent="0.25">
      <c r="K326" s="58"/>
      <c r="L326" s="59"/>
      <c r="M326" s="54"/>
      <c r="N326" s="55"/>
      <c r="P326" s="58"/>
      <c r="Q326" s="59"/>
      <c r="R326" s="54"/>
      <c r="S326" s="55"/>
    </row>
    <row r="327" spans="11:19" x14ac:dyDescent="0.25">
      <c r="K327" s="58"/>
      <c r="L327" s="59"/>
      <c r="M327" s="54"/>
      <c r="N327" s="55"/>
      <c r="P327" s="58"/>
      <c r="Q327" s="59"/>
      <c r="R327" s="54"/>
      <c r="S327" s="55"/>
    </row>
    <row r="328" spans="11:19" x14ac:dyDescent="0.25">
      <c r="K328" s="58"/>
      <c r="L328" s="59"/>
      <c r="M328" s="54"/>
      <c r="N328" s="55"/>
      <c r="P328" s="58"/>
      <c r="Q328" s="59"/>
      <c r="R328" s="54"/>
      <c r="S328" s="55"/>
    </row>
    <row r="329" spans="11:19" x14ac:dyDescent="0.25">
      <c r="K329" s="58"/>
      <c r="L329" s="59"/>
      <c r="M329" s="54"/>
      <c r="N329" s="55"/>
      <c r="P329" s="58"/>
      <c r="Q329" s="59"/>
      <c r="R329" s="54"/>
      <c r="S329" s="55"/>
    </row>
    <row r="330" spans="11:19" x14ac:dyDescent="0.25">
      <c r="K330" s="58"/>
      <c r="L330" s="59"/>
      <c r="M330" s="54"/>
      <c r="N330" s="55"/>
      <c r="P330" s="58"/>
      <c r="Q330" s="59"/>
      <c r="R330" s="54"/>
      <c r="S330" s="55"/>
    </row>
    <row r="331" spans="11:19" x14ac:dyDescent="0.25">
      <c r="K331" s="58"/>
      <c r="L331" s="59"/>
      <c r="M331" s="54"/>
      <c r="N331" s="55"/>
      <c r="P331" s="58"/>
      <c r="Q331" s="59"/>
      <c r="R331" s="54"/>
      <c r="S331" s="55"/>
    </row>
    <row r="332" spans="11:19" x14ac:dyDescent="0.25">
      <c r="K332" s="58"/>
      <c r="L332" s="59"/>
      <c r="M332" s="54"/>
      <c r="N332" s="55"/>
      <c r="P332" s="58"/>
      <c r="Q332" s="59"/>
      <c r="R332" s="54"/>
      <c r="S332" s="55"/>
    </row>
    <row r="333" spans="11:19" x14ac:dyDescent="0.25">
      <c r="K333" s="58"/>
      <c r="L333" s="59"/>
      <c r="M333" s="54"/>
      <c r="N333" s="55"/>
      <c r="P333" s="58"/>
      <c r="Q333" s="59"/>
      <c r="R333" s="54"/>
      <c r="S333" s="55"/>
    </row>
    <row r="334" spans="11:19" x14ac:dyDescent="0.25">
      <c r="K334" s="58"/>
      <c r="L334" s="59"/>
      <c r="M334" s="54"/>
      <c r="N334" s="55"/>
      <c r="P334" s="58"/>
      <c r="Q334" s="59"/>
      <c r="R334" s="54"/>
      <c r="S334" s="55"/>
    </row>
    <row r="335" spans="11:19" x14ac:dyDescent="0.25">
      <c r="K335" s="58"/>
      <c r="L335" s="59"/>
      <c r="M335" s="54"/>
      <c r="N335" s="55"/>
      <c r="P335" s="58"/>
      <c r="Q335" s="59"/>
      <c r="R335" s="54"/>
      <c r="S335" s="55"/>
    </row>
    <row r="336" spans="11:19" x14ac:dyDescent="0.25">
      <c r="K336" s="58"/>
      <c r="L336" s="59"/>
      <c r="M336" s="54"/>
      <c r="N336" s="55"/>
      <c r="P336" s="58"/>
      <c r="Q336" s="59"/>
      <c r="R336" s="54"/>
      <c r="S336" s="55"/>
    </row>
    <row r="337" spans="11:19" x14ac:dyDescent="0.25">
      <c r="K337" s="58"/>
      <c r="L337" s="59"/>
      <c r="M337" s="54"/>
      <c r="N337" s="55"/>
      <c r="P337" s="58"/>
      <c r="Q337" s="59"/>
      <c r="R337" s="54"/>
      <c r="S337" s="55"/>
    </row>
    <row r="338" spans="11:19" x14ac:dyDescent="0.25">
      <c r="K338" s="58"/>
      <c r="L338" s="59"/>
      <c r="M338" s="54"/>
      <c r="N338" s="55"/>
      <c r="P338" s="58"/>
      <c r="Q338" s="59"/>
      <c r="R338" s="54"/>
      <c r="S338" s="55"/>
    </row>
    <row r="339" spans="11:19" x14ac:dyDescent="0.25">
      <c r="K339" s="58"/>
      <c r="L339" s="59"/>
      <c r="M339" s="54"/>
      <c r="N339" s="55"/>
      <c r="P339" s="58"/>
      <c r="Q339" s="59"/>
      <c r="R339" s="54"/>
      <c r="S339" s="55"/>
    </row>
    <row r="340" spans="11:19" x14ac:dyDescent="0.25">
      <c r="K340" s="58"/>
      <c r="L340" s="59"/>
      <c r="M340" s="54"/>
      <c r="N340" s="55"/>
      <c r="P340" s="58"/>
      <c r="Q340" s="59"/>
      <c r="R340" s="54"/>
      <c r="S340" s="55"/>
    </row>
    <row r="341" spans="11:19" x14ac:dyDescent="0.25">
      <c r="K341" s="58"/>
      <c r="L341" s="59"/>
      <c r="M341" s="54"/>
      <c r="N341" s="55"/>
      <c r="P341" s="58"/>
      <c r="Q341" s="59"/>
      <c r="R341" s="54"/>
      <c r="S341" s="55"/>
    </row>
    <row r="342" spans="11:19" x14ac:dyDescent="0.25">
      <c r="K342" s="58"/>
      <c r="L342" s="59"/>
      <c r="M342" s="54"/>
      <c r="N342" s="55"/>
      <c r="P342" s="58"/>
      <c r="Q342" s="59"/>
      <c r="R342" s="54"/>
      <c r="S342" s="55"/>
    </row>
    <row r="343" spans="11:19" x14ac:dyDescent="0.25">
      <c r="K343" s="58"/>
      <c r="L343" s="59"/>
      <c r="M343" s="54"/>
      <c r="N343" s="55"/>
      <c r="P343" s="58"/>
      <c r="Q343" s="59"/>
      <c r="R343" s="54"/>
      <c r="S343" s="55"/>
    </row>
    <row r="344" spans="11:19" x14ac:dyDescent="0.25">
      <c r="K344" s="58"/>
      <c r="L344" s="59"/>
      <c r="M344" s="54"/>
      <c r="N344" s="55"/>
      <c r="P344" s="58"/>
      <c r="Q344" s="59"/>
      <c r="R344" s="54"/>
      <c r="S344" s="55"/>
    </row>
    <row r="345" spans="11:19" x14ac:dyDescent="0.25">
      <c r="K345" s="58"/>
      <c r="L345" s="59"/>
      <c r="M345" s="54"/>
      <c r="N345" s="55"/>
      <c r="P345" s="58"/>
      <c r="Q345" s="59"/>
      <c r="R345" s="54"/>
      <c r="S345" s="55"/>
    </row>
    <row r="346" spans="11:19" x14ac:dyDescent="0.25">
      <c r="K346" s="58"/>
      <c r="L346" s="59"/>
      <c r="M346" s="54"/>
      <c r="N346" s="55"/>
      <c r="P346" s="58"/>
      <c r="Q346" s="59"/>
      <c r="R346" s="54"/>
      <c r="S346" s="55"/>
    </row>
    <row r="347" spans="11:19" x14ac:dyDescent="0.25">
      <c r="K347" s="58"/>
      <c r="L347" s="59"/>
      <c r="M347" s="54"/>
      <c r="N347" s="55"/>
      <c r="P347" s="58"/>
      <c r="Q347" s="59"/>
      <c r="R347" s="54"/>
      <c r="S347" s="55"/>
    </row>
    <row r="348" spans="11:19" ht="15.75" thickBot="1" x14ac:dyDescent="0.3">
      <c r="K348" s="60"/>
      <c r="L348" s="61"/>
      <c r="M348" s="56"/>
      <c r="N348" s="57"/>
      <c r="P348" s="60"/>
      <c r="Q348" s="61"/>
      <c r="R348" s="56"/>
      <c r="S348" s="57"/>
    </row>
  </sheetData>
  <mergeCells count="4">
    <mergeCell ref="A8:D8"/>
    <mergeCell ref="F8:I8"/>
    <mergeCell ref="K8:N8"/>
    <mergeCell ref="P8:S8"/>
  </mergeCells>
  <conditionalFormatting sqref="G3">
    <cfRule type="cellIs" dxfId="24" priority="5" operator="greaterThan">
      <formula>$J$4</formula>
    </cfRule>
  </conditionalFormatting>
  <conditionalFormatting sqref="T5">
    <cfRule type="cellIs" dxfId="23" priority="1" operator="greaterThan">
      <formula>$T$6</formula>
    </cfRule>
    <cfRule type="cellIs" dxfId="22" priority="4" operator="lessThan">
      <formula>$T$6</formula>
    </cfRule>
  </conditionalFormatting>
  <conditionalFormatting sqref="T6">
    <cfRule type="cellIs" dxfId="21" priority="2" operator="greaterThan">
      <formula>$T$5</formula>
    </cfRule>
    <cfRule type="cellIs" dxfId="20" priority="3" operator="lessThan">
      <formula>$T$5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2AABDA-625C-453F-B49C-E35A929C8572}">
  <sheetPr codeName="Sheet27"/>
  <dimension ref="A1:T348"/>
  <sheetViews>
    <sheetView zoomScaleNormal="100" workbookViewId="0">
      <pane ySplit="9" topLeftCell="A10" activePane="bottomLeft" state="frozen"/>
      <selection pane="bottomLeft" activeCell="H7" sqref="H7"/>
    </sheetView>
  </sheetViews>
  <sheetFormatPr baseColWidth="10" defaultColWidth="9.140625" defaultRowHeight="15" x14ac:dyDescent="0.25"/>
  <cols>
    <col min="2" max="2" width="11.85546875" bestFit="1" customWidth="1"/>
    <col min="3" max="3" width="13.85546875" customWidth="1"/>
    <col min="4" max="4" width="14.5703125" customWidth="1"/>
    <col min="5" max="6" width="14.5703125" bestFit="1" customWidth="1"/>
    <col min="7" max="8" width="15.140625" bestFit="1" customWidth="1"/>
    <col min="9" max="9" width="11.42578125" bestFit="1" customWidth="1"/>
    <col min="10" max="10" width="12.140625" bestFit="1" customWidth="1"/>
    <col min="12" max="12" width="11.85546875" bestFit="1" customWidth="1"/>
    <col min="13" max="13" width="13.85546875" bestFit="1" customWidth="1"/>
    <col min="14" max="14" width="12.7109375" bestFit="1" customWidth="1"/>
    <col min="15" max="15" width="8.7109375" customWidth="1"/>
    <col min="18" max="18" width="13.85546875" bestFit="1" customWidth="1"/>
    <col min="19" max="19" width="11.5703125" bestFit="1" customWidth="1"/>
    <col min="20" max="20" width="12.42578125" bestFit="1" customWidth="1"/>
    <col min="22" max="23" width="14.5703125" bestFit="1" customWidth="1"/>
    <col min="24" max="24" width="15.85546875" bestFit="1" customWidth="1"/>
    <col min="26" max="26" width="15.85546875" bestFit="1" customWidth="1"/>
  </cols>
  <sheetData>
    <row r="1" spans="1:20" ht="15.75" thickBot="1" x14ac:dyDescent="0.3">
      <c r="C1" s="1" t="s">
        <v>0</v>
      </c>
      <c r="D1" s="2" t="s">
        <v>1</v>
      </c>
      <c r="E1" s="1" t="s">
        <v>2</v>
      </c>
      <c r="F1" s="2" t="s">
        <v>3</v>
      </c>
      <c r="G1" s="63" t="s">
        <v>4</v>
      </c>
      <c r="H1" s="81" t="s">
        <v>24</v>
      </c>
      <c r="I1" s="66" t="s">
        <v>5</v>
      </c>
      <c r="J1" s="3">
        <v>368</v>
      </c>
      <c r="M1" s="1" t="s">
        <v>5</v>
      </c>
      <c r="N1" s="4" t="s">
        <v>6</v>
      </c>
      <c r="P1" t="s">
        <v>0</v>
      </c>
      <c r="Q1">
        <f>SUM(E10:E54)</f>
        <v>19.5</v>
      </c>
      <c r="R1" t="s">
        <v>2</v>
      </c>
      <c r="S1">
        <f>(M3/M2)*Q1</f>
        <v>13.000000000000002</v>
      </c>
      <c r="T1">
        <f>S1-13</f>
        <v>0</v>
      </c>
    </row>
    <row r="2" spans="1:20" ht="15.75" thickBot="1" x14ac:dyDescent="0.3">
      <c r="B2" s="5" t="s">
        <v>7</v>
      </c>
      <c r="C2" s="6">
        <f>SUMPRODUCT(C10:C118,E10:E118)</f>
        <v>5855733</v>
      </c>
      <c r="D2" s="7">
        <f>SUMPRODUCT(H10:H118,J10:J118)</f>
        <v>3721487</v>
      </c>
      <c r="E2" s="6">
        <f>SUMPRODUCT(M10:M348,O10:O348)</f>
        <v>7507092</v>
      </c>
      <c r="F2" s="7">
        <f>SUMPRODUCT(R10:R348,T10:T348)</f>
        <v>7702623</v>
      </c>
      <c r="G2" s="64">
        <f>C2+D2+E2+F2</f>
        <v>24786935</v>
      </c>
      <c r="H2" s="82">
        <v>24786935</v>
      </c>
      <c r="I2" s="67" t="s">
        <v>6</v>
      </c>
      <c r="J2" s="8">
        <v>334</v>
      </c>
      <c r="L2" s="5" t="s">
        <v>8</v>
      </c>
      <c r="M2" s="9">
        <v>0.6</v>
      </c>
      <c r="N2" s="10">
        <v>0.25</v>
      </c>
      <c r="P2" t="s">
        <v>3</v>
      </c>
      <c r="Q2">
        <f>SUM(T10:T64)</f>
        <v>20</v>
      </c>
      <c r="R2" t="s">
        <v>1</v>
      </c>
      <c r="S2">
        <f>(N2/N3)*Q2</f>
        <v>6.6666666666666661</v>
      </c>
      <c r="T2">
        <f>S2-6</f>
        <v>0.66666666666666607</v>
      </c>
    </row>
    <row r="3" spans="1:20" ht="15.75" thickBot="1" x14ac:dyDescent="0.3">
      <c r="B3" s="11" t="s">
        <v>9</v>
      </c>
      <c r="C3" s="12">
        <f>SUMPRODUCT(B10:B118,E10:E118)</f>
        <v>591.35869565217399</v>
      </c>
      <c r="D3" s="13">
        <f>SUMPRODUCT(G10:G118,J10:J118)</f>
        <v>222.75449101796406</v>
      </c>
      <c r="E3" s="12">
        <f>SUMPRODUCT(L10:L348,O10:O348)</f>
        <v>394.23913043478268</v>
      </c>
      <c r="F3" s="13">
        <f>SUMPRODUCT(Q10:Q348,T10:T348)</f>
        <v>668.26347305389186</v>
      </c>
      <c r="G3" s="65">
        <f>SUM(C3:F3)</f>
        <v>1876.6157901588126</v>
      </c>
      <c r="H3" s="80">
        <f>(H2-G2)/G2</f>
        <v>0</v>
      </c>
      <c r="I3" s="67" t="s">
        <v>10</v>
      </c>
      <c r="J3" s="8">
        <f>11160</f>
        <v>11160</v>
      </c>
      <c r="L3" s="14" t="s">
        <v>11</v>
      </c>
      <c r="M3" s="15">
        <v>0.4</v>
      </c>
      <c r="N3" s="16">
        <v>0.75</v>
      </c>
      <c r="P3" t="s">
        <v>0</v>
      </c>
      <c r="Q3">
        <v>1</v>
      </c>
      <c r="R3" t="s">
        <v>2</v>
      </c>
      <c r="S3">
        <f>(M3/M2)*Q3</f>
        <v>0.66666666666666674</v>
      </c>
    </row>
    <row r="4" spans="1:20" ht="15.75" thickBot="1" x14ac:dyDescent="0.3">
      <c r="B4" s="14" t="s">
        <v>12</v>
      </c>
      <c r="C4" s="17">
        <f>SUM(E10:E118)*J3</f>
        <v>217620</v>
      </c>
      <c r="D4" s="18">
        <f>SUM(J10:J118)*J3</f>
        <v>74400</v>
      </c>
      <c r="E4" s="17">
        <f>SUM(O10:O348)*J3</f>
        <v>145080</v>
      </c>
      <c r="F4" s="18">
        <f>SUM(T10:T348)*J3</f>
        <v>223200</v>
      </c>
      <c r="G4" s="19">
        <f>SUM(C4:F4)</f>
        <v>660300</v>
      </c>
      <c r="H4" s="20"/>
      <c r="I4" s="21" t="s">
        <v>13</v>
      </c>
      <c r="J4" s="22">
        <v>100000</v>
      </c>
      <c r="L4" s="5" t="s">
        <v>14</v>
      </c>
      <c r="M4" s="76">
        <f>C4/(C4+E4)</f>
        <v>0.6</v>
      </c>
      <c r="N4" s="77">
        <f>D4/(D4+F4)</f>
        <v>0.25</v>
      </c>
      <c r="O4" s="23"/>
      <c r="P4" t="s">
        <v>3</v>
      </c>
      <c r="Q4">
        <v>1</v>
      </c>
      <c r="R4" t="s">
        <v>1</v>
      </c>
      <c r="S4">
        <f>(N2/N3)*Q4</f>
        <v>0.33333333333333331</v>
      </c>
    </row>
    <row r="5" spans="1:20" ht="15.75" thickBot="1" x14ac:dyDescent="0.3">
      <c r="B5" s="24" t="s">
        <v>15</v>
      </c>
      <c r="C5" s="25">
        <v>217620</v>
      </c>
      <c r="D5" s="26">
        <v>74400</v>
      </c>
      <c r="E5" s="27">
        <v>145080</v>
      </c>
      <c r="F5" s="26">
        <v>223200</v>
      </c>
      <c r="G5" s="28">
        <f>SUM(C5:F5)</f>
        <v>660300</v>
      </c>
      <c r="H5" s="20"/>
      <c r="I5" s="20"/>
      <c r="L5" s="29" t="s">
        <v>16</v>
      </c>
      <c r="M5" s="78">
        <f>E4/(C4+E4)</f>
        <v>0.4</v>
      </c>
      <c r="N5" s="79">
        <f>F4/(D4+F4)</f>
        <v>0.75</v>
      </c>
      <c r="O5" s="23"/>
      <c r="P5" t="s">
        <v>0</v>
      </c>
      <c r="Q5">
        <v>-4952.1720430107525</v>
      </c>
      <c r="R5" t="s">
        <v>2</v>
      </c>
      <c r="S5">
        <v>7163.6673835125448</v>
      </c>
      <c r="T5">
        <f>Q5*Q3+S5*S3</f>
        <v>-176.39378733572175</v>
      </c>
    </row>
    <row r="6" spans="1:20" ht="15.75" thickBot="1" x14ac:dyDescent="0.3">
      <c r="B6" s="24" t="s">
        <v>17</v>
      </c>
      <c r="C6" s="27">
        <f>C5-C4</f>
        <v>0</v>
      </c>
      <c r="D6" s="30">
        <f>D5-D4</f>
        <v>0</v>
      </c>
      <c r="E6" s="27">
        <f>E5-E4</f>
        <v>0</v>
      </c>
      <c r="F6" s="30">
        <f>F5-F4</f>
        <v>0</v>
      </c>
      <c r="H6" s="20"/>
      <c r="I6" s="20"/>
      <c r="J6" s="62"/>
      <c r="N6" s="23"/>
      <c r="O6" s="23"/>
      <c r="P6" t="s">
        <v>3</v>
      </c>
      <c r="Q6">
        <v>-7110.5188172043008</v>
      </c>
      <c r="R6" t="s">
        <v>1</v>
      </c>
      <c r="S6">
        <v>13039.018817204302</v>
      </c>
      <c r="T6">
        <f>Q6*Q4+S6*S4</f>
        <v>-2764.1792114695336</v>
      </c>
    </row>
    <row r="7" spans="1:20" ht="15.75" thickBot="1" x14ac:dyDescent="0.3"/>
    <row r="8" spans="1:20" ht="15.75" thickBot="1" x14ac:dyDescent="0.3">
      <c r="A8" s="113" t="s">
        <v>18</v>
      </c>
      <c r="B8" s="114"/>
      <c r="C8" s="114"/>
      <c r="D8" s="115"/>
      <c r="E8" s="31"/>
      <c r="F8" s="113" t="s">
        <v>19</v>
      </c>
      <c r="G8" s="114"/>
      <c r="H8" s="114"/>
      <c r="I8" s="115"/>
      <c r="J8" s="31"/>
      <c r="K8" s="113" t="s">
        <v>20</v>
      </c>
      <c r="L8" s="114"/>
      <c r="M8" s="114"/>
      <c r="N8" s="115"/>
      <c r="O8" s="31"/>
      <c r="P8" s="113" t="s">
        <v>21</v>
      </c>
      <c r="Q8" s="114"/>
      <c r="R8" s="114"/>
      <c r="S8" s="115"/>
    </row>
    <row r="9" spans="1:20" ht="15.75" thickBot="1" x14ac:dyDescent="0.3">
      <c r="A9" s="32" t="s">
        <v>22</v>
      </c>
      <c r="B9" s="33" t="s">
        <v>9</v>
      </c>
      <c r="C9" s="33" t="s">
        <v>7</v>
      </c>
      <c r="D9" s="34" t="s">
        <v>23</v>
      </c>
      <c r="E9" s="31"/>
      <c r="F9" s="32" t="s">
        <v>22</v>
      </c>
      <c r="G9" s="33" t="s">
        <v>9</v>
      </c>
      <c r="H9" s="33" t="s">
        <v>7</v>
      </c>
      <c r="I9" s="34" t="s">
        <v>23</v>
      </c>
      <c r="J9" s="31"/>
      <c r="K9" s="32" t="s">
        <v>22</v>
      </c>
      <c r="L9" s="33" t="s">
        <v>9</v>
      </c>
      <c r="M9" s="33" t="s">
        <v>7</v>
      </c>
      <c r="N9" s="34" t="s">
        <v>23</v>
      </c>
      <c r="O9" s="31"/>
      <c r="P9" s="35" t="s">
        <v>22</v>
      </c>
      <c r="Q9" s="36" t="s">
        <v>9</v>
      </c>
      <c r="R9" s="36" t="s">
        <v>7</v>
      </c>
      <c r="S9" s="37" t="s">
        <v>23</v>
      </c>
    </row>
    <row r="10" spans="1:20" x14ac:dyDescent="0.25">
      <c r="A10" s="38">
        <v>15</v>
      </c>
      <c r="B10" s="39">
        <f>$J$3/$J$1</f>
        <v>30.326086956521738</v>
      </c>
      <c r="C10" s="40">
        <v>823261</v>
      </c>
      <c r="D10" s="41">
        <f>C10/B10</f>
        <v>27146.957706093192</v>
      </c>
      <c r="E10">
        <v>1</v>
      </c>
      <c r="F10" s="74">
        <v>9</v>
      </c>
      <c r="G10" s="70">
        <f>$J$3/$J$2</f>
        <v>33.41317365269461</v>
      </c>
      <c r="H10" s="75">
        <v>839159</v>
      </c>
      <c r="I10" s="71">
        <f>H10/G10</f>
        <v>25114.615232974909</v>
      </c>
      <c r="J10">
        <v>0</v>
      </c>
      <c r="K10" s="38">
        <v>99</v>
      </c>
      <c r="L10" s="39">
        <f>$J$3/$J$1</f>
        <v>30.326086956521738</v>
      </c>
      <c r="M10" s="40">
        <v>891762</v>
      </c>
      <c r="N10" s="41">
        <f>M10/L10</f>
        <v>29405.772043010755</v>
      </c>
      <c r="O10">
        <v>1</v>
      </c>
      <c r="P10" s="42">
        <v>31</v>
      </c>
      <c r="Q10" s="43">
        <f>$J$3/$J$2</f>
        <v>33.41317365269461</v>
      </c>
      <c r="R10" s="44">
        <v>828146</v>
      </c>
      <c r="S10" s="45">
        <f>R10/Q10</f>
        <v>24785.014695340502</v>
      </c>
      <c r="T10">
        <v>1</v>
      </c>
    </row>
    <row r="11" spans="1:20" x14ac:dyDescent="0.25">
      <c r="A11" s="46">
        <v>4</v>
      </c>
      <c r="B11" s="39">
        <f t="shared" ref="B11:B54" si="0">$J$3/$J$1</f>
        <v>30.326086956521738</v>
      </c>
      <c r="C11" s="47">
        <v>748702</v>
      </c>
      <c r="D11" s="41">
        <f t="shared" ref="D11:D54" si="1">C11/B11</f>
        <v>24688.381362007171</v>
      </c>
      <c r="E11">
        <v>1</v>
      </c>
      <c r="F11" s="48">
        <v>1</v>
      </c>
      <c r="G11" s="43">
        <f t="shared" ref="G11:G54" si="2">$J$3/$J$2</f>
        <v>33.41317365269461</v>
      </c>
      <c r="H11" s="49">
        <v>816679</v>
      </c>
      <c r="I11" s="45">
        <f t="shared" ref="I11:I54" si="3">H11/G11</f>
        <v>24441.826702508963</v>
      </c>
      <c r="J11">
        <v>1</v>
      </c>
      <c r="K11" s="46">
        <v>22</v>
      </c>
      <c r="L11" s="39">
        <f t="shared" ref="L11:L64" si="4">$J$3/$J$1</f>
        <v>30.326086956521738</v>
      </c>
      <c r="M11" s="47">
        <v>787867</v>
      </c>
      <c r="N11" s="41">
        <f t="shared" ref="N11:N64" si="5">M11/L11</f>
        <v>25979.843727598567</v>
      </c>
      <c r="O11">
        <v>1</v>
      </c>
      <c r="P11" s="48">
        <v>95</v>
      </c>
      <c r="Q11" s="43">
        <f t="shared" ref="Q11:Q64" si="6">$J$3/$J$2</f>
        <v>33.41317365269461</v>
      </c>
      <c r="R11" s="49">
        <v>778683</v>
      </c>
      <c r="S11" s="45">
        <f t="shared" ref="S11:S64" si="7">R11/Q11</f>
        <v>23304.670430107526</v>
      </c>
      <c r="T11">
        <v>1</v>
      </c>
    </row>
    <row r="12" spans="1:20" x14ac:dyDescent="0.25">
      <c r="A12" s="46">
        <v>75</v>
      </c>
      <c r="B12" s="39">
        <f t="shared" si="0"/>
        <v>30.326086956521738</v>
      </c>
      <c r="C12" s="47">
        <v>700923</v>
      </c>
      <c r="D12" s="41">
        <f t="shared" si="1"/>
        <v>23112.873118279571</v>
      </c>
      <c r="E12">
        <v>1</v>
      </c>
      <c r="F12" s="48">
        <v>3</v>
      </c>
      <c r="G12" s="43">
        <f t="shared" si="2"/>
        <v>33.41317365269461</v>
      </c>
      <c r="H12" s="49">
        <v>637399</v>
      </c>
      <c r="I12" s="45">
        <f t="shared" si="3"/>
        <v>19076.278315412186</v>
      </c>
      <c r="J12">
        <v>1</v>
      </c>
      <c r="K12" s="46">
        <v>83</v>
      </c>
      <c r="L12" s="39">
        <f t="shared" si="4"/>
        <v>30.326086956521738</v>
      </c>
      <c r="M12" s="47">
        <v>776669</v>
      </c>
      <c r="N12" s="41">
        <f t="shared" si="5"/>
        <v>25610.590681003585</v>
      </c>
      <c r="O12">
        <v>1</v>
      </c>
      <c r="P12" s="48">
        <v>32</v>
      </c>
      <c r="Q12" s="43">
        <f t="shared" si="6"/>
        <v>33.41317365269461</v>
      </c>
      <c r="R12" s="49">
        <v>742165</v>
      </c>
      <c r="S12" s="45">
        <f t="shared" si="7"/>
        <v>22211.748207885306</v>
      </c>
      <c r="T12">
        <v>1</v>
      </c>
    </row>
    <row r="13" spans="1:20" x14ac:dyDescent="0.25">
      <c r="A13" s="46">
        <v>61</v>
      </c>
      <c r="B13" s="39">
        <f t="shared" si="0"/>
        <v>30.326086956521738</v>
      </c>
      <c r="C13" s="47">
        <v>594344</v>
      </c>
      <c r="D13" s="41">
        <f t="shared" si="1"/>
        <v>19598.440143369175</v>
      </c>
      <c r="E13">
        <v>1</v>
      </c>
      <c r="F13" s="48">
        <v>89</v>
      </c>
      <c r="G13" s="43">
        <f t="shared" si="2"/>
        <v>33.41317365269461</v>
      </c>
      <c r="H13" s="49">
        <v>626952</v>
      </c>
      <c r="I13" s="45">
        <f t="shared" si="3"/>
        <v>18763.617204301077</v>
      </c>
      <c r="J13">
        <v>0</v>
      </c>
      <c r="K13" s="46">
        <v>57</v>
      </c>
      <c r="L13" s="39">
        <f t="shared" si="4"/>
        <v>30.326086956521738</v>
      </c>
      <c r="M13" s="47">
        <v>764937</v>
      </c>
      <c r="N13" s="41">
        <f t="shared" si="5"/>
        <v>25223.729032258067</v>
      </c>
      <c r="O13">
        <v>1</v>
      </c>
      <c r="P13" s="48">
        <v>86</v>
      </c>
      <c r="Q13" s="43">
        <f t="shared" si="6"/>
        <v>33.41317365269461</v>
      </c>
      <c r="R13" s="49">
        <v>708838</v>
      </c>
      <c r="S13" s="45">
        <f t="shared" si="7"/>
        <v>21214.327240143371</v>
      </c>
      <c r="T13">
        <v>1</v>
      </c>
    </row>
    <row r="14" spans="1:20" x14ac:dyDescent="0.25">
      <c r="A14" s="46">
        <v>2</v>
      </c>
      <c r="B14" s="39">
        <f t="shared" si="0"/>
        <v>30.326086956521738</v>
      </c>
      <c r="C14" s="47">
        <v>573963</v>
      </c>
      <c r="D14" s="41">
        <f t="shared" si="1"/>
        <v>18926.378494623656</v>
      </c>
      <c r="E14">
        <v>1</v>
      </c>
      <c r="F14" s="48">
        <v>74</v>
      </c>
      <c r="G14" s="43">
        <f t="shared" si="2"/>
        <v>33.41317365269461</v>
      </c>
      <c r="H14" s="49">
        <v>528188</v>
      </c>
      <c r="I14" s="45">
        <f t="shared" si="3"/>
        <v>15807.7770609319</v>
      </c>
      <c r="J14">
        <v>1</v>
      </c>
      <c r="K14" s="50">
        <v>33</v>
      </c>
      <c r="L14" s="70">
        <f t="shared" si="4"/>
        <v>30.326086956521738</v>
      </c>
      <c r="M14" s="51">
        <v>739492</v>
      </c>
      <c r="N14" s="71">
        <f t="shared" si="5"/>
        <v>24384.682437275987</v>
      </c>
      <c r="O14">
        <v>0</v>
      </c>
      <c r="P14" s="48">
        <v>44</v>
      </c>
      <c r="Q14" s="43">
        <f t="shared" si="6"/>
        <v>33.41317365269461</v>
      </c>
      <c r="R14" s="49">
        <v>644475</v>
      </c>
      <c r="S14" s="45">
        <f t="shared" si="7"/>
        <v>19288.051075268817</v>
      </c>
      <c r="T14">
        <v>1</v>
      </c>
    </row>
    <row r="15" spans="1:20" x14ac:dyDescent="0.25">
      <c r="A15" s="46">
        <v>66</v>
      </c>
      <c r="B15" s="39">
        <f t="shared" si="0"/>
        <v>30.326086956521738</v>
      </c>
      <c r="C15" s="47">
        <v>543888</v>
      </c>
      <c r="D15" s="41">
        <f t="shared" si="1"/>
        <v>17934.65806451613</v>
      </c>
      <c r="E15">
        <v>1</v>
      </c>
      <c r="F15" s="48">
        <v>7</v>
      </c>
      <c r="G15" s="43">
        <f t="shared" si="2"/>
        <v>33.41317365269461</v>
      </c>
      <c r="H15" s="49">
        <v>517706</v>
      </c>
      <c r="I15" s="45">
        <f t="shared" si="3"/>
        <v>15494.068458781363</v>
      </c>
      <c r="J15">
        <v>1</v>
      </c>
      <c r="K15" s="46">
        <v>34</v>
      </c>
      <c r="L15" s="39">
        <f t="shared" si="4"/>
        <v>30.326086956521738</v>
      </c>
      <c r="M15" s="47">
        <v>706466</v>
      </c>
      <c r="N15" s="41">
        <f t="shared" si="5"/>
        <v>23295.653046594984</v>
      </c>
      <c r="O15">
        <v>1</v>
      </c>
      <c r="P15" s="48">
        <v>43</v>
      </c>
      <c r="Q15" s="43">
        <f t="shared" si="6"/>
        <v>33.41317365269461</v>
      </c>
      <c r="R15" s="49">
        <v>600711</v>
      </c>
      <c r="S15" s="45">
        <f t="shared" si="7"/>
        <v>17978.268279569893</v>
      </c>
      <c r="T15">
        <v>1.0000000000000007</v>
      </c>
    </row>
    <row r="16" spans="1:20" x14ac:dyDescent="0.25">
      <c r="A16" s="46">
        <v>9</v>
      </c>
      <c r="B16" s="39">
        <f t="shared" si="0"/>
        <v>30.326086956521738</v>
      </c>
      <c r="C16" s="47">
        <v>458407</v>
      </c>
      <c r="D16" s="41">
        <f t="shared" si="1"/>
        <v>15115.929749103943</v>
      </c>
      <c r="E16">
        <v>1</v>
      </c>
      <c r="F16" s="48">
        <v>16</v>
      </c>
      <c r="G16" s="43">
        <f t="shared" si="2"/>
        <v>33.41317365269461</v>
      </c>
      <c r="H16" s="49">
        <v>471825</v>
      </c>
      <c r="I16" s="45">
        <f t="shared" si="3"/>
        <v>14120.927419354839</v>
      </c>
      <c r="J16">
        <v>1</v>
      </c>
      <c r="K16" s="50">
        <v>54</v>
      </c>
      <c r="L16" s="70">
        <f t="shared" si="4"/>
        <v>30.326086956521738</v>
      </c>
      <c r="M16" s="51">
        <v>704680</v>
      </c>
      <c r="N16" s="71">
        <f t="shared" si="5"/>
        <v>23236.759856630826</v>
      </c>
      <c r="O16">
        <v>0</v>
      </c>
      <c r="P16" s="48">
        <v>54</v>
      </c>
      <c r="Q16" s="43">
        <f t="shared" si="6"/>
        <v>33.41317365269461</v>
      </c>
      <c r="R16" s="49">
        <v>600526</v>
      </c>
      <c r="S16" s="45">
        <f t="shared" si="7"/>
        <v>17972.73154121864</v>
      </c>
      <c r="T16">
        <v>1</v>
      </c>
    </row>
    <row r="17" spans="1:20" x14ac:dyDescent="0.25">
      <c r="A17" s="46">
        <v>6</v>
      </c>
      <c r="B17" s="39">
        <f t="shared" si="0"/>
        <v>30.326086956521738</v>
      </c>
      <c r="C17" s="47">
        <v>413342</v>
      </c>
      <c r="D17" s="41">
        <f t="shared" si="1"/>
        <v>13629.915412186379</v>
      </c>
      <c r="E17">
        <v>1</v>
      </c>
      <c r="F17" s="50">
        <v>20</v>
      </c>
      <c r="G17" s="70">
        <f t="shared" si="2"/>
        <v>33.41317365269461</v>
      </c>
      <c r="H17" s="51">
        <v>465526</v>
      </c>
      <c r="I17" s="71">
        <f t="shared" si="3"/>
        <v>13932.408960573477</v>
      </c>
      <c r="J17">
        <v>0</v>
      </c>
      <c r="K17" s="46">
        <v>46</v>
      </c>
      <c r="L17" s="39">
        <f t="shared" si="4"/>
        <v>30.326086956521738</v>
      </c>
      <c r="M17" s="47">
        <v>647685</v>
      </c>
      <c r="N17" s="41">
        <f t="shared" si="5"/>
        <v>21357.354838709678</v>
      </c>
      <c r="O17">
        <v>1</v>
      </c>
      <c r="P17" s="48">
        <v>33</v>
      </c>
      <c r="Q17" s="43">
        <f t="shared" si="6"/>
        <v>33.41317365269461</v>
      </c>
      <c r="R17" s="49">
        <v>533105</v>
      </c>
      <c r="S17" s="45">
        <f t="shared" si="7"/>
        <v>15954.934587813621</v>
      </c>
      <c r="T17">
        <v>1</v>
      </c>
    </row>
    <row r="18" spans="1:20" x14ac:dyDescent="0.25">
      <c r="A18" s="46">
        <v>90</v>
      </c>
      <c r="B18" s="39">
        <f t="shared" si="0"/>
        <v>30.326086956521738</v>
      </c>
      <c r="C18" s="47">
        <v>390167</v>
      </c>
      <c r="D18" s="41">
        <f t="shared" si="1"/>
        <v>12865.721863799283</v>
      </c>
      <c r="E18">
        <v>1</v>
      </c>
      <c r="F18" s="48">
        <v>71</v>
      </c>
      <c r="G18" s="43">
        <f t="shared" si="2"/>
        <v>33.41317365269461</v>
      </c>
      <c r="H18" s="49">
        <v>459240</v>
      </c>
      <c r="I18" s="45">
        <f t="shared" si="3"/>
        <v>13744.279569892473</v>
      </c>
      <c r="J18">
        <v>1</v>
      </c>
      <c r="K18" s="46">
        <v>35</v>
      </c>
      <c r="L18" s="39">
        <f t="shared" si="4"/>
        <v>30.326086956521738</v>
      </c>
      <c r="M18" s="47">
        <v>520964</v>
      </c>
      <c r="N18" s="41">
        <f t="shared" si="5"/>
        <v>17178.741218637992</v>
      </c>
      <c r="O18">
        <v>1</v>
      </c>
      <c r="P18" s="48">
        <v>29</v>
      </c>
      <c r="Q18" s="43">
        <f t="shared" si="6"/>
        <v>33.41317365269461</v>
      </c>
      <c r="R18" s="49">
        <v>466819</v>
      </c>
      <c r="S18" s="45">
        <f t="shared" si="7"/>
        <v>13971.106272401434</v>
      </c>
      <c r="T18">
        <v>1</v>
      </c>
    </row>
    <row r="19" spans="1:20" x14ac:dyDescent="0.25">
      <c r="A19" s="46">
        <v>10</v>
      </c>
      <c r="B19" s="39">
        <f t="shared" si="0"/>
        <v>30.326086956521738</v>
      </c>
      <c r="C19" s="47">
        <v>374487</v>
      </c>
      <c r="D19" s="41">
        <f t="shared" si="1"/>
        <v>12348.675268817206</v>
      </c>
      <c r="E19">
        <v>1</v>
      </c>
      <c r="F19" s="52">
        <v>73</v>
      </c>
      <c r="G19" s="72">
        <f t="shared" si="2"/>
        <v>33.41317365269461</v>
      </c>
      <c r="H19" s="53">
        <v>435675</v>
      </c>
      <c r="I19" s="73">
        <f t="shared" si="3"/>
        <v>13039.018817204302</v>
      </c>
      <c r="J19">
        <v>0.66666666666666607</v>
      </c>
      <c r="K19" s="46">
        <v>28</v>
      </c>
      <c r="L19" s="39">
        <f t="shared" si="4"/>
        <v>30.326086956521738</v>
      </c>
      <c r="M19" s="47">
        <v>485282</v>
      </c>
      <c r="N19" s="41">
        <f t="shared" si="5"/>
        <v>16002.130465949822</v>
      </c>
      <c r="O19">
        <v>1</v>
      </c>
      <c r="P19" s="48">
        <v>39</v>
      </c>
      <c r="Q19" s="43">
        <f t="shared" si="6"/>
        <v>33.41317365269461</v>
      </c>
      <c r="R19" s="49">
        <v>443533</v>
      </c>
      <c r="S19" s="45">
        <f t="shared" si="7"/>
        <v>13274.195519713261</v>
      </c>
      <c r="T19">
        <v>1</v>
      </c>
    </row>
    <row r="20" spans="1:20" x14ac:dyDescent="0.25">
      <c r="A20" s="46">
        <v>72</v>
      </c>
      <c r="B20" s="39">
        <f t="shared" si="0"/>
        <v>30.326086956521738</v>
      </c>
      <c r="C20" s="47">
        <v>339217</v>
      </c>
      <c r="D20" s="41">
        <f t="shared" si="1"/>
        <v>11185.65017921147</v>
      </c>
      <c r="E20">
        <v>1</v>
      </c>
      <c r="F20" s="50">
        <v>4</v>
      </c>
      <c r="G20" s="70">
        <f t="shared" si="2"/>
        <v>33.41317365269461</v>
      </c>
      <c r="H20" s="51">
        <v>435251</v>
      </c>
      <c r="I20" s="71">
        <f t="shared" si="3"/>
        <v>13026.329211469534</v>
      </c>
      <c r="J20">
        <v>0</v>
      </c>
      <c r="K20" s="46">
        <v>25</v>
      </c>
      <c r="L20" s="39">
        <f t="shared" si="4"/>
        <v>30.326086956521738</v>
      </c>
      <c r="M20" s="47">
        <v>428682</v>
      </c>
      <c r="N20" s="41">
        <f t="shared" si="5"/>
        <v>14135.750537634409</v>
      </c>
      <c r="O20">
        <v>1</v>
      </c>
      <c r="P20" s="48">
        <v>85</v>
      </c>
      <c r="Q20" s="43">
        <f t="shared" si="6"/>
        <v>33.41317365269461</v>
      </c>
      <c r="R20" s="49">
        <v>400656</v>
      </c>
      <c r="S20" s="45">
        <f t="shared" si="7"/>
        <v>11990.959139784947</v>
      </c>
      <c r="T20">
        <v>1</v>
      </c>
    </row>
    <row r="21" spans="1:20" x14ac:dyDescent="0.25">
      <c r="A21" s="46">
        <v>63</v>
      </c>
      <c r="B21" s="39">
        <f t="shared" si="0"/>
        <v>30.326086956521738</v>
      </c>
      <c r="C21" s="47">
        <v>148379</v>
      </c>
      <c r="D21" s="41">
        <f t="shared" si="1"/>
        <v>4892.7842293906815</v>
      </c>
      <c r="E21">
        <v>1</v>
      </c>
      <c r="F21" s="58">
        <v>58</v>
      </c>
      <c r="G21" s="68">
        <f t="shared" si="2"/>
        <v>33.41317365269461</v>
      </c>
      <c r="H21" s="54">
        <v>425212</v>
      </c>
      <c r="I21" s="69">
        <f t="shared" si="3"/>
        <v>12725.878853046595</v>
      </c>
      <c r="K21" s="46">
        <v>53</v>
      </c>
      <c r="L21" s="39">
        <f t="shared" si="4"/>
        <v>30.326086956521738</v>
      </c>
      <c r="M21" s="47">
        <v>427876</v>
      </c>
      <c r="N21" s="41">
        <f t="shared" si="5"/>
        <v>14109.17275985663</v>
      </c>
      <c r="O21">
        <v>1</v>
      </c>
      <c r="P21" s="48">
        <v>51</v>
      </c>
      <c r="Q21" s="43">
        <f t="shared" si="6"/>
        <v>33.41317365269461</v>
      </c>
      <c r="R21" s="49">
        <v>295735</v>
      </c>
      <c r="S21" s="45">
        <f t="shared" si="7"/>
        <v>8850.8503584229402</v>
      </c>
      <c r="T21">
        <v>1</v>
      </c>
    </row>
    <row r="22" spans="1:20" x14ac:dyDescent="0.25">
      <c r="A22" s="46">
        <v>5</v>
      </c>
      <c r="B22" s="39">
        <f t="shared" si="0"/>
        <v>30.326086956521738</v>
      </c>
      <c r="C22" s="47">
        <v>135603</v>
      </c>
      <c r="D22" s="41">
        <f t="shared" si="1"/>
        <v>4471.4967741935488</v>
      </c>
      <c r="E22">
        <v>1</v>
      </c>
      <c r="F22" s="58">
        <v>69</v>
      </c>
      <c r="G22" s="68">
        <f t="shared" si="2"/>
        <v>33.41317365269461</v>
      </c>
      <c r="H22" s="54">
        <v>301059</v>
      </c>
      <c r="I22" s="69">
        <f t="shared" si="3"/>
        <v>9010.188709677419</v>
      </c>
      <c r="K22" s="46">
        <v>30</v>
      </c>
      <c r="L22" s="39">
        <f t="shared" si="4"/>
        <v>30.326086956521738</v>
      </c>
      <c r="M22" s="47">
        <v>412457</v>
      </c>
      <c r="N22" s="41">
        <f t="shared" si="5"/>
        <v>13600.732616487456</v>
      </c>
      <c r="O22">
        <v>1</v>
      </c>
      <c r="P22" s="48">
        <v>84</v>
      </c>
      <c r="Q22" s="43">
        <f t="shared" si="6"/>
        <v>33.41317365269461</v>
      </c>
      <c r="R22" s="49">
        <v>277116</v>
      </c>
      <c r="S22" s="45">
        <f t="shared" si="7"/>
        <v>8293.6150537634403</v>
      </c>
      <c r="T22">
        <v>1</v>
      </c>
    </row>
    <row r="23" spans="1:20" x14ac:dyDescent="0.25">
      <c r="A23" s="50">
        <v>89</v>
      </c>
      <c r="B23" s="70">
        <f t="shared" si="0"/>
        <v>30.326086956521738</v>
      </c>
      <c r="C23" s="51">
        <v>43767</v>
      </c>
      <c r="D23" s="71">
        <f t="shared" si="1"/>
        <v>1443.2129032258065</v>
      </c>
      <c r="E23">
        <v>1</v>
      </c>
      <c r="F23" s="58">
        <v>91</v>
      </c>
      <c r="G23" s="68">
        <f t="shared" si="2"/>
        <v>33.41317365269461</v>
      </c>
      <c r="H23" s="54">
        <v>248437</v>
      </c>
      <c r="I23" s="69">
        <f t="shared" si="3"/>
        <v>7435.3008960573479</v>
      </c>
      <c r="K23" s="46">
        <v>45</v>
      </c>
      <c r="L23" s="39">
        <f t="shared" si="4"/>
        <v>30.326086956521738</v>
      </c>
      <c r="M23" s="47">
        <v>411553</v>
      </c>
      <c r="N23" s="41">
        <f t="shared" si="5"/>
        <v>13570.923297491039</v>
      </c>
      <c r="O23">
        <v>1</v>
      </c>
      <c r="P23" s="48">
        <v>100</v>
      </c>
      <c r="Q23" s="43">
        <f t="shared" si="6"/>
        <v>33.41317365269461</v>
      </c>
      <c r="R23" s="49">
        <v>196154</v>
      </c>
      <c r="S23" s="45">
        <f t="shared" si="7"/>
        <v>5870.5587813620077</v>
      </c>
      <c r="T23">
        <v>1</v>
      </c>
    </row>
    <row r="24" spans="1:20" x14ac:dyDescent="0.25">
      <c r="A24" s="46">
        <v>8</v>
      </c>
      <c r="B24" s="39">
        <f t="shared" si="0"/>
        <v>30.326086956521738</v>
      </c>
      <c r="C24" s="47">
        <v>-31569</v>
      </c>
      <c r="D24" s="41">
        <f t="shared" si="1"/>
        <v>-1040.9849462365592</v>
      </c>
      <c r="E24">
        <v>1</v>
      </c>
      <c r="F24" s="50">
        <v>75</v>
      </c>
      <c r="G24" s="70">
        <f t="shared" si="2"/>
        <v>33.41317365269461</v>
      </c>
      <c r="H24" s="51">
        <v>241104</v>
      </c>
      <c r="I24" s="71">
        <f t="shared" si="3"/>
        <v>7215.8365591397851</v>
      </c>
      <c r="J24">
        <v>0</v>
      </c>
      <c r="K24" s="50">
        <v>43</v>
      </c>
      <c r="L24" s="70">
        <f t="shared" si="4"/>
        <v>30.326086956521738</v>
      </c>
      <c r="M24" s="51">
        <v>287718</v>
      </c>
      <c r="N24" s="71">
        <f t="shared" si="5"/>
        <v>9487.4752688172048</v>
      </c>
      <c r="O24">
        <v>0</v>
      </c>
      <c r="P24" s="48">
        <v>56</v>
      </c>
      <c r="Q24" s="43">
        <f t="shared" si="6"/>
        <v>33.41317365269461</v>
      </c>
      <c r="R24" s="49">
        <v>175558</v>
      </c>
      <c r="S24" s="45">
        <f t="shared" si="7"/>
        <v>5254.1551971326162</v>
      </c>
      <c r="T24">
        <v>1</v>
      </c>
    </row>
    <row r="25" spans="1:20" x14ac:dyDescent="0.25">
      <c r="A25" s="46">
        <v>62</v>
      </c>
      <c r="B25" s="39">
        <f t="shared" si="0"/>
        <v>30.326086956521738</v>
      </c>
      <c r="C25" s="47">
        <v>-50310</v>
      </c>
      <c r="D25" s="41">
        <f t="shared" si="1"/>
        <v>-1658.9677419354839</v>
      </c>
      <c r="E25">
        <v>1</v>
      </c>
      <c r="F25" s="58">
        <v>21</v>
      </c>
      <c r="G25" s="68">
        <f t="shared" si="2"/>
        <v>33.41317365269461</v>
      </c>
      <c r="H25" s="54">
        <v>182068</v>
      </c>
      <c r="I25" s="69">
        <f t="shared" si="3"/>
        <v>5448.9885304659501</v>
      </c>
      <c r="K25" s="46">
        <v>47</v>
      </c>
      <c r="L25" s="39">
        <f t="shared" si="4"/>
        <v>30.326086956521738</v>
      </c>
      <c r="M25" s="47">
        <v>244892</v>
      </c>
      <c r="N25" s="41">
        <f t="shared" si="5"/>
        <v>8075.2917562724015</v>
      </c>
      <c r="O25">
        <v>1</v>
      </c>
      <c r="P25" s="48">
        <v>24</v>
      </c>
      <c r="Q25" s="43">
        <f t="shared" si="6"/>
        <v>33.41317365269461</v>
      </c>
      <c r="R25" s="49">
        <v>71007</v>
      </c>
      <c r="S25" s="45">
        <f t="shared" si="7"/>
        <v>2125.1198924731184</v>
      </c>
      <c r="T25">
        <v>1</v>
      </c>
    </row>
    <row r="26" spans="1:20" x14ac:dyDescent="0.25">
      <c r="A26" s="46">
        <v>20</v>
      </c>
      <c r="B26" s="39">
        <f t="shared" si="0"/>
        <v>30.326086956521738</v>
      </c>
      <c r="C26" s="47">
        <v>-55320</v>
      </c>
      <c r="D26" s="41">
        <f t="shared" si="1"/>
        <v>-1824.1720430107528</v>
      </c>
      <c r="E26">
        <v>1</v>
      </c>
      <c r="F26" s="50">
        <v>59</v>
      </c>
      <c r="G26" s="70">
        <f t="shared" si="2"/>
        <v>33.41317365269461</v>
      </c>
      <c r="H26" s="51">
        <v>167225</v>
      </c>
      <c r="I26" s="71">
        <f t="shared" si="3"/>
        <v>5004.7625448028675</v>
      </c>
      <c r="J26">
        <v>0</v>
      </c>
      <c r="K26" s="58">
        <v>27</v>
      </c>
      <c r="L26" s="68">
        <f t="shared" si="4"/>
        <v>30.326086956521738</v>
      </c>
      <c r="M26" s="54">
        <v>217246</v>
      </c>
      <c r="N26" s="69">
        <f t="shared" si="5"/>
        <v>7163.6673835125448</v>
      </c>
      <c r="P26" s="48">
        <v>94</v>
      </c>
      <c r="Q26" s="43">
        <f t="shared" si="6"/>
        <v>33.41317365269461</v>
      </c>
      <c r="R26" s="49">
        <v>48569</v>
      </c>
      <c r="S26" s="45">
        <f t="shared" si="7"/>
        <v>1453.5883512544804</v>
      </c>
      <c r="T26">
        <v>1</v>
      </c>
    </row>
    <row r="27" spans="1:20" x14ac:dyDescent="0.25">
      <c r="A27" s="46">
        <v>14</v>
      </c>
      <c r="B27" s="39">
        <f t="shared" si="0"/>
        <v>30.326086956521738</v>
      </c>
      <c r="C27" s="47">
        <v>-99929</v>
      </c>
      <c r="D27" s="41">
        <f t="shared" si="1"/>
        <v>-3295.1498207885306</v>
      </c>
      <c r="E27">
        <v>1</v>
      </c>
      <c r="F27" s="50">
        <v>63</v>
      </c>
      <c r="G27" s="70">
        <f t="shared" si="2"/>
        <v>33.41317365269461</v>
      </c>
      <c r="H27" s="51">
        <v>-59023</v>
      </c>
      <c r="I27" s="71">
        <f t="shared" si="3"/>
        <v>-1766.4589605734768</v>
      </c>
      <c r="J27">
        <v>0</v>
      </c>
      <c r="K27" s="50">
        <v>98</v>
      </c>
      <c r="L27" s="70">
        <f t="shared" si="4"/>
        <v>30.326086956521738</v>
      </c>
      <c r="M27" s="51">
        <v>186371</v>
      </c>
      <c r="N27" s="71">
        <f t="shared" si="5"/>
        <v>6145.5670250896055</v>
      </c>
      <c r="O27">
        <v>0</v>
      </c>
      <c r="P27" s="48">
        <v>98</v>
      </c>
      <c r="Q27" s="43">
        <f t="shared" si="6"/>
        <v>33.41317365269461</v>
      </c>
      <c r="R27" s="49">
        <v>42432</v>
      </c>
      <c r="S27" s="45">
        <f t="shared" si="7"/>
        <v>1269.9182795698925</v>
      </c>
      <c r="T27">
        <v>1</v>
      </c>
    </row>
    <row r="28" spans="1:20" x14ac:dyDescent="0.25">
      <c r="A28" s="46">
        <v>59</v>
      </c>
      <c r="B28" s="39">
        <f t="shared" si="0"/>
        <v>30.326086956521738</v>
      </c>
      <c r="C28" s="47">
        <v>-120499</v>
      </c>
      <c r="D28" s="41">
        <f t="shared" si="1"/>
        <v>-3973.4437275985665</v>
      </c>
      <c r="E28">
        <v>1</v>
      </c>
      <c r="F28" s="58">
        <v>70</v>
      </c>
      <c r="G28" s="68">
        <f t="shared" si="2"/>
        <v>33.41317365269461</v>
      </c>
      <c r="H28" s="54">
        <v>-82956</v>
      </c>
      <c r="I28" s="69">
        <f t="shared" si="3"/>
        <v>-2482.7333333333336</v>
      </c>
      <c r="K28" s="58">
        <v>82</v>
      </c>
      <c r="L28" s="68">
        <f t="shared" si="4"/>
        <v>30.326086956521738</v>
      </c>
      <c r="M28" s="54">
        <v>157735</v>
      </c>
      <c r="N28" s="69">
        <f t="shared" si="5"/>
        <v>5201.2974910394269</v>
      </c>
      <c r="P28" s="48">
        <v>79</v>
      </c>
      <c r="Q28" s="43">
        <f t="shared" si="6"/>
        <v>33.41317365269461</v>
      </c>
      <c r="R28" s="49">
        <v>-17472</v>
      </c>
      <c r="S28" s="45">
        <f t="shared" si="7"/>
        <v>-522.9075268817204</v>
      </c>
      <c r="T28">
        <v>1</v>
      </c>
    </row>
    <row r="29" spans="1:20" x14ac:dyDescent="0.25">
      <c r="A29" s="52">
        <v>11</v>
      </c>
      <c r="B29" s="72">
        <f t="shared" si="0"/>
        <v>30.326086956521738</v>
      </c>
      <c r="C29" s="53">
        <v>-150180</v>
      </c>
      <c r="D29" s="73">
        <f t="shared" si="1"/>
        <v>-4952.1720430107525</v>
      </c>
      <c r="E29">
        <v>0.49999999999999911</v>
      </c>
      <c r="F29" s="58">
        <v>64</v>
      </c>
      <c r="G29" s="68">
        <f t="shared" si="2"/>
        <v>33.41317365269461</v>
      </c>
      <c r="H29" s="54">
        <v>-163863</v>
      </c>
      <c r="I29" s="69">
        <f t="shared" si="3"/>
        <v>-4904.1435483870973</v>
      </c>
      <c r="K29" s="50">
        <v>39</v>
      </c>
      <c r="L29" s="70">
        <f t="shared" si="4"/>
        <v>30.326086956521738</v>
      </c>
      <c r="M29" s="51">
        <v>75371</v>
      </c>
      <c r="N29" s="71">
        <f t="shared" si="5"/>
        <v>2485.3519713261649</v>
      </c>
      <c r="O29">
        <v>0</v>
      </c>
      <c r="P29" s="50">
        <v>30</v>
      </c>
      <c r="Q29" s="70">
        <f t="shared" si="6"/>
        <v>33.41317365269461</v>
      </c>
      <c r="R29" s="51">
        <v>-18899</v>
      </c>
      <c r="S29" s="71">
        <f t="shared" si="7"/>
        <v>-565.61523297491044</v>
      </c>
      <c r="T29">
        <v>0</v>
      </c>
    </row>
    <row r="30" spans="1:20" x14ac:dyDescent="0.25">
      <c r="A30" s="58">
        <v>19</v>
      </c>
      <c r="B30" s="68">
        <f t="shared" si="0"/>
        <v>30.326086956521738</v>
      </c>
      <c r="C30" s="54">
        <v>-212225</v>
      </c>
      <c r="D30" s="69">
        <f t="shared" si="1"/>
        <v>-6998.1003584229393</v>
      </c>
      <c r="F30" s="50">
        <v>8</v>
      </c>
      <c r="G30" s="70">
        <f t="shared" si="2"/>
        <v>33.41317365269461</v>
      </c>
      <c r="H30" s="51">
        <v>-187009</v>
      </c>
      <c r="I30" s="71">
        <f t="shared" si="3"/>
        <v>-5596.8643369175625</v>
      </c>
      <c r="J30">
        <v>0</v>
      </c>
      <c r="K30" s="50">
        <v>79</v>
      </c>
      <c r="L30" s="70">
        <f t="shared" si="4"/>
        <v>30.326086956521738</v>
      </c>
      <c r="M30" s="51">
        <v>42924</v>
      </c>
      <c r="N30" s="71">
        <f t="shared" si="5"/>
        <v>1415.4150537634409</v>
      </c>
      <c r="O30">
        <v>0</v>
      </c>
      <c r="P30" s="50">
        <v>99</v>
      </c>
      <c r="Q30" s="70">
        <f t="shared" si="6"/>
        <v>33.41317365269461</v>
      </c>
      <c r="R30" s="51">
        <v>-53380</v>
      </c>
      <c r="S30" s="71">
        <f t="shared" si="7"/>
        <v>-1597.573476702509</v>
      </c>
    </row>
    <row r="31" spans="1:20" x14ac:dyDescent="0.25">
      <c r="A31" s="50">
        <v>7</v>
      </c>
      <c r="B31" s="70">
        <f t="shared" si="0"/>
        <v>30.326086956521738</v>
      </c>
      <c r="C31" s="51">
        <v>-425925</v>
      </c>
      <c r="D31" s="71">
        <f t="shared" si="1"/>
        <v>-14044.83870967742</v>
      </c>
      <c r="E31">
        <v>0</v>
      </c>
      <c r="F31" s="50">
        <v>61</v>
      </c>
      <c r="G31" s="70">
        <f t="shared" si="2"/>
        <v>33.41317365269461</v>
      </c>
      <c r="H31" s="51">
        <v>-223907</v>
      </c>
      <c r="I31" s="71">
        <f t="shared" si="3"/>
        <v>-6701.159318996416</v>
      </c>
      <c r="J31">
        <v>0</v>
      </c>
      <c r="K31" s="58">
        <v>49</v>
      </c>
      <c r="L31" s="68">
        <f t="shared" si="4"/>
        <v>30.326086956521738</v>
      </c>
      <c r="M31" s="54">
        <v>-35135</v>
      </c>
      <c r="N31" s="69">
        <f t="shared" si="5"/>
        <v>-1158.573476702509</v>
      </c>
      <c r="P31" s="48">
        <v>76</v>
      </c>
      <c r="Q31" s="43">
        <f t="shared" si="6"/>
        <v>33.41317365269461</v>
      </c>
      <c r="R31" s="49">
        <v>-134133</v>
      </c>
      <c r="S31" s="45">
        <f t="shared" si="7"/>
        <v>-4014.3747311827956</v>
      </c>
      <c r="T31">
        <v>1</v>
      </c>
    </row>
    <row r="32" spans="1:20" x14ac:dyDescent="0.25">
      <c r="A32" s="58">
        <v>88</v>
      </c>
      <c r="B32" s="68">
        <f t="shared" si="0"/>
        <v>30.326086956521738</v>
      </c>
      <c r="C32" s="54">
        <v>-426293</v>
      </c>
      <c r="D32" s="69">
        <f t="shared" si="1"/>
        <v>-14056.973476702509</v>
      </c>
      <c r="F32" s="58">
        <v>92</v>
      </c>
      <c r="G32" s="68">
        <f t="shared" si="2"/>
        <v>33.41317365269461</v>
      </c>
      <c r="H32" s="54">
        <v>-299484</v>
      </c>
      <c r="I32" s="69">
        <f t="shared" si="3"/>
        <v>-8963.0516129032258</v>
      </c>
      <c r="K32" s="50">
        <v>86</v>
      </c>
      <c r="L32" s="70">
        <f t="shared" si="4"/>
        <v>30.326086956521738</v>
      </c>
      <c r="M32" s="51">
        <v>-36114</v>
      </c>
      <c r="N32" s="71">
        <f t="shared" si="5"/>
        <v>-1190.8559139784948</v>
      </c>
      <c r="O32">
        <v>0</v>
      </c>
      <c r="P32" s="58">
        <v>27</v>
      </c>
      <c r="Q32" s="68">
        <f t="shared" si="6"/>
        <v>33.41317365269461</v>
      </c>
      <c r="R32" s="54">
        <v>-237585</v>
      </c>
      <c r="S32" s="69">
        <f t="shared" si="7"/>
        <v>-7110.5188172043008</v>
      </c>
    </row>
    <row r="33" spans="1:20" x14ac:dyDescent="0.25">
      <c r="A33" s="50">
        <v>1</v>
      </c>
      <c r="B33" s="70">
        <f t="shared" si="0"/>
        <v>30.326086956521738</v>
      </c>
      <c r="C33" s="51">
        <v>-436549</v>
      </c>
      <c r="D33" s="71">
        <f t="shared" si="1"/>
        <v>-14395.164157706093</v>
      </c>
      <c r="E33">
        <v>0</v>
      </c>
      <c r="F33" s="58">
        <v>93</v>
      </c>
      <c r="G33" s="68">
        <f t="shared" si="2"/>
        <v>33.41317365269461</v>
      </c>
      <c r="H33" s="54">
        <v>-392062</v>
      </c>
      <c r="I33" s="69">
        <f t="shared" si="3"/>
        <v>-11733.755197132617</v>
      </c>
      <c r="K33" s="50">
        <v>95</v>
      </c>
      <c r="L33" s="70">
        <f t="shared" si="4"/>
        <v>30.326086956521738</v>
      </c>
      <c r="M33" s="51">
        <v>-117870</v>
      </c>
      <c r="N33" s="71">
        <f t="shared" si="5"/>
        <v>-3886.7526881720432</v>
      </c>
      <c r="O33">
        <v>0</v>
      </c>
      <c r="P33" s="58">
        <v>49</v>
      </c>
      <c r="Q33" s="68">
        <f t="shared" si="6"/>
        <v>33.41317365269461</v>
      </c>
      <c r="R33" s="54">
        <v>-320509</v>
      </c>
      <c r="S33" s="69">
        <f t="shared" si="7"/>
        <v>-9592.2944444444438</v>
      </c>
    </row>
    <row r="34" spans="1:20" x14ac:dyDescent="0.25">
      <c r="A34" s="50">
        <v>16</v>
      </c>
      <c r="B34" s="70">
        <f t="shared" si="0"/>
        <v>30.326086956521738</v>
      </c>
      <c r="C34" s="51">
        <v>-516654</v>
      </c>
      <c r="D34" s="71">
        <f t="shared" si="1"/>
        <v>-17036.619354838709</v>
      </c>
      <c r="E34">
        <v>0</v>
      </c>
      <c r="F34" s="58">
        <v>17</v>
      </c>
      <c r="G34" s="68">
        <f t="shared" si="2"/>
        <v>33.41317365269461</v>
      </c>
      <c r="H34" s="54">
        <v>-421127</v>
      </c>
      <c r="I34" s="69">
        <f t="shared" si="3"/>
        <v>-12603.621684587813</v>
      </c>
      <c r="K34" s="58">
        <v>42</v>
      </c>
      <c r="L34" s="68">
        <f t="shared" si="4"/>
        <v>30.326086956521738</v>
      </c>
      <c r="M34" s="54">
        <v>-137859</v>
      </c>
      <c r="N34" s="69">
        <f t="shared" si="5"/>
        <v>-4545.8881720430109</v>
      </c>
      <c r="P34" s="50">
        <v>47</v>
      </c>
      <c r="Q34" s="70">
        <f t="shared" si="6"/>
        <v>33.41317365269461</v>
      </c>
      <c r="R34" s="51">
        <v>-338573</v>
      </c>
      <c r="S34" s="71">
        <f t="shared" si="7"/>
        <v>-10132.919534050179</v>
      </c>
      <c r="T34">
        <v>0</v>
      </c>
    </row>
    <row r="35" spans="1:20" x14ac:dyDescent="0.25">
      <c r="A35" s="52">
        <v>73</v>
      </c>
      <c r="B35" s="72">
        <f t="shared" si="0"/>
        <v>30.326086956521738</v>
      </c>
      <c r="C35" s="53">
        <v>-526062</v>
      </c>
      <c r="D35" s="73">
        <f t="shared" si="1"/>
        <v>-17346.847311827958</v>
      </c>
      <c r="F35" s="50">
        <v>5</v>
      </c>
      <c r="G35" s="70">
        <f t="shared" si="2"/>
        <v>33.41317365269461</v>
      </c>
      <c r="H35" s="51">
        <v>-473972</v>
      </c>
      <c r="I35" s="71">
        <f t="shared" si="3"/>
        <v>-14185.183512544803</v>
      </c>
      <c r="J35">
        <v>0</v>
      </c>
      <c r="K35" s="58">
        <v>50</v>
      </c>
      <c r="L35" s="68">
        <f t="shared" si="4"/>
        <v>30.326086956521738</v>
      </c>
      <c r="M35" s="54">
        <v>-141217</v>
      </c>
      <c r="N35" s="69">
        <f t="shared" si="5"/>
        <v>-4656.6179211469534</v>
      </c>
      <c r="P35" s="50">
        <v>34</v>
      </c>
      <c r="Q35" s="70">
        <f t="shared" si="6"/>
        <v>33.41317365269461</v>
      </c>
      <c r="R35" s="51">
        <v>-343537</v>
      </c>
      <c r="S35" s="71">
        <f t="shared" si="7"/>
        <v>-10281.483691756273</v>
      </c>
    </row>
    <row r="36" spans="1:20" x14ac:dyDescent="0.25">
      <c r="A36" s="58">
        <v>69</v>
      </c>
      <c r="B36" s="68">
        <f t="shared" si="0"/>
        <v>30.326086956521738</v>
      </c>
      <c r="C36" s="54">
        <v>-582190</v>
      </c>
      <c r="D36" s="69">
        <f t="shared" si="1"/>
        <v>-19197.663082437277</v>
      </c>
      <c r="F36" s="58">
        <v>67</v>
      </c>
      <c r="G36" s="68">
        <f t="shared" si="2"/>
        <v>33.41317365269461</v>
      </c>
      <c r="H36" s="54">
        <v>-479440</v>
      </c>
      <c r="I36" s="69">
        <f t="shared" si="3"/>
        <v>-14348.831541218638</v>
      </c>
      <c r="K36" s="50">
        <v>24</v>
      </c>
      <c r="L36" s="70">
        <f t="shared" si="4"/>
        <v>30.326086956521738</v>
      </c>
      <c r="M36" s="51">
        <v>-265494</v>
      </c>
      <c r="N36" s="71">
        <f t="shared" si="5"/>
        <v>-8754.6408602150532</v>
      </c>
      <c r="O36">
        <v>0</v>
      </c>
      <c r="P36" s="58">
        <v>26</v>
      </c>
      <c r="Q36" s="68">
        <f t="shared" si="6"/>
        <v>33.41317365269461</v>
      </c>
      <c r="R36" s="54">
        <v>-410208</v>
      </c>
      <c r="S36" s="69">
        <f t="shared" si="7"/>
        <v>-12276.834408602152</v>
      </c>
    </row>
    <row r="37" spans="1:20" x14ac:dyDescent="0.25">
      <c r="A37" s="58">
        <v>17</v>
      </c>
      <c r="B37" s="68">
        <f t="shared" si="0"/>
        <v>30.326086956521738</v>
      </c>
      <c r="C37" s="54">
        <v>-710390</v>
      </c>
      <c r="D37" s="69">
        <f t="shared" si="1"/>
        <v>-23425.046594982079</v>
      </c>
      <c r="F37" s="58">
        <v>65</v>
      </c>
      <c r="G37" s="68">
        <f t="shared" si="2"/>
        <v>33.41317365269461</v>
      </c>
      <c r="H37" s="54">
        <v>-681880</v>
      </c>
      <c r="I37" s="69">
        <f t="shared" si="3"/>
        <v>-20407.519713261649</v>
      </c>
      <c r="K37" s="50">
        <v>44</v>
      </c>
      <c r="L37" s="70">
        <f t="shared" si="4"/>
        <v>30.326086956521738</v>
      </c>
      <c r="M37" s="51">
        <v>-279807</v>
      </c>
      <c r="N37" s="71">
        <f t="shared" si="5"/>
        <v>-9226.6107526881715</v>
      </c>
      <c r="O37">
        <v>0</v>
      </c>
      <c r="P37" s="58">
        <v>55</v>
      </c>
      <c r="Q37" s="68">
        <f t="shared" si="6"/>
        <v>33.41317365269461</v>
      </c>
      <c r="R37" s="54">
        <v>-412943</v>
      </c>
      <c r="S37" s="69">
        <f t="shared" si="7"/>
        <v>-12358.688351254481</v>
      </c>
    </row>
    <row r="38" spans="1:20" x14ac:dyDescent="0.25">
      <c r="A38" s="58">
        <v>12</v>
      </c>
      <c r="B38" s="68">
        <f t="shared" si="0"/>
        <v>30.326086956521738</v>
      </c>
      <c r="C38" s="54">
        <v>-753136</v>
      </c>
      <c r="D38" s="69">
        <f t="shared" si="1"/>
        <v>-24834.592114695341</v>
      </c>
      <c r="F38" s="50">
        <v>15</v>
      </c>
      <c r="G38" s="70">
        <f t="shared" si="2"/>
        <v>33.41317365269461</v>
      </c>
      <c r="H38" s="51">
        <v>-737370</v>
      </c>
      <c r="I38" s="71">
        <f t="shared" si="3"/>
        <v>-22068.241935483871</v>
      </c>
      <c r="J38">
        <v>0</v>
      </c>
      <c r="K38" s="58">
        <v>78</v>
      </c>
      <c r="L38" s="68">
        <f t="shared" si="4"/>
        <v>30.326086956521738</v>
      </c>
      <c r="M38" s="54">
        <v>-450754</v>
      </c>
      <c r="N38" s="69">
        <f t="shared" si="5"/>
        <v>-14863.572759856632</v>
      </c>
      <c r="P38" s="50">
        <v>22</v>
      </c>
      <c r="Q38" s="70">
        <f t="shared" si="6"/>
        <v>33.41317365269461</v>
      </c>
      <c r="R38" s="51">
        <v>-443480</v>
      </c>
      <c r="S38" s="71">
        <f t="shared" si="7"/>
        <v>-13272.609318996416</v>
      </c>
    </row>
    <row r="39" spans="1:20" x14ac:dyDescent="0.25">
      <c r="A39" s="58">
        <v>58</v>
      </c>
      <c r="B39" s="68">
        <f t="shared" si="0"/>
        <v>30.326086956521738</v>
      </c>
      <c r="C39" s="54">
        <v>-793953</v>
      </c>
      <c r="D39" s="69">
        <f t="shared" si="1"/>
        <v>-26180.529032258066</v>
      </c>
      <c r="F39" s="50">
        <v>6</v>
      </c>
      <c r="G39" s="70">
        <f t="shared" si="2"/>
        <v>33.41317365269461</v>
      </c>
      <c r="H39" s="51">
        <v>-760719</v>
      </c>
      <c r="I39" s="71">
        <f t="shared" si="3"/>
        <v>-22767.038172043012</v>
      </c>
      <c r="J39">
        <v>0</v>
      </c>
      <c r="K39" s="58">
        <v>81</v>
      </c>
      <c r="L39" s="68">
        <f t="shared" si="4"/>
        <v>30.326086956521738</v>
      </c>
      <c r="M39" s="54">
        <v>-460974</v>
      </c>
      <c r="N39" s="69">
        <f t="shared" si="5"/>
        <v>-15200.576344086023</v>
      </c>
      <c r="P39" s="58">
        <v>97</v>
      </c>
      <c r="Q39" s="68">
        <f t="shared" si="6"/>
        <v>33.41317365269461</v>
      </c>
      <c r="R39" s="54">
        <v>-474669</v>
      </c>
      <c r="S39" s="69">
        <f t="shared" si="7"/>
        <v>-14206.043548387097</v>
      </c>
    </row>
    <row r="40" spans="1:20" x14ac:dyDescent="0.25">
      <c r="A40" s="58">
        <v>68</v>
      </c>
      <c r="B40" s="68">
        <f t="shared" si="0"/>
        <v>30.326086956521738</v>
      </c>
      <c r="C40" s="54">
        <v>-803861</v>
      </c>
      <c r="D40" s="69">
        <f t="shared" si="1"/>
        <v>-26507.244444444445</v>
      </c>
      <c r="F40" s="58">
        <v>18</v>
      </c>
      <c r="G40" s="68">
        <f t="shared" si="2"/>
        <v>33.41317365269461</v>
      </c>
      <c r="H40" s="54">
        <v>-824942</v>
      </c>
      <c r="I40" s="69">
        <f t="shared" si="3"/>
        <v>-24689.124372759856</v>
      </c>
      <c r="K40" s="58">
        <v>48</v>
      </c>
      <c r="L40" s="68">
        <f t="shared" si="4"/>
        <v>30.326086956521738</v>
      </c>
      <c r="M40" s="54">
        <v>-522318</v>
      </c>
      <c r="N40" s="69">
        <f t="shared" si="5"/>
        <v>-17223.389247311829</v>
      </c>
      <c r="P40" s="50">
        <v>57</v>
      </c>
      <c r="Q40" s="70">
        <f t="shared" si="6"/>
        <v>33.41317365269461</v>
      </c>
      <c r="R40" s="51">
        <v>-519769</v>
      </c>
      <c r="S40" s="71">
        <f t="shared" si="7"/>
        <v>-15555.810573476703</v>
      </c>
    </row>
    <row r="41" spans="1:20" x14ac:dyDescent="0.25">
      <c r="A41" s="58">
        <v>60</v>
      </c>
      <c r="B41" s="68">
        <f t="shared" si="0"/>
        <v>30.326086956521738</v>
      </c>
      <c r="C41" s="54">
        <v>-850901</v>
      </c>
      <c r="D41" s="69">
        <f t="shared" si="1"/>
        <v>-28058.384229390682</v>
      </c>
      <c r="F41" s="52">
        <v>11</v>
      </c>
      <c r="G41" s="72">
        <f t="shared" si="2"/>
        <v>33.41317365269461</v>
      </c>
      <c r="H41" s="53">
        <v>-906527</v>
      </c>
      <c r="I41" s="73">
        <f t="shared" si="3"/>
        <v>-27130.825985663083</v>
      </c>
      <c r="K41" s="58">
        <v>87</v>
      </c>
      <c r="L41" s="68">
        <f t="shared" si="4"/>
        <v>30.326086956521738</v>
      </c>
      <c r="M41" s="54">
        <v>-542332</v>
      </c>
      <c r="N41" s="69">
        <f t="shared" si="5"/>
        <v>-17883.349103942652</v>
      </c>
      <c r="P41" s="50">
        <v>35</v>
      </c>
      <c r="Q41" s="70">
        <f t="shared" si="6"/>
        <v>33.41317365269461</v>
      </c>
      <c r="R41" s="51">
        <v>-552149</v>
      </c>
      <c r="S41" s="71">
        <f t="shared" si="7"/>
        <v>-16524.889426523299</v>
      </c>
      <c r="T41">
        <v>0</v>
      </c>
    </row>
    <row r="42" spans="1:20" x14ac:dyDescent="0.25">
      <c r="A42" s="50">
        <v>74</v>
      </c>
      <c r="B42" s="70">
        <f t="shared" si="0"/>
        <v>30.326086956521738</v>
      </c>
      <c r="C42" s="51">
        <v>-871942</v>
      </c>
      <c r="D42" s="71">
        <f t="shared" si="1"/>
        <v>-28752.209318996418</v>
      </c>
      <c r="E42">
        <v>0</v>
      </c>
      <c r="F42" s="50">
        <v>14</v>
      </c>
      <c r="G42" s="70">
        <f t="shared" si="2"/>
        <v>33.41317365269461</v>
      </c>
      <c r="H42" s="51">
        <v>-923878</v>
      </c>
      <c r="I42" s="71">
        <f t="shared" si="3"/>
        <v>-27650.112186379931</v>
      </c>
      <c r="J42">
        <v>0</v>
      </c>
      <c r="K42" s="58">
        <v>41</v>
      </c>
      <c r="L42" s="68">
        <f t="shared" si="4"/>
        <v>30.326086956521738</v>
      </c>
      <c r="M42" s="54">
        <v>-545075</v>
      </c>
      <c r="N42" s="69">
        <f t="shared" si="5"/>
        <v>-17973.799283154123</v>
      </c>
      <c r="P42" s="58">
        <v>81</v>
      </c>
      <c r="Q42" s="68">
        <f t="shared" si="6"/>
        <v>33.41317365269461</v>
      </c>
      <c r="R42" s="54">
        <v>-553719</v>
      </c>
      <c r="S42" s="69">
        <f t="shared" si="7"/>
        <v>-16571.876881720429</v>
      </c>
    </row>
    <row r="43" spans="1:20" x14ac:dyDescent="0.25">
      <c r="A43" s="50">
        <v>71</v>
      </c>
      <c r="B43" s="70">
        <f t="shared" si="0"/>
        <v>30.326086956521738</v>
      </c>
      <c r="C43" s="51">
        <v>-879757</v>
      </c>
      <c r="D43" s="71">
        <f t="shared" si="1"/>
        <v>-29009.908243727601</v>
      </c>
      <c r="E43">
        <v>0</v>
      </c>
      <c r="F43" s="50">
        <v>90</v>
      </c>
      <c r="G43" s="70">
        <f t="shared" si="2"/>
        <v>33.41317365269461</v>
      </c>
      <c r="H43" s="51">
        <v>-944796</v>
      </c>
      <c r="I43" s="71">
        <f t="shared" si="3"/>
        <v>-28276.152688172042</v>
      </c>
      <c r="J43">
        <v>0</v>
      </c>
      <c r="K43" s="58">
        <v>23</v>
      </c>
      <c r="L43" s="68">
        <f t="shared" si="4"/>
        <v>30.326086956521738</v>
      </c>
      <c r="M43" s="54">
        <v>-550483</v>
      </c>
      <c r="N43" s="69">
        <f t="shared" si="5"/>
        <v>-18152.127598566309</v>
      </c>
      <c r="P43" s="50">
        <v>25</v>
      </c>
      <c r="Q43" s="70">
        <f t="shared" si="6"/>
        <v>33.41317365269461</v>
      </c>
      <c r="R43" s="51">
        <v>-602771</v>
      </c>
      <c r="S43" s="71">
        <f t="shared" si="7"/>
        <v>-18039.920609318997</v>
      </c>
      <c r="T43">
        <v>0</v>
      </c>
    </row>
    <row r="44" spans="1:20" x14ac:dyDescent="0.25">
      <c r="A44" s="58">
        <v>13</v>
      </c>
      <c r="B44" s="68">
        <f t="shared" si="0"/>
        <v>30.326086956521738</v>
      </c>
      <c r="C44" s="54">
        <v>-1072053</v>
      </c>
      <c r="D44" s="69">
        <f t="shared" si="1"/>
        <v>-35350.851612903229</v>
      </c>
      <c r="F44" s="58">
        <v>88</v>
      </c>
      <c r="G44" s="68">
        <f t="shared" si="2"/>
        <v>33.41317365269461</v>
      </c>
      <c r="H44" s="54">
        <v>-964689</v>
      </c>
      <c r="I44" s="69">
        <f t="shared" si="3"/>
        <v>-28871.516666666666</v>
      </c>
      <c r="K44" s="58">
        <v>55</v>
      </c>
      <c r="L44" s="68">
        <f t="shared" si="4"/>
        <v>30.326086956521738</v>
      </c>
      <c r="M44" s="54">
        <v>-592287</v>
      </c>
      <c r="N44" s="69">
        <f t="shared" si="5"/>
        <v>-19530.610752688171</v>
      </c>
      <c r="P44" s="58">
        <v>23</v>
      </c>
      <c r="Q44" s="68">
        <f t="shared" si="6"/>
        <v>33.41317365269461</v>
      </c>
      <c r="R44" s="54">
        <v>-625997</v>
      </c>
      <c r="S44" s="69">
        <f t="shared" si="7"/>
        <v>-18735.035663082439</v>
      </c>
    </row>
    <row r="45" spans="1:20" x14ac:dyDescent="0.25">
      <c r="A45" s="58">
        <v>92</v>
      </c>
      <c r="B45" s="68">
        <f t="shared" si="0"/>
        <v>30.326086956521738</v>
      </c>
      <c r="C45" s="54">
        <v>-1105120</v>
      </c>
      <c r="D45" s="69">
        <f t="shared" si="1"/>
        <v>-36441.232974910396</v>
      </c>
      <c r="F45" s="50">
        <v>10</v>
      </c>
      <c r="G45" s="70">
        <f t="shared" si="2"/>
        <v>33.41317365269461</v>
      </c>
      <c r="H45" s="51">
        <v>-1019506</v>
      </c>
      <c r="I45" s="71">
        <f t="shared" si="3"/>
        <v>-30512.097132616487</v>
      </c>
      <c r="J45">
        <v>0</v>
      </c>
      <c r="K45" s="50">
        <v>31</v>
      </c>
      <c r="L45" s="70">
        <f t="shared" si="4"/>
        <v>30.326086956521738</v>
      </c>
      <c r="M45" s="51">
        <v>-620072</v>
      </c>
      <c r="N45" s="71">
        <f t="shared" si="5"/>
        <v>-20446.818637992834</v>
      </c>
      <c r="O45">
        <v>0</v>
      </c>
      <c r="P45" s="58">
        <v>78</v>
      </c>
      <c r="Q45" s="68">
        <f t="shared" si="6"/>
        <v>33.41317365269461</v>
      </c>
      <c r="R45" s="54">
        <v>-732192</v>
      </c>
      <c r="S45" s="69">
        <f t="shared" si="7"/>
        <v>-21913.273118279569</v>
      </c>
    </row>
    <row r="46" spans="1:20" x14ac:dyDescent="0.25">
      <c r="A46" s="58">
        <v>21</v>
      </c>
      <c r="B46" s="68">
        <f t="shared" si="0"/>
        <v>30.326086956521738</v>
      </c>
      <c r="C46" s="54">
        <v>-1124143</v>
      </c>
      <c r="D46" s="69">
        <f t="shared" si="1"/>
        <v>-37068.514695340506</v>
      </c>
      <c r="F46" s="50">
        <v>2</v>
      </c>
      <c r="G46" s="70">
        <f t="shared" si="2"/>
        <v>33.41317365269461</v>
      </c>
      <c r="H46" s="51">
        <v>-1048073</v>
      </c>
      <c r="I46" s="71">
        <f t="shared" si="3"/>
        <v>-31367.059318996417</v>
      </c>
      <c r="J46">
        <v>0</v>
      </c>
      <c r="K46" s="58">
        <v>40</v>
      </c>
      <c r="L46" s="68">
        <f t="shared" si="4"/>
        <v>30.326086956521738</v>
      </c>
      <c r="M46" s="54">
        <v>-658386</v>
      </c>
      <c r="N46" s="69">
        <f t="shared" si="5"/>
        <v>-21710.219354838711</v>
      </c>
      <c r="P46" s="58">
        <v>41</v>
      </c>
      <c r="Q46" s="68">
        <f t="shared" si="6"/>
        <v>33.41317365269461</v>
      </c>
      <c r="R46" s="54">
        <v>-890843</v>
      </c>
      <c r="S46" s="69">
        <f t="shared" si="7"/>
        <v>-26661.430286738352</v>
      </c>
    </row>
    <row r="47" spans="1:20" x14ac:dyDescent="0.25">
      <c r="A47" s="58">
        <v>64</v>
      </c>
      <c r="B47" s="68">
        <f t="shared" si="0"/>
        <v>30.326086956521738</v>
      </c>
      <c r="C47" s="54">
        <v>-1198677</v>
      </c>
      <c r="D47" s="69">
        <f t="shared" si="1"/>
        <v>-39526.26666666667</v>
      </c>
      <c r="F47" s="58">
        <v>12</v>
      </c>
      <c r="G47" s="68">
        <f t="shared" si="2"/>
        <v>33.41317365269461</v>
      </c>
      <c r="H47" s="54">
        <v>-1098022</v>
      </c>
      <c r="I47" s="69">
        <f t="shared" si="3"/>
        <v>-32861.948745519716</v>
      </c>
      <c r="K47" s="58">
        <v>97</v>
      </c>
      <c r="L47" s="68">
        <f t="shared" si="4"/>
        <v>30.326086956521738</v>
      </c>
      <c r="M47" s="54">
        <v>-661431</v>
      </c>
      <c r="N47" s="69">
        <f t="shared" si="5"/>
        <v>-21810.627956989247</v>
      </c>
      <c r="P47" s="58">
        <v>48</v>
      </c>
      <c r="Q47" s="68">
        <f t="shared" si="6"/>
        <v>33.41317365269461</v>
      </c>
      <c r="R47" s="54">
        <v>-914243</v>
      </c>
      <c r="S47" s="69">
        <f t="shared" si="7"/>
        <v>-27361.752867383515</v>
      </c>
    </row>
    <row r="48" spans="1:20" x14ac:dyDescent="0.25">
      <c r="A48" s="50">
        <v>3</v>
      </c>
      <c r="B48" s="70">
        <f t="shared" si="0"/>
        <v>30.326086956521738</v>
      </c>
      <c r="C48" s="51">
        <v>-1231829</v>
      </c>
      <c r="D48" s="71">
        <f t="shared" si="1"/>
        <v>-40619.450896057351</v>
      </c>
      <c r="E48">
        <v>0</v>
      </c>
      <c r="F48" s="50">
        <v>72</v>
      </c>
      <c r="G48" s="70">
        <f t="shared" si="2"/>
        <v>33.41317365269461</v>
      </c>
      <c r="H48" s="51">
        <v>-1168137</v>
      </c>
      <c r="I48" s="71">
        <f t="shared" si="3"/>
        <v>-34960.372580645162</v>
      </c>
      <c r="J48">
        <v>0</v>
      </c>
      <c r="K48" s="50">
        <v>56</v>
      </c>
      <c r="L48" s="70">
        <f t="shared" si="4"/>
        <v>30.326086956521738</v>
      </c>
      <c r="M48" s="51">
        <v>-736742</v>
      </c>
      <c r="N48" s="71">
        <f t="shared" si="5"/>
        <v>-24294.001433691756</v>
      </c>
      <c r="O48">
        <v>0</v>
      </c>
      <c r="P48" s="58">
        <v>96</v>
      </c>
      <c r="Q48" s="68">
        <f t="shared" si="6"/>
        <v>33.41317365269461</v>
      </c>
      <c r="R48" s="54">
        <v>-944950</v>
      </c>
      <c r="S48" s="69">
        <f t="shared" si="7"/>
        <v>-28280.76164874552</v>
      </c>
    </row>
    <row r="49" spans="1:20" x14ac:dyDescent="0.25">
      <c r="A49" s="58">
        <v>70</v>
      </c>
      <c r="B49" s="68">
        <f t="shared" si="0"/>
        <v>30.326086956521738</v>
      </c>
      <c r="C49" s="54">
        <v>-1290356</v>
      </c>
      <c r="D49" s="69">
        <f t="shared" si="1"/>
        <v>-42549.373476702509</v>
      </c>
      <c r="F49" s="50">
        <v>62</v>
      </c>
      <c r="G49" s="70">
        <f t="shared" si="2"/>
        <v>33.41317365269461</v>
      </c>
      <c r="H49" s="51">
        <v>-1177761</v>
      </c>
      <c r="I49" s="71">
        <f t="shared" si="3"/>
        <v>-35248.402688172042</v>
      </c>
      <c r="J49">
        <v>0</v>
      </c>
      <c r="K49" s="50">
        <v>85</v>
      </c>
      <c r="L49" s="70">
        <f t="shared" si="4"/>
        <v>30.326086956521738</v>
      </c>
      <c r="M49" s="51">
        <v>-789944</v>
      </c>
      <c r="N49" s="71">
        <f t="shared" si="5"/>
        <v>-26048.332616487456</v>
      </c>
      <c r="O49">
        <v>0</v>
      </c>
      <c r="P49" s="58">
        <v>82</v>
      </c>
      <c r="Q49" s="68">
        <f t="shared" si="6"/>
        <v>33.41317365269461</v>
      </c>
      <c r="R49" s="54">
        <v>-954865</v>
      </c>
      <c r="S49" s="69">
        <f t="shared" si="7"/>
        <v>-28577.500896057347</v>
      </c>
    </row>
    <row r="50" spans="1:20" x14ac:dyDescent="0.25">
      <c r="A50" s="58">
        <v>65</v>
      </c>
      <c r="B50" s="68">
        <f t="shared" si="0"/>
        <v>30.326086956521738</v>
      </c>
      <c r="C50" s="54">
        <v>-1335361</v>
      </c>
      <c r="D50" s="69">
        <f t="shared" si="1"/>
        <v>-44033.409318996419</v>
      </c>
      <c r="F50" s="58">
        <v>19</v>
      </c>
      <c r="G50" s="68">
        <f t="shared" si="2"/>
        <v>33.41317365269461</v>
      </c>
      <c r="H50" s="54">
        <v>-1251057</v>
      </c>
      <c r="I50" s="69">
        <f t="shared" si="3"/>
        <v>-37442.028494623657</v>
      </c>
      <c r="K50" s="58">
        <v>26</v>
      </c>
      <c r="L50" s="68">
        <f t="shared" si="4"/>
        <v>30.326086956521738</v>
      </c>
      <c r="M50" s="54">
        <v>-946136</v>
      </c>
      <c r="N50" s="69">
        <f t="shared" si="5"/>
        <v>-31198.749820788533</v>
      </c>
      <c r="P50" s="58">
        <v>50</v>
      </c>
      <c r="Q50" s="68">
        <f t="shared" si="6"/>
        <v>33.41317365269461</v>
      </c>
      <c r="R50" s="54">
        <v>-1011749</v>
      </c>
      <c r="S50" s="69">
        <f t="shared" si="7"/>
        <v>-30279.943189964157</v>
      </c>
    </row>
    <row r="51" spans="1:20" x14ac:dyDescent="0.25">
      <c r="A51" s="58">
        <v>18</v>
      </c>
      <c r="B51" s="68">
        <f t="shared" si="0"/>
        <v>30.326086956521738</v>
      </c>
      <c r="C51" s="54">
        <v>-1388548</v>
      </c>
      <c r="D51" s="69">
        <f t="shared" si="1"/>
        <v>-45787.2458781362</v>
      </c>
      <c r="F51" s="58">
        <v>68</v>
      </c>
      <c r="G51" s="68">
        <f t="shared" si="2"/>
        <v>33.41317365269461</v>
      </c>
      <c r="H51" s="54">
        <v>-1292553</v>
      </c>
      <c r="I51" s="69">
        <f t="shared" si="3"/>
        <v>-38683.933870967739</v>
      </c>
      <c r="K51" s="50">
        <v>84</v>
      </c>
      <c r="L51" s="70">
        <f t="shared" si="4"/>
        <v>30.326086956521738</v>
      </c>
      <c r="M51" s="51">
        <v>-948146</v>
      </c>
      <c r="N51" s="71">
        <f t="shared" si="5"/>
        <v>-31265.029390681004</v>
      </c>
      <c r="O51">
        <v>0</v>
      </c>
      <c r="P51" s="58">
        <v>40</v>
      </c>
      <c r="Q51" s="68">
        <f t="shared" si="6"/>
        <v>33.41317365269461</v>
      </c>
      <c r="R51" s="54">
        <v>-1028317</v>
      </c>
      <c r="S51" s="69">
        <f t="shared" si="7"/>
        <v>-30775.795519713261</v>
      </c>
    </row>
    <row r="52" spans="1:20" x14ac:dyDescent="0.25">
      <c r="A52" s="58">
        <v>91</v>
      </c>
      <c r="B52" s="68">
        <f t="shared" si="0"/>
        <v>30.326086956521738</v>
      </c>
      <c r="C52" s="54">
        <v>-1477388</v>
      </c>
      <c r="D52" s="69">
        <f t="shared" si="1"/>
        <v>-48716.736917562725</v>
      </c>
      <c r="F52" s="58">
        <v>60</v>
      </c>
      <c r="G52" s="68">
        <f t="shared" si="2"/>
        <v>33.41317365269461</v>
      </c>
      <c r="H52" s="54">
        <v>-1363928</v>
      </c>
      <c r="I52" s="69">
        <f t="shared" si="3"/>
        <v>-40820.067383512549</v>
      </c>
      <c r="K52" s="58">
        <v>37</v>
      </c>
      <c r="L52" s="68">
        <f t="shared" si="4"/>
        <v>30.326086956521738</v>
      </c>
      <c r="M52" s="54">
        <v>-1123636</v>
      </c>
      <c r="N52" s="69">
        <f t="shared" si="5"/>
        <v>-37051.796415770608</v>
      </c>
      <c r="P52" s="50">
        <v>45</v>
      </c>
      <c r="Q52" s="70">
        <f t="shared" si="6"/>
        <v>33.41317365269461</v>
      </c>
      <c r="R52" s="51">
        <v>-1108132</v>
      </c>
      <c r="S52" s="71">
        <f t="shared" si="7"/>
        <v>-33164.524014336916</v>
      </c>
      <c r="T52">
        <v>0</v>
      </c>
    </row>
    <row r="53" spans="1:20" x14ac:dyDescent="0.25">
      <c r="A53" s="58">
        <v>67</v>
      </c>
      <c r="B53" s="68">
        <f t="shared" si="0"/>
        <v>30.326086956521738</v>
      </c>
      <c r="C53" s="54">
        <v>-1558535</v>
      </c>
      <c r="D53" s="69">
        <f t="shared" si="1"/>
        <v>-51392.551971326167</v>
      </c>
      <c r="F53" s="50">
        <v>66</v>
      </c>
      <c r="G53" s="70">
        <f t="shared" si="2"/>
        <v>33.41317365269461</v>
      </c>
      <c r="H53" s="51">
        <v>-1541082</v>
      </c>
      <c r="I53" s="71">
        <f t="shared" si="3"/>
        <v>-46121.988172043013</v>
      </c>
      <c r="J53">
        <v>0</v>
      </c>
      <c r="K53" s="58">
        <v>77</v>
      </c>
      <c r="L53" s="68">
        <f t="shared" si="4"/>
        <v>30.326086956521738</v>
      </c>
      <c r="M53" s="54">
        <v>-1136517</v>
      </c>
      <c r="N53" s="69">
        <f t="shared" si="5"/>
        <v>-37476.546236559137</v>
      </c>
      <c r="P53" s="58">
        <v>37</v>
      </c>
      <c r="Q53" s="68">
        <f t="shared" si="6"/>
        <v>33.41317365269461</v>
      </c>
      <c r="R53" s="54">
        <v>-1231599</v>
      </c>
      <c r="S53" s="69">
        <f t="shared" si="7"/>
        <v>-36859.683333333334</v>
      </c>
    </row>
    <row r="54" spans="1:20" x14ac:dyDescent="0.25">
      <c r="A54" s="58">
        <v>93</v>
      </c>
      <c r="B54" s="68">
        <f t="shared" si="0"/>
        <v>30.326086956521738</v>
      </c>
      <c r="C54" s="54">
        <v>-1560391</v>
      </c>
      <c r="D54" s="69">
        <f t="shared" si="1"/>
        <v>-51453.753405017924</v>
      </c>
      <c r="F54" s="58">
        <v>13</v>
      </c>
      <c r="G54" s="68">
        <f t="shared" si="2"/>
        <v>33.41317365269461</v>
      </c>
      <c r="H54" s="54">
        <v>-1570807</v>
      </c>
      <c r="I54" s="69">
        <f t="shared" si="3"/>
        <v>-47011.607347670251</v>
      </c>
      <c r="K54" s="50">
        <v>94</v>
      </c>
      <c r="L54" s="70">
        <f t="shared" si="4"/>
        <v>30.326086956521738</v>
      </c>
      <c r="M54" s="51">
        <v>-1189690</v>
      </c>
      <c r="N54" s="71">
        <f t="shared" si="5"/>
        <v>-39229.921146953406</v>
      </c>
      <c r="O54">
        <v>0</v>
      </c>
      <c r="P54" s="58">
        <v>80</v>
      </c>
      <c r="Q54" s="68">
        <f t="shared" si="6"/>
        <v>33.41317365269461</v>
      </c>
      <c r="R54" s="54">
        <v>-1261366</v>
      </c>
      <c r="S54" s="69">
        <f t="shared" si="7"/>
        <v>-37750.559498207884</v>
      </c>
    </row>
    <row r="55" spans="1:20" x14ac:dyDescent="0.25">
      <c r="A55" s="58"/>
      <c r="B55" s="59"/>
      <c r="C55" s="54"/>
      <c r="D55" s="55"/>
      <c r="F55" s="58"/>
      <c r="G55" s="59"/>
      <c r="H55" s="54"/>
      <c r="I55" s="55"/>
      <c r="K55" s="50">
        <v>32</v>
      </c>
      <c r="L55" s="70">
        <f t="shared" si="4"/>
        <v>30.326086956521738</v>
      </c>
      <c r="M55" s="51">
        <v>-1238968</v>
      </c>
      <c r="N55" s="71">
        <f t="shared" si="5"/>
        <v>-40854.858781362011</v>
      </c>
      <c r="O55">
        <v>0</v>
      </c>
      <c r="P55" s="58">
        <v>52</v>
      </c>
      <c r="Q55" s="68">
        <f t="shared" si="6"/>
        <v>33.41317365269461</v>
      </c>
      <c r="R55" s="54">
        <v>-1306284</v>
      </c>
      <c r="S55" s="69">
        <f t="shared" si="7"/>
        <v>-39094.879569892473</v>
      </c>
    </row>
    <row r="56" spans="1:20" x14ac:dyDescent="0.25">
      <c r="A56" s="58"/>
      <c r="B56" s="59"/>
      <c r="C56" s="54"/>
      <c r="D56" s="55"/>
      <c r="F56" s="58"/>
      <c r="G56" s="59"/>
      <c r="H56" s="54"/>
      <c r="I56" s="55"/>
      <c r="K56" s="58">
        <v>36</v>
      </c>
      <c r="L56" s="68">
        <f t="shared" si="4"/>
        <v>30.326086956521738</v>
      </c>
      <c r="M56" s="54">
        <v>-1281241</v>
      </c>
      <c r="N56" s="69">
        <f t="shared" si="5"/>
        <v>-42248.807168458785</v>
      </c>
      <c r="P56" s="58">
        <v>38</v>
      </c>
      <c r="Q56" s="68">
        <f t="shared" si="6"/>
        <v>33.41317365269461</v>
      </c>
      <c r="R56" s="54">
        <v>-1308829</v>
      </c>
      <c r="S56" s="69">
        <f t="shared" si="7"/>
        <v>-39171.047132616492</v>
      </c>
    </row>
    <row r="57" spans="1:20" x14ac:dyDescent="0.25">
      <c r="A57" s="58"/>
      <c r="B57" s="59"/>
      <c r="C57" s="54"/>
      <c r="D57" s="55"/>
      <c r="F57" s="58"/>
      <c r="G57" s="59"/>
      <c r="H57" s="54"/>
      <c r="I57" s="55"/>
      <c r="K57" s="50">
        <v>29</v>
      </c>
      <c r="L57" s="70">
        <f t="shared" si="4"/>
        <v>30.326086956521738</v>
      </c>
      <c r="M57" s="51">
        <v>-1329121</v>
      </c>
      <c r="N57" s="71">
        <f t="shared" si="5"/>
        <v>-43827.645878136202</v>
      </c>
      <c r="O57">
        <v>0</v>
      </c>
      <c r="P57" s="50">
        <v>46</v>
      </c>
      <c r="Q57" s="70">
        <f t="shared" si="6"/>
        <v>33.41317365269461</v>
      </c>
      <c r="R57" s="51">
        <v>-1311822</v>
      </c>
      <c r="S57" s="71">
        <f t="shared" si="7"/>
        <v>-39260.622580645162</v>
      </c>
      <c r="T57">
        <v>0</v>
      </c>
    </row>
    <row r="58" spans="1:20" x14ac:dyDescent="0.25">
      <c r="A58" s="58"/>
      <c r="B58" s="59"/>
      <c r="C58" s="54"/>
      <c r="D58" s="55"/>
      <c r="F58" s="58"/>
      <c r="G58" s="59"/>
      <c r="H58" s="54"/>
      <c r="I58" s="55"/>
      <c r="K58" s="58">
        <v>80</v>
      </c>
      <c r="L58" s="68">
        <f t="shared" si="4"/>
        <v>30.326086956521738</v>
      </c>
      <c r="M58" s="54">
        <v>-1382584</v>
      </c>
      <c r="N58" s="69">
        <f t="shared" si="5"/>
        <v>-45590.583512544807</v>
      </c>
      <c r="P58" s="50">
        <v>53</v>
      </c>
      <c r="Q58" s="70">
        <f t="shared" si="6"/>
        <v>33.41317365269461</v>
      </c>
      <c r="R58" s="51">
        <v>-1316172</v>
      </c>
      <c r="S58" s="71">
        <f t="shared" si="7"/>
        <v>-39390.810752688172</v>
      </c>
      <c r="T58">
        <v>0</v>
      </c>
    </row>
    <row r="59" spans="1:20" x14ac:dyDescent="0.25">
      <c r="A59" s="58"/>
      <c r="B59" s="59"/>
      <c r="C59" s="54"/>
      <c r="D59" s="55"/>
      <c r="F59" s="58"/>
      <c r="G59" s="59"/>
      <c r="H59" s="54"/>
      <c r="I59" s="55"/>
      <c r="K59" s="58">
        <v>38</v>
      </c>
      <c r="L59" s="68">
        <f t="shared" si="4"/>
        <v>30.326086956521738</v>
      </c>
      <c r="M59" s="54">
        <v>-1454904</v>
      </c>
      <c r="N59" s="69">
        <f t="shared" si="5"/>
        <v>-47975.329032258065</v>
      </c>
      <c r="P59" s="58">
        <v>87</v>
      </c>
      <c r="Q59" s="68">
        <f t="shared" si="6"/>
        <v>33.41317365269461</v>
      </c>
      <c r="R59" s="54">
        <v>-1394051</v>
      </c>
      <c r="S59" s="69">
        <f t="shared" si="7"/>
        <v>-41721.598028673834</v>
      </c>
    </row>
    <row r="60" spans="1:20" x14ac:dyDescent="0.25">
      <c r="A60" s="58"/>
      <c r="B60" s="59"/>
      <c r="C60" s="54"/>
      <c r="D60" s="55"/>
      <c r="F60" s="58"/>
      <c r="G60" s="59"/>
      <c r="H60" s="54"/>
      <c r="I60" s="55"/>
      <c r="K60" s="58">
        <v>96</v>
      </c>
      <c r="L60" s="68">
        <f t="shared" si="4"/>
        <v>30.326086956521738</v>
      </c>
      <c r="M60" s="54">
        <v>-1495940</v>
      </c>
      <c r="N60" s="69">
        <f t="shared" si="5"/>
        <v>-49328.487455197137</v>
      </c>
      <c r="P60" s="58">
        <v>36</v>
      </c>
      <c r="Q60" s="68">
        <f t="shared" si="6"/>
        <v>33.41317365269461</v>
      </c>
      <c r="R60" s="54">
        <v>-1395762</v>
      </c>
      <c r="S60" s="69">
        <f t="shared" si="7"/>
        <v>-41772.805376344084</v>
      </c>
    </row>
    <row r="61" spans="1:20" x14ac:dyDescent="0.25">
      <c r="A61" s="58"/>
      <c r="B61" s="59"/>
      <c r="C61" s="54"/>
      <c r="D61" s="55"/>
      <c r="F61" s="58"/>
      <c r="G61" s="59"/>
      <c r="H61" s="54"/>
      <c r="I61" s="55"/>
      <c r="K61" s="50">
        <v>76</v>
      </c>
      <c r="L61" s="70">
        <f t="shared" si="4"/>
        <v>30.326086956521738</v>
      </c>
      <c r="M61" s="51">
        <v>-1505954</v>
      </c>
      <c r="N61" s="71">
        <f t="shared" si="5"/>
        <v>-49658.698207885303</v>
      </c>
      <c r="O61">
        <v>0</v>
      </c>
      <c r="P61" s="58">
        <v>42</v>
      </c>
      <c r="Q61" s="68">
        <f t="shared" si="6"/>
        <v>33.41317365269461</v>
      </c>
      <c r="R61" s="54">
        <v>-1449513</v>
      </c>
      <c r="S61" s="69">
        <f t="shared" si="7"/>
        <v>-43381.48225806452</v>
      </c>
    </row>
    <row r="62" spans="1:20" x14ac:dyDescent="0.25">
      <c r="A62" s="58"/>
      <c r="B62" s="59"/>
      <c r="C62" s="54"/>
      <c r="D62" s="55"/>
      <c r="F62" s="58"/>
      <c r="G62" s="59"/>
      <c r="H62" s="54"/>
      <c r="I62" s="55"/>
      <c r="K62" s="58">
        <v>52</v>
      </c>
      <c r="L62" s="68">
        <f t="shared" si="4"/>
        <v>30.326086956521738</v>
      </c>
      <c r="M62" s="54">
        <v>-1572435</v>
      </c>
      <c r="N62" s="69">
        <f t="shared" si="5"/>
        <v>-51850.903225806454</v>
      </c>
      <c r="P62" s="50">
        <v>28</v>
      </c>
      <c r="Q62" s="70">
        <f t="shared" si="6"/>
        <v>33.41317365269461</v>
      </c>
      <c r="R62" s="51">
        <v>-1475625</v>
      </c>
      <c r="S62" s="71">
        <f t="shared" si="7"/>
        <v>-44162.970430107525</v>
      </c>
      <c r="T62">
        <v>0</v>
      </c>
    </row>
    <row r="63" spans="1:20" x14ac:dyDescent="0.25">
      <c r="A63" s="58"/>
      <c r="B63" s="59"/>
      <c r="C63" s="54"/>
      <c r="D63" s="55"/>
      <c r="F63" s="58"/>
      <c r="G63" s="59"/>
      <c r="H63" s="54"/>
      <c r="I63" s="55"/>
      <c r="K63" s="50">
        <v>100</v>
      </c>
      <c r="L63" s="70">
        <f t="shared" si="4"/>
        <v>30.326086956521738</v>
      </c>
      <c r="M63" s="51">
        <v>-1597710</v>
      </c>
      <c r="N63" s="71">
        <f t="shared" si="5"/>
        <v>-52684.344086021505</v>
      </c>
      <c r="O63">
        <v>0</v>
      </c>
      <c r="P63" s="50">
        <v>83</v>
      </c>
      <c r="Q63" s="70">
        <f t="shared" si="6"/>
        <v>33.41317365269461</v>
      </c>
      <c r="R63" s="51">
        <v>-1533913</v>
      </c>
      <c r="S63" s="71">
        <f t="shared" si="7"/>
        <v>-45907.432078853046</v>
      </c>
    </row>
    <row r="64" spans="1:20" x14ac:dyDescent="0.25">
      <c r="A64" s="58"/>
      <c r="B64" s="59"/>
      <c r="C64" s="54"/>
      <c r="D64" s="55"/>
      <c r="F64" s="58"/>
      <c r="G64" s="59"/>
      <c r="H64" s="54"/>
      <c r="I64" s="55"/>
      <c r="K64" s="50">
        <v>51</v>
      </c>
      <c r="L64" s="70">
        <f t="shared" si="4"/>
        <v>30.326086956521738</v>
      </c>
      <c r="M64" s="51">
        <v>-1602000</v>
      </c>
      <c r="N64" s="71">
        <f t="shared" si="5"/>
        <v>-52825.806451612902</v>
      </c>
      <c r="O64">
        <v>0</v>
      </c>
      <c r="P64" s="58">
        <v>77</v>
      </c>
      <c r="Q64" s="68">
        <f t="shared" si="6"/>
        <v>33.41317365269461</v>
      </c>
      <c r="R64" s="54">
        <v>-1545855</v>
      </c>
      <c r="S64" s="69">
        <f t="shared" si="7"/>
        <v>-46264.836021505376</v>
      </c>
    </row>
    <row r="65" spans="1:19" x14ac:dyDescent="0.25">
      <c r="A65" s="58"/>
      <c r="B65" s="59"/>
      <c r="C65" s="54"/>
      <c r="D65" s="55"/>
      <c r="F65" s="58"/>
      <c r="G65" s="59"/>
      <c r="H65" s="54"/>
      <c r="I65" s="55"/>
      <c r="K65" s="58"/>
      <c r="L65" s="59"/>
      <c r="M65" s="54"/>
      <c r="N65" s="55"/>
      <c r="P65" s="58"/>
      <c r="Q65" s="59"/>
      <c r="R65" s="54"/>
      <c r="S65" s="55"/>
    </row>
    <row r="66" spans="1:19" x14ac:dyDescent="0.25">
      <c r="A66" s="58"/>
      <c r="B66" s="59"/>
      <c r="C66" s="54"/>
      <c r="D66" s="55"/>
      <c r="F66" s="58"/>
      <c r="G66" s="59"/>
      <c r="H66" s="54"/>
      <c r="I66" s="55"/>
      <c r="K66" s="58"/>
      <c r="L66" s="59"/>
      <c r="M66" s="54"/>
      <c r="N66" s="55"/>
      <c r="P66" s="58"/>
      <c r="Q66" s="59"/>
      <c r="R66" s="54"/>
      <c r="S66" s="55"/>
    </row>
    <row r="67" spans="1:19" x14ac:dyDescent="0.25">
      <c r="A67" s="58"/>
      <c r="B67" s="59"/>
      <c r="C67" s="54"/>
      <c r="D67" s="55"/>
      <c r="F67" s="58"/>
      <c r="G67" s="59"/>
      <c r="H67" s="54"/>
      <c r="I67" s="55"/>
      <c r="K67" s="58"/>
      <c r="L67" s="59"/>
      <c r="M67" s="54"/>
      <c r="N67" s="55"/>
      <c r="P67" s="58"/>
      <c r="Q67" s="59"/>
      <c r="R67" s="54"/>
      <c r="S67" s="55"/>
    </row>
    <row r="68" spans="1:19" x14ac:dyDescent="0.25">
      <c r="A68" s="58"/>
      <c r="B68" s="59"/>
      <c r="C68" s="54"/>
      <c r="D68" s="55"/>
      <c r="F68" s="58"/>
      <c r="G68" s="59"/>
      <c r="H68" s="54"/>
      <c r="I68" s="55"/>
      <c r="K68" s="58"/>
      <c r="L68" s="59"/>
      <c r="M68" s="54"/>
      <c r="N68" s="55"/>
      <c r="P68" s="58"/>
      <c r="Q68" s="59"/>
      <c r="R68" s="54"/>
      <c r="S68" s="55"/>
    </row>
    <row r="69" spans="1:19" x14ac:dyDescent="0.25">
      <c r="A69" s="58"/>
      <c r="B69" s="59"/>
      <c r="C69" s="54"/>
      <c r="D69" s="55"/>
      <c r="F69" s="58"/>
      <c r="G69" s="59"/>
      <c r="H69" s="54"/>
      <c r="I69" s="55"/>
      <c r="K69" s="58"/>
      <c r="L69" s="59"/>
      <c r="M69" s="54"/>
      <c r="N69" s="55"/>
      <c r="P69" s="58"/>
      <c r="Q69" s="59"/>
      <c r="R69" s="54"/>
      <c r="S69" s="55"/>
    </row>
    <row r="70" spans="1:19" x14ac:dyDescent="0.25">
      <c r="A70" s="58"/>
      <c r="B70" s="59"/>
      <c r="C70" s="54"/>
      <c r="D70" s="55"/>
      <c r="F70" s="58"/>
      <c r="G70" s="59"/>
      <c r="H70" s="54"/>
      <c r="I70" s="55"/>
      <c r="K70" s="58"/>
      <c r="L70" s="59"/>
      <c r="M70" s="54"/>
      <c r="N70" s="55"/>
      <c r="P70" s="58"/>
      <c r="Q70" s="59"/>
      <c r="R70" s="54"/>
      <c r="S70" s="55"/>
    </row>
    <row r="71" spans="1:19" x14ac:dyDescent="0.25">
      <c r="A71" s="58"/>
      <c r="B71" s="59"/>
      <c r="C71" s="54"/>
      <c r="D71" s="55"/>
      <c r="F71" s="58"/>
      <c r="G71" s="59"/>
      <c r="H71" s="54"/>
      <c r="I71" s="55"/>
      <c r="K71" s="58"/>
      <c r="L71" s="59"/>
      <c r="M71" s="54"/>
      <c r="N71" s="55"/>
      <c r="P71" s="58"/>
      <c r="Q71" s="59"/>
      <c r="R71" s="54"/>
      <c r="S71" s="55"/>
    </row>
    <row r="72" spans="1:19" x14ac:dyDescent="0.25">
      <c r="A72" s="58"/>
      <c r="B72" s="59"/>
      <c r="C72" s="54"/>
      <c r="D72" s="55"/>
      <c r="F72" s="58"/>
      <c r="G72" s="59"/>
      <c r="H72" s="54"/>
      <c r="I72" s="55"/>
      <c r="K72" s="58"/>
      <c r="L72" s="59"/>
      <c r="M72" s="54"/>
      <c r="N72" s="55"/>
      <c r="P72" s="58"/>
      <c r="Q72" s="59"/>
      <c r="R72" s="54"/>
      <c r="S72" s="55"/>
    </row>
    <row r="73" spans="1:19" x14ac:dyDescent="0.25">
      <c r="A73" s="58"/>
      <c r="B73" s="59"/>
      <c r="C73" s="54"/>
      <c r="D73" s="55"/>
      <c r="F73" s="58"/>
      <c r="G73" s="59"/>
      <c r="H73" s="54"/>
      <c r="I73" s="55"/>
      <c r="K73" s="58"/>
      <c r="L73" s="59"/>
      <c r="M73" s="54"/>
      <c r="N73" s="55"/>
      <c r="P73" s="58"/>
      <c r="Q73" s="59"/>
      <c r="R73" s="54"/>
      <c r="S73" s="55"/>
    </row>
    <row r="74" spans="1:19" x14ac:dyDescent="0.25">
      <c r="A74" s="58"/>
      <c r="B74" s="59"/>
      <c r="C74" s="54"/>
      <c r="D74" s="55"/>
      <c r="F74" s="58"/>
      <c r="G74" s="59"/>
      <c r="H74" s="54"/>
      <c r="I74" s="55"/>
      <c r="K74" s="58"/>
      <c r="L74" s="59"/>
      <c r="M74" s="54"/>
      <c r="N74" s="55"/>
      <c r="P74" s="58"/>
      <c r="Q74" s="59"/>
      <c r="R74" s="54"/>
      <c r="S74" s="55"/>
    </row>
    <row r="75" spans="1:19" x14ac:dyDescent="0.25">
      <c r="A75" s="58"/>
      <c r="B75" s="59"/>
      <c r="C75" s="54"/>
      <c r="D75" s="55"/>
      <c r="F75" s="58"/>
      <c r="G75" s="59"/>
      <c r="H75" s="54"/>
      <c r="I75" s="55"/>
      <c r="K75" s="58"/>
      <c r="L75" s="59"/>
      <c r="M75" s="54"/>
      <c r="N75" s="55"/>
      <c r="P75" s="58"/>
      <c r="Q75" s="59"/>
      <c r="R75" s="54"/>
      <c r="S75" s="55"/>
    </row>
    <row r="76" spans="1:19" x14ac:dyDescent="0.25">
      <c r="A76" s="58"/>
      <c r="B76" s="59"/>
      <c r="C76" s="54"/>
      <c r="D76" s="55"/>
      <c r="F76" s="58"/>
      <c r="G76" s="59"/>
      <c r="H76" s="54"/>
      <c r="I76" s="55"/>
      <c r="K76" s="58"/>
      <c r="L76" s="59"/>
      <c r="M76" s="54"/>
      <c r="N76" s="55"/>
      <c r="P76" s="58"/>
      <c r="Q76" s="59"/>
      <c r="R76" s="54"/>
      <c r="S76" s="55"/>
    </row>
    <row r="77" spans="1:19" x14ac:dyDescent="0.25">
      <c r="A77" s="58"/>
      <c r="B77" s="59"/>
      <c r="C77" s="54"/>
      <c r="D77" s="55"/>
      <c r="F77" s="58"/>
      <c r="G77" s="59"/>
      <c r="H77" s="54"/>
      <c r="I77" s="55"/>
      <c r="K77" s="58"/>
      <c r="L77" s="59"/>
      <c r="M77" s="54"/>
      <c r="N77" s="55"/>
      <c r="P77" s="58"/>
      <c r="Q77" s="59"/>
      <c r="R77" s="54"/>
      <c r="S77" s="55"/>
    </row>
    <row r="78" spans="1:19" x14ac:dyDescent="0.25">
      <c r="A78" s="58"/>
      <c r="B78" s="59"/>
      <c r="C78" s="54"/>
      <c r="D78" s="55"/>
      <c r="F78" s="58"/>
      <c r="G78" s="59"/>
      <c r="H78" s="54"/>
      <c r="I78" s="55"/>
      <c r="K78" s="58"/>
      <c r="L78" s="59"/>
      <c r="M78" s="54"/>
      <c r="N78" s="55"/>
      <c r="P78" s="58"/>
      <c r="Q78" s="59"/>
      <c r="R78" s="54"/>
      <c r="S78" s="55"/>
    </row>
    <row r="79" spans="1:19" x14ac:dyDescent="0.25">
      <c r="A79" s="58"/>
      <c r="B79" s="59"/>
      <c r="C79" s="54"/>
      <c r="D79" s="55"/>
      <c r="F79" s="58"/>
      <c r="G79" s="59"/>
      <c r="H79" s="54"/>
      <c r="I79" s="55"/>
      <c r="K79" s="58"/>
      <c r="L79" s="59"/>
      <c r="M79" s="54"/>
      <c r="N79" s="55"/>
      <c r="P79" s="58"/>
      <c r="Q79" s="59"/>
      <c r="R79" s="54"/>
      <c r="S79" s="55"/>
    </row>
    <row r="80" spans="1:19" x14ac:dyDescent="0.25">
      <c r="A80" s="58"/>
      <c r="B80" s="59"/>
      <c r="C80" s="54"/>
      <c r="D80" s="55"/>
      <c r="F80" s="58"/>
      <c r="G80" s="59"/>
      <c r="H80" s="54"/>
      <c r="I80" s="55"/>
      <c r="K80" s="58"/>
      <c r="L80" s="59"/>
      <c r="M80" s="54"/>
      <c r="N80" s="55"/>
      <c r="P80" s="58"/>
      <c r="Q80" s="59"/>
      <c r="R80" s="54"/>
      <c r="S80" s="55"/>
    </row>
    <row r="81" spans="1:19" x14ac:dyDescent="0.25">
      <c r="A81" s="58"/>
      <c r="B81" s="59"/>
      <c r="C81" s="54"/>
      <c r="D81" s="55"/>
      <c r="F81" s="58"/>
      <c r="G81" s="59"/>
      <c r="H81" s="54"/>
      <c r="I81" s="55"/>
      <c r="K81" s="58"/>
      <c r="L81" s="59"/>
      <c r="M81" s="54"/>
      <c r="N81" s="55"/>
      <c r="P81" s="58"/>
      <c r="Q81" s="59"/>
      <c r="R81" s="54"/>
      <c r="S81" s="55"/>
    </row>
    <row r="82" spans="1:19" x14ac:dyDescent="0.25">
      <c r="A82" s="58"/>
      <c r="B82" s="59"/>
      <c r="C82" s="54"/>
      <c r="D82" s="55"/>
      <c r="F82" s="58"/>
      <c r="G82" s="59"/>
      <c r="H82" s="54"/>
      <c r="I82" s="55"/>
      <c r="K82" s="58"/>
      <c r="L82" s="59"/>
      <c r="M82" s="54"/>
      <c r="N82" s="55"/>
      <c r="P82" s="58"/>
      <c r="Q82" s="59"/>
      <c r="R82" s="54"/>
      <c r="S82" s="55"/>
    </row>
    <row r="83" spans="1:19" x14ac:dyDescent="0.25">
      <c r="A83" s="58"/>
      <c r="B83" s="59"/>
      <c r="C83" s="54"/>
      <c r="D83" s="55"/>
      <c r="F83" s="58"/>
      <c r="G83" s="59"/>
      <c r="H83" s="54"/>
      <c r="I83" s="55"/>
      <c r="K83" s="58"/>
      <c r="L83" s="59"/>
      <c r="M83" s="54"/>
      <c r="N83" s="55"/>
      <c r="P83" s="58"/>
      <c r="Q83" s="59"/>
      <c r="R83" s="54"/>
      <c r="S83" s="55"/>
    </row>
    <row r="84" spans="1:19" x14ac:dyDescent="0.25">
      <c r="A84" s="58"/>
      <c r="B84" s="59"/>
      <c r="C84" s="54"/>
      <c r="D84" s="55"/>
      <c r="F84" s="58"/>
      <c r="G84" s="59"/>
      <c r="H84" s="54"/>
      <c r="I84" s="55"/>
      <c r="K84" s="58"/>
      <c r="L84" s="59"/>
      <c r="M84" s="54"/>
      <c r="N84" s="55"/>
      <c r="P84" s="58"/>
      <c r="Q84" s="59"/>
      <c r="R84" s="54"/>
      <c r="S84" s="55"/>
    </row>
    <row r="85" spans="1:19" x14ac:dyDescent="0.25">
      <c r="A85" s="58"/>
      <c r="B85" s="59"/>
      <c r="C85" s="54"/>
      <c r="D85" s="55"/>
      <c r="F85" s="58"/>
      <c r="G85" s="59"/>
      <c r="H85" s="54"/>
      <c r="I85" s="55"/>
      <c r="K85" s="58"/>
      <c r="L85" s="59"/>
      <c r="M85" s="54"/>
      <c r="N85" s="55"/>
      <c r="P85" s="58"/>
      <c r="Q85" s="59"/>
      <c r="R85" s="54"/>
      <c r="S85" s="55"/>
    </row>
    <row r="86" spans="1:19" x14ac:dyDescent="0.25">
      <c r="A86" s="58"/>
      <c r="B86" s="59"/>
      <c r="C86" s="54"/>
      <c r="D86" s="55"/>
      <c r="F86" s="58"/>
      <c r="G86" s="59"/>
      <c r="H86" s="54"/>
      <c r="I86" s="55"/>
      <c r="K86" s="58"/>
      <c r="L86" s="59"/>
      <c r="M86" s="54"/>
      <c r="N86" s="55"/>
      <c r="P86" s="58"/>
      <c r="Q86" s="59"/>
      <c r="R86" s="54"/>
      <c r="S86" s="55"/>
    </row>
    <row r="87" spans="1:19" x14ac:dyDescent="0.25">
      <c r="A87" s="58"/>
      <c r="B87" s="59"/>
      <c r="C87" s="54"/>
      <c r="D87" s="55"/>
      <c r="F87" s="58"/>
      <c r="G87" s="59"/>
      <c r="H87" s="54"/>
      <c r="I87" s="55"/>
      <c r="K87" s="58"/>
      <c r="L87" s="59"/>
      <c r="M87" s="54"/>
      <c r="N87" s="55"/>
      <c r="P87" s="58"/>
      <c r="Q87" s="59"/>
      <c r="R87" s="54"/>
      <c r="S87" s="55"/>
    </row>
    <row r="88" spans="1:19" x14ac:dyDescent="0.25">
      <c r="A88" s="58"/>
      <c r="B88" s="59"/>
      <c r="C88" s="54"/>
      <c r="D88" s="55"/>
      <c r="F88" s="58"/>
      <c r="G88" s="59"/>
      <c r="H88" s="54"/>
      <c r="I88" s="55"/>
      <c r="K88" s="58"/>
      <c r="L88" s="59"/>
      <c r="M88" s="54"/>
      <c r="N88" s="55"/>
      <c r="P88" s="58"/>
      <c r="Q88" s="59"/>
      <c r="R88" s="54"/>
      <c r="S88" s="55"/>
    </row>
    <row r="89" spans="1:19" x14ac:dyDescent="0.25">
      <c r="A89" s="58"/>
      <c r="B89" s="59"/>
      <c r="C89" s="54"/>
      <c r="D89" s="55"/>
      <c r="F89" s="58"/>
      <c r="G89" s="59"/>
      <c r="H89" s="54"/>
      <c r="I89" s="55"/>
      <c r="K89" s="58"/>
      <c r="L89" s="59"/>
      <c r="M89" s="54"/>
      <c r="N89" s="55"/>
      <c r="P89" s="58"/>
      <c r="Q89" s="59"/>
      <c r="R89" s="54"/>
      <c r="S89" s="55"/>
    </row>
    <row r="90" spans="1:19" x14ac:dyDescent="0.25">
      <c r="A90" s="58"/>
      <c r="B90" s="59"/>
      <c r="C90" s="54"/>
      <c r="D90" s="55"/>
      <c r="F90" s="58"/>
      <c r="G90" s="59"/>
      <c r="H90" s="54"/>
      <c r="I90" s="55"/>
      <c r="K90" s="58"/>
      <c r="L90" s="59"/>
      <c r="M90" s="54"/>
      <c r="N90" s="55"/>
      <c r="P90" s="58"/>
      <c r="Q90" s="59"/>
      <c r="R90" s="54"/>
      <c r="S90" s="55"/>
    </row>
    <row r="91" spans="1:19" x14ac:dyDescent="0.25">
      <c r="A91" s="58"/>
      <c r="B91" s="59"/>
      <c r="C91" s="54"/>
      <c r="D91" s="55"/>
      <c r="F91" s="58"/>
      <c r="G91" s="59"/>
      <c r="H91" s="54"/>
      <c r="I91" s="55"/>
      <c r="K91" s="58"/>
      <c r="L91" s="59"/>
      <c r="M91" s="54"/>
      <c r="N91" s="55"/>
      <c r="P91" s="58"/>
      <c r="Q91" s="59"/>
      <c r="R91" s="54"/>
      <c r="S91" s="55"/>
    </row>
    <row r="92" spans="1:19" x14ac:dyDescent="0.25">
      <c r="A92" s="58"/>
      <c r="B92" s="59"/>
      <c r="C92" s="54"/>
      <c r="D92" s="55"/>
      <c r="F92" s="58"/>
      <c r="G92" s="59"/>
      <c r="H92" s="54"/>
      <c r="I92" s="55"/>
      <c r="K92" s="58"/>
      <c r="L92" s="59"/>
      <c r="M92" s="54"/>
      <c r="N92" s="55"/>
      <c r="P92" s="58"/>
      <c r="Q92" s="59"/>
      <c r="R92" s="54"/>
      <c r="S92" s="55"/>
    </row>
    <row r="93" spans="1:19" x14ac:dyDescent="0.25">
      <c r="A93" s="58"/>
      <c r="B93" s="59"/>
      <c r="C93" s="54"/>
      <c r="D93" s="55"/>
      <c r="F93" s="58"/>
      <c r="G93" s="59"/>
      <c r="H93" s="54"/>
      <c r="I93" s="55"/>
      <c r="K93" s="58"/>
      <c r="L93" s="59"/>
      <c r="M93" s="54"/>
      <c r="N93" s="55"/>
      <c r="P93" s="58"/>
      <c r="Q93" s="59"/>
      <c r="R93" s="54"/>
      <c r="S93" s="55"/>
    </row>
    <row r="94" spans="1:19" x14ac:dyDescent="0.25">
      <c r="A94" s="58"/>
      <c r="B94" s="59"/>
      <c r="C94" s="54"/>
      <c r="D94" s="55"/>
      <c r="F94" s="58"/>
      <c r="G94" s="59"/>
      <c r="H94" s="54"/>
      <c r="I94" s="55"/>
      <c r="K94" s="58"/>
      <c r="L94" s="59"/>
      <c r="M94" s="54"/>
      <c r="N94" s="55"/>
      <c r="P94" s="58"/>
      <c r="Q94" s="59"/>
      <c r="R94" s="54"/>
      <c r="S94" s="55"/>
    </row>
    <row r="95" spans="1:19" x14ac:dyDescent="0.25">
      <c r="A95" s="58"/>
      <c r="B95" s="59"/>
      <c r="C95" s="54"/>
      <c r="D95" s="55"/>
      <c r="F95" s="58"/>
      <c r="G95" s="59"/>
      <c r="H95" s="54"/>
      <c r="I95" s="55"/>
      <c r="K95" s="58"/>
      <c r="L95" s="59"/>
      <c r="M95" s="54"/>
      <c r="N95" s="55"/>
      <c r="P95" s="58"/>
      <c r="Q95" s="59"/>
      <c r="R95" s="54"/>
      <c r="S95" s="55"/>
    </row>
    <row r="96" spans="1:19" x14ac:dyDescent="0.25">
      <c r="A96" s="58"/>
      <c r="B96" s="59"/>
      <c r="C96" s="54"/>
      <c r="D96" s="55"/>
      <c r="F96" s="58"/>
      <c r="G96" s="59"/>
      <c r="H96" s="54"/>
      <c r="I96" s="55"/>
      <c r="K96" s="58"/>
      <c r="L96" s="59"/>
      <c r="M96" s="54"/>
      <c r="N96" s="55"/>
      <c r="P96" s="58"/>
      <c r="Q96" s="59"/>
      <c r="R96" s="54"/>
      <c r="S96" s="55"/>
    </row>
    <row r="97" spans="1:19" x14ac:dyDescent="0.25">
      <c r="A97" s="58"/>
      <c r="B97" s="59"/>
      <c r="C97" s="54"/>
      <c r="D97" s="55"/>
      <c r="F97" s="58"/>
      <c r="G97" s="59"/>
      <c r="H97" s="54"/>
      <c r="I97" s="55"/>
      <c r="K97" s="58"/>
      <c r="L97" s="59"/>
      <c r="M97" s="54"/>
      <c r="N97" s="55"/>
      <c r="P97" s="58"/>
      <c r="Q97" s="59"/>
      <c r="R97" s="54"/>
      <c r="S97" s="55"/>
    </row>
    <row r="98" spans="1:19" x14ac:dyDescent="0.25">
      <c r="A98" s="58"/>
      <c r="B98" s="59"/>
      <c r="C98" s="54"/>
      <c r="D98" s="55"/>
      <c r="F98" s="58"/>
      <c r="G98" s="59"/>
      <c r="H98" s="54"/>
      <c r="I98" s="55"/>
      <c r="K98" s="58"/>
      <c r="L98" s="59"/>
      <c r="M98" s="54"/>
      <c r="N98" s="55"/>
      <c r="P98" s="58"/>
      <c r="Q98" s="59"/>
      <c r="R98" s="54"/>
      <c r="S98" s="55"/>
    </row>
    <row r="99" spans="1:19" x14ac:dyDescent="0.25">
      <c r="A99" s="58"/>
      <c r="B99" s="59"/>
      <c r="C99" s="54"/>
      <c r="D99" s="55"/>
      <c r="F99" s="58"/>
      <c r="G99" s="59"/>
      <c r="H99" s="54"/>
      <c r="I99" s="55"/>
      <c r="K99" s="58"/>
      <c r="L99" s="59"/>
      <c r="M99" s="54"/>
      <c r="N99" s="55"/>
      <c r="P99" s="58"/>
      <c r="Q99" s="59"/>
      <c r="R99" s="54"/>
      <c r="S99" s="55"/>
    </row>
    <row r="100" spans="1:19" x14ac:dyDescent="0.25">
      <c r="A100" s="58"/>
      <c r="B100" s="59"/>
      <c r="C100" s="54"/>
      <c r="D100" s="55"/>
      <c r="F100" s="58"/>
      <c r="G100" s="59"/>
      <c r="H100" s="54"/>
      <c r="I100" s="55"/>
      <c r="K100" s="58"/>
      <c r="L100" s="59"/>
      <c r="M100" s="54"/>
      <c r="N100" s="55"/>
      <c r="P100" s="58"/>
      <c r="Q100" s="59"/>
      <c r="R100" s="54"/>
      <c r="S100" s="55"/>
    </row>
    <row r="101" spans="1:19" x14ac:dyDescent="0.25">
      <c r="A101" s="58"/>
      <c r="B101" s="59"/>
      <c r="C101" s="54"/>
      <c r="D101" s="55"/>
      <c r="F101" s="58"/>
      <c r="G101" s="59"/>
      <c r="H101" s="54"/>
      <c r="I101" s="55"/>
      <c r="K101" s="58"/>
      <c r="L101" s="59"/>
      <c r="M101" s="54"/>
      <c r="N101" s="55"/>
      <c r="P101" s="58"/>
      <c r="Q101" s="59"/>
      <c r="R101" s="54"/>
      <c r="S101" s="55"/>
    </row>
    <row r="102" spans="1:19" x14ac:dyDescent="0.25">
      <c r="A102" s="58"/>
      <c r="B102" s="59"/>
      <c r="C102" s="54"/>
      <c r="D102" s="55"/>
      <c r="F102" s="58"/>
      <c r="G102" s="59"/>
      <c r="H102" s="54"/>
      <c r="I102" s="55"/>
      <c r="K102" s="58"/>
      <c r="L102" s="59"/>
      <c r="M102" s="54"/>
      <c r="N102" s="55"/>
      <c r="P102" s="58"/>
      <c r="Q102" s="59"/>
      <c r="R102" s="54"/>
      <c r="S102" s="55"/>
    </row>
    <row r="103" spans="1:19" x14ac:dyDescent="0.25">
      <c r="A103" s="58"/>
      <c r="B103" s="59"/>
      <c r="C103" s="54"/>
      <c r="D103" s="55"/>
      <c r="F103" s="58"/>
      <c r="G103" s="59"/>
      <c r="H103" s="54"/>
      <c r="I103" s="55"/>
      <c r="K103" s="58"/>
      <c r="L103" s="59"/>
      <c r="M103" s="54"/>
      <c r="N103" s="55"/>
      <c r="P103" s="58"/>
      <c r="Q103" s="59"/>
      <c r="R103" s="54"/>
      <c r="S103" s="55"/>
    </row>
    <row r="104" spans="1:19" x14ac:dyDescent="0.25">
      <c r="A104" s="58"/>
      <c r="B104" s="59"/>
      <c r="C104" s="54"/>
      <c r="D104" s="55"/>
      <c r="F104" s="58"/>
      <c r="G104" s="59"/>
      <c r="H104" s="54"/>
      <c r="I104" s="55"/>
      <c r="K104" s="58"/>
      <c r="L104" s="59"/>
      <c r="M104" s="54"/>
      <c r="N104" s="55"/>
      <c r="P104" s="58"/>
      <c r="Q104" s="59"/>
      <c r="R104" s="54"/>
      <c r="S104" s="55"/>
    </row>
    <row r="105" spans="1:19" x14ac:dyDescent="0.25">
      <c r="A105" s="58"/>
      <c r="B105" s="59"/>
      <c r="C105" s="54"/>
      <c r="D105" s="55"/>
      <c r="F105" s="58"/>
      <c r="G105" s="59"/>
      <c r="H105" s="54"/>
      <c r="I105" s="55"/>
      <c r="K105" s="58"/>
      <c r="L105" s="59"/>
      <c r="M105" s="54"/>
      <c r="N105" s="55"/>
      <c r="P105" s="58"/>
      <c r="Q105" s="59"/>
      <c r="R105" s="54"/>
      <c r="S105" s="55"/>
    </row>
    <row r="106" spans="1:19" x14ac:dyDescent="0.25">
      <c r="A106" s="58"/>
      <c r="B106" s="59"/>
      <c r="C106" s="54"/>
      <c r="D106" s="55"/>
      <c r="F106" s="58"/>
      <c r="G106" s="59"/>
      <c r="H106" s="54"/>
      <c r="I106" s="55"/>
      <c r="K106" s="58"/>
      <c r="L106" s="59"/>
      <c r="M106" s="54"/>
      <c r="N106" s="55"/>
      <c r="P106" s="58"/>
      <c r="Q106" s="59"/>
      <c r="R106" s="54"/>
      <c r="S106" s="55"/>
    </row>
    <row r="107" spans="1:19" x14ac:dyDescent="0.25">
      <c r="A107" s="58"/>
      <c r="B107" s="59"/>
      <c r="C107" s="54"/>
      <c r="D107" s="55"/>
      <c r="F107" s="58"/>
      <c r="G107" s="59"/>
      <c r="H107" s="54"/>
      <c r="I107" s="55"/>
      <c r="K107" s="58"/>
      <c r="L107" s="59"/>
      <c r="M107" s="54"/>
      <c r="N107" s="55"/>
      <c r="P107" s="58"/>
      <c r="Q107" s="59"/>
      <c r="R107" s="54"/>
      <c r="S107" s="55"/>
    </row>
    <row r="108" spans="1:19" x14ac:dyDescent="0.25">
      <c r="A108" s="58"/>
      <c r="B108" s="59"/>
      <c r="C108" s="54"/>
      <c r="D108" s="55"/>
      <c r="F108" s="58"/>
      <c r="G108" s="59"/>
      <c r="H108" s="54"/>
      <c r="I108" s="55"/>
      <c r="K108" s="58"/>
      <c r="L108" s="59"/>
      <c r="M108" s="54"/>
      <c r="N108" s="55"/>
      <c r="P108" s="58"/>
      <c r="Q108" s="59"/>
      <c r="R108" s="54"/>
      <c r="S108" s="55"/>
    </row>
    <row r="109" spans="1:19" x14ac:dyDescent="0.25">
      <c r="A109" s="58"/>
      <c r="B109" s="59"/>
      <c r="C109" s="54"/>
      <c r="D109" s="55"/>
      <c r="F109" s="58"/>
      <c r="G109" s="59"/>
      <c r="H109" s="54"/>
      <c r="I109" s="55"/>
      <c r="K109" s="58"/>
      <c r="L109" s="59"/>
      <c r="M109" s="54"/>
      <c r="N109" s="55"/>
      <c r="P109" s="58"/>
      <c r="Q109" s="59"/>
      <c r="R109" s="54"/>
      <c r="S109" s="55"/>
    </row>
    <row r="110" spans="1:19" x14ac:dyDescent="0.25">
      <c r="A110" s="58"/>
      <c r="B110" s="59"/>
      <c r="C110" s="54"/>
      <c r="D110" s="55"/>
      <c r="F110" s="58"/>
      <c r="G110" s="59"/>
      <c r="H110" s="54"/>
      <c r="I110" s="55"/>
      <c r="K110" s="58"/>
      <c r="L110" s="59"/>
      <c r="M110" s="54"/>
      <c r="N110" s="55"/>
      <c r="P110" s="58"/>
      <c r="Q110" s="59"/>
      <c r="R110" s="54"/>
      <c r="S110" s="55"/>
    </row>
    <row r="111" spans="1:19" x14ac:dyDescent="0.25">
      <c r="A111" s="58"/>
      <c r="B111" s="59"/>
      <c r="C111" s="54"/>
      <c r="D111" s="55"/>
      <c r="F111" s="58"/>
      <c r="G111" s="59"/>
      <c r="H111" s="54"/>
      <c r="I111" s="55"/>
      <c r="K111" s="58"/>
      <c r="L111" s="59"/>
      <c r="M111" s="54"/>
      <c r="N111" s="55"/>
      <c r="P111" s="58"/>
      <c r="Q111" s="59"/>
      <c r="R111" s="54"/>
      <c r="S111" s="55"/>
    </row>
    <row r="112" spans="1:19" x14ac:dyDescent="0.25">
      <c r="A112" s="58"/>
      <c r="B112" s="59"/>
      <c r="C112" s="54"/>
      <c r="D112" s="55"/>
      <c r="F112" s="58"/>
      <c r="G112" s="59"/>
      <c r="H112" s="54"/>
      <c r="I112" s="55"/>
      <c r="K112" s="58"/>
      <c r="L112" s="59"/>
      <c r="M112" s="54"/>
      <c r="N112" s="55"/>
      <c r="P112" s="58"/>
      <c r="Q112" s="59"/>
      <c r="R112" s="54"/>
      <c r="S112" s="55"/>
    </row>
    <row r="113" spans="1:19" x14ac:dyDescent="0.25">
      <c r="A113" s="58"/>
      <c r="B113" s="59"/>
      <c r="C113" s="54"/>
      <c r="D113" s="55"/>
      <c r="F113" s="58"/>
      <c r="G113" s="59"/>
      <c r="H113" s="54"/>
      <c r="I113" s="55"/>
      <c r="K113" s="58"/>
      <c r="L113" s="59"/>
      <c r="M113" s="54"/>
      <c r="N113" s="55"/>
      <c r="P113" s="58"/>
      <c r="Q113" s="59"/>
      <c r="R113" s="54"/>
      <c r="S113" s="55"/>
    </row>
    <row r="114" spans="1:19" x14ac:dyDescent="0.25">
      <c r="A114" s="58"/>
      <c r="B114" s="59"/>
      <c r="C114" s="54"/>
      <c r="D114" s="55"/>
      <c r="F114" s="58"/>
      <c r="G114" s="59"/>
      <c r="H114" s="54"/>
      <c r="I114" s="55"/>
      <c r="K114" s="58"/>
      <c r="L114" s="59"/>
      <c r="M114" s="54"/>
      <c r="N114" s="55"/>
      <c r="P114" s="58"/>
      <c r="Q114" s="59"/>
      <c r="R114" s="54"/>
      <c r="S114" s="55"/>
    </row>
    <row r="115" spans="1:19" x14ac:dyDescent="0.25">
      <c r="A115" s="58"/>
      <c r="B115" s="59"/>
      <c r="C115" s="54"/>
      <c r="D115" s="55"/>
      <c r="F115" s="58"/>
      <c r="G115" s="59"/>
      <c r="H115" s="54"/>
      <c r="I115" s="55"/>
      <c r="K115" s="58"/>
      <c r="L115" s="59"/>
      <c r="M115" s="54"/>
      <c r="N115" s="55"/>
      <c r="P115" s="58"/>
      <c r="Q115" s="59"/>
      <c r="R115" s="54"/>
      <c r="S115" s="55"/>
    </row>
    <row r="116" spans="1:19" x14ac:dyDescent="0.25">
      <c r="A116" s="58"/>
      <c r="B116" s="59"/>
      <c r="C116" s="54"/>
      <c r="D116" s="55"/>
      <c r="F116" s="58"/>
      <c r="G116" s="59"/>
      <c r="H116" s="54"/>
      <c r="I116" s="55"/>
      <c r="K116" s="58"/>
      <c r="L116" s="59"/>
      <c r="M116" s="54"/>
      <c r="N116" s="55"/>
      <c r="P116" s="58"/>
      <c r="Q116" s="59"/>
      <c r="R116" s="54"/>
      <c r="S116" s="55"/>
    </row>
    <row r="117" spans="1:19" x14ac:dyDescent="0.25">
      <c r="A117" s="58"/>
      <c r="B117" s="59"/>
      <c r="C117" s="54"/>
      <c r="D117" s="55"/>
      <c r="F117" s="58"/>
      <c r="G117" s="59"/>
      <c r="H117" s="54"/>
      <c r="I117" s="55"/>
      <c r="K117" s="58"/>
      <c r="L117" s="59"/>
      <c r="M117" s="54"/>
      <c r="N117" s="55"/>
      <c r="P117" s="58"/>
      <c r="Q117" s="59"/>
      <c r="R117" s="54"/>
      <c r="S117" s="55"/>
    </row>
    <row r="118" spans="1:19" ht="15.75" thickBot="1" x14ac:dyDescent="0.3">
      <c r="A118" s="60"/>
      <c r="B118" s="61"/>
      <c r="C118" s="56"/>
      <c r="D118" s="57"/>
      <c r="F118" s="60"/>
      <c r="G118" s="61"/>
      <c r="H118" s="56"/>
      <c r="I118" s="57"/>
      <c r="K118" s="58"/>
      <c r="L118" s="59"/>
      <c r="M118" s="54"/>
      <c r="N118" s="55"/>
      <c r="P118" s="58"/>
      <c r="Q118" s="59"/>
      <c r="R118" s="54"/>
      <c r="S118" s="55"/>
    </row>
    <row r="119" spans="1:19" x14ac:dyDescent="0.25">
      <c r="K119" s="58"/>
      <c r="L119" s="59"/>
      <c r="M119" s="54"/>
      <c r="N119" s="55"/>
      <c r="P119" s="58"/>
      <c r="Q119" s="59"/>
      <c r="R119" s="54"/>
      <c r="S119" s="55"/>
    </row>
    <row r="120" spans="1:19" x14ac:dyDescent="0.25">
      <c r="K120" s="58"/>
      <c r="L120" s="59"/>
      <c r="M120" s="54"/>
      <c r="N120" s="55"/>
      <c r="P120" s="58"/>
      <c r="Q120" s="59"/>
      <c r="R120" s="54"/>
      <c r="S120" s="55"/>
    </row>
    <row r="121" spans="1:19" x14ac:dyDescent="0.25">
      <c r="K121" s="58"/>
      <c r="L121" s="59"/>
      <c r="M121" s="54"/>
      <c r="N121" s="55"/>
      <c r="P121" s="58"/>
      <c r="Q121" s="59"/>
      <c r="R121" s="54"/>
      <c r="S121" s="55"/>
    </row>
    <row r="122" spans="1:19" x14ac:dyDescent="0.25">
      <c r="K122" s="58"/>
      <c r="L122" s="59"/>
      <c r="M122" s="54"/>
      <c r="N122" s="55"/>
      <c r="P122" s="58"/>
      <c r="Q122" s="59"/>
      <c r="R122" s="54"/>
      <c r="S122" s="55"/>
    </row>
    <row r="123" spans="1:19" x14ac:dyDescent="0.25">
      <c r="K123" s="58"/>
      <c r="L123" s="59"/>
      <c r="M123" s="54"/>
      <c r="N123" s="55"/>
      <c r="P123" s="58"/>
      <c r="Q123" s="59"/>
      <c r="R123" s="54"/>
      <c r="S123" s="55"/>
    </row>
    <row r="124" spans="1:19" x14ac:dyDescent="0.25">
      <c r="K124" s="58"/>
      <c r="L124" s="59"/>
      <c r="M124" s="54"/>
      <c r="N124" s="55"/>
      <c r="P124" s="58"/>
      <c r="Q124" s="59"/>
      <c r="R124" s="54"/>
      <c r="S124" s="55"/>
    </row>
    <row r="125" spans="1:19" x14ac:dyDescent="0.25">
      <c r="K125" s="58"/>
      <c r="L125" s="59"/>
      <c r="M125" s="54"/>
      <c r="N125" s="55"/>
      <c r="P125" s="58"/>
      <c r="Q125" s="59"/>
      <c r="R125" s="54"/>
      <c r="S125" s="55"/>
    </row>
    <row r="126" spans="1:19" x14ac:dyDescent="0.25">
      <c r="K126" s="58"/>
      <c r="L126" s="59"/>
      <c r="M126" s="54"/>
      <c r="N126" s="55"/>
      <c r="P126" s="58"/>
      <c r="Q126" s="59"/>
      <c r="R126" s="54"/>
      <c r="S126" s="55"/>
    </row>
    <row r="127" spans="1:19" x14ac:dyDescent="0.25">
      <c r="K127" s="58"/>
      <c r="L127" s="59"/>
      <c r="M127" s="54"/>
      <c r="N127" s="55"/>
      <c r="P127" s="58"/>
      <c r="Q127" s="59"/>
      <c r="R127" s="54"/>
      <c r="S127" s="55"/>
    </row>
    <row r="128" spans="1:19" x14ac:dyDescent="0.25">
      <c r="K128" s="58"/>
      <c r="L128" s="59"/>
      <c r="M128" s="54"/>
      <c r="N128" s="55"/>
      <c r="P128" s="58"/>
      <c r="Q128" s="59"/>
      <c r="R128" s="54"/>
      <c r="S128" s="55"/>
    </row>
    <row r="129" spans="11:19" x14ac:dyDescent="0.25">
      <c r="K129" s="58"/>
      <c r="L129" s="59"/>
      <c r="M129" s="54"/>
      <c r="N129" s="55"/>
      <c r="P129" s="58"/>
      <c r="Q129" s="59"/>
      <c r="R129" s="54"/>
      <c r="S129" s="55"/>
    </row>
    <row r="130" spans="11:19" x14ac:dyDescent="0.25">
      <c r="K130" s="58"/>
      <c r="L130" s="59"/>
      <c r="M130" s="54"/>
      <c r="N130" s="55"/>
      <c r="P130" s="58"/>
      <c r="Q130" s="59"/>
      <c r="R130" s="54"/>
      <c r="S130" s="55"/>
    </row>
    <row r="131" spans="11:19" x14ac:dyDescent="0.25">
      <c r="K131" s="58"/>
      <c r="L131" s="59"/>
      <c r="M131" s="54"/>
      <c r="N131" s="55"/>
      <c r="P131" s="58"/>
      <c r="Q131" s="59"/>
      <c r="R131" s="54"/>
      <c r="S131" s="55"/>
    </row>
    <row r="132" spans="11:19" x14ac:dyDescent="0.25">
      <c r="K132" s="58"/>
      <c r="L132" s="59"/>
      <c r="M132" s="54"/>
      <c r="N132" s="55"/>
      <c r="P132" s="58"/>
      <c r="Q132" s="59"/>
      <c r="R132" s="54"/>
      <c r="S132" s="55"/>
    </row>
    <row r="133" spans="11:19" x14ac:dyDescent="0.25">
      <c r="K133" s="58"/>
      <c r="L133" s="59"/>
      <c r="M133" s="54"/>
      <c r="N133" s="55"/>
      <c r="P133" s="58"/>
      <c r="Q133" s="59"/>
      <c r="R133" s="54"/>
      <c r="S133" s="55"/>
    </row>
    <row r="134" spans="11:19" x14ac:dyDescent="0.25">
      <c r="K134" s="58"/>
      <c r="L134" s="59"/>
      <c r="M134" s="54"/>
      <c r="N134" s="55"/>
      <c r="P134" s="58"/>
      <c r="Q134" s="59"/>
      <c r="R134" s="54"/>
      <c r="S134" s="55"/>
    </row>
    <row r="135" spans="11:19" x14ac:dyDescent="0.25">
      <c r="K135" s="58"/>
      <c r="L135" s="59"/>
      <c r="M135" s="54"/>
      <c r="N135" s="55"/>
      <c r="P135" s="58"/>
      <c r="Q135" s="59"/>
      <c r="R135" s="54"/>
      <c r="S135" s="55"/>
    </row>
    <row r="136" spans="11:19" x14ac:dyDescent="0.25">
      <c r="K136" s="58"/>
      <c r="L136" s="59"/>
      <c r="M136" s="54"/>
      <c r="N136" s="55"/>
      <c r="P136" s="58"/>
      <c r="Q136" s="59"/>
      <c r="R136" s="54"/>
      <c r="S136" s="55"/>
    </row>
    <row r="137" spans="11:19" x14ac:dyDescent="0.25">
      <c r="K137" s="58"/>
      <c r="L137" s="59"/>
      <c r="M137" s="54"/>
      <c r="N137" s="55"/>
      <c r="P137" s="58"/>
      <c r="Q137" s="59"/>
      <c r="R137" s="54"/>
      <c r="S137" s="55"/>
    </row>
    <row r="138" spans="11:19" x14ac:dyDescent="0.25">
      <c r="K138" s="58"/>
      <c r="L138" s="59"/>
      <c r="M138" s="54"/>
      <c r="N138" s="55"/>
      <c r="P138" s="58"/>
      <c r="Q138" s="59"/>
      <c r="R138" s="54"/>
      <c r="S138" s="55"/>
    </row>
    <row r="139" spans="11:19" x14ac:dyDescent="0.25">
      <c r="K139" s="58"/>
      <c r="L139" s="59"/>
      <c r="M139" s="54"/>
      <c r="N139" s="55"/>
      <c r="P139" s="58"/>
      <c r="Q139" s="59"/>
      <c r="R139" s="54"/>
      <c r="S139" s="55"/>
    </row>
    <row r="140" spans="11:19" x14ac:dyDescent="0.25">
      <c r="K140" s="58"/>
      <c r="L140" s="59"/>
      <c r="M140" s="54"/>
      <c r="N140" s="55"/>
      <c r="P140" s="58"/>
      <c r="Q140" s="59"/>
      <c r="R140" s="54"/>
      <c r="S140" s="55"/>
    </row>
    <row r="141" spans="11:19" x14ac:dyDescent="0.25">
      <c r="K141" s="58"/>
      <c r="L141" s="59"/>
      <c r="M141" s="54"/>
      <c r="N141" s="55"/>
      <c r="P141" s="58"/>
      <c r="Q141" s="59"/>
      <c r="R141" s="54"/>
      <c r="S141" s="55"/>
    </row>
    <row r="142" spans="11:19" x14ac:dyDescent="0.25">
      <c r="K142" s="58"/>
      <c r="L142" s="59"/>
      <c r="M142" s="54"/>
      <c r="N142" s="55"/>
      <c r="P142" s="58"/>
      <c r="Q142" s="59"/>
      <c r="R142" s="54"/>
      <c r="S142" s="55"/>
    </row>
    <row r="143" spans="11:19" x14ac:dyDescent="0.25">
      <c r="K143" s="58"/>
      <c r="L143" s="59"/>
      <c r="M143" s="54"/>
      <c r="N143" s="55"/>
      <c r="P143" s="58"/>
      <c r="Q143" s="59"/>
      <c r="R143" s="54"/>
      <c r="S143" s="55"/>
    </row>
    <row r="144" spans="11:19" x14ac:dyDescent="0.25">
      <c r="K144" s="58"/>
      <c r="L144" s="59"/>
      <c r="M144" s="54"/>
      <c r="N144" s="55"/>
      <c r="P144" s="58"/>
      <c r="Q144" s="59"/>
      <c r="R144" s="54"/>
      <c r="S144" s="55"/>
    </row>
    <row r="145" spans="11:19" x14ac:dyDescent="0.25">
      <c r="K145" s="58"/>
      <c r="L145" s="59"/>
      <c r="M145" s="54"/>
      <c r="N145" s="55"/>
      <c r="P145" s="58"/>
      <c r="Q145" s="59"/>
      <c r="R145" s="54"/>
      <c r="S145" s="55"/>
    </row>
    <row r="146" spans="11:19" x14ac:dyDescent="0.25">
      <c r="K146" s="58"/>
      <c r="L146" s="59"/>
      <c r="M146" s="54"/>
      <c r="N146" s="55"/>
      <c r="P146" s="58"/>
      <c r="Q146" s="59"/>
      <c r="R146" s="54"/>
      <c r="S146" s="55"/>
    </row>
    <row r="147" spans="11:19" x14ac:dyDescent="0.25">
      <c r="K147" s="58"/>
      <c r="L147" s="59"/>
      <c r="M147" s="54"/>
      <c r="N147" s="55"/>
      <c r="P147" s="58"/>
      <c r="Q147" s="59"/>
      <c r="R147" s="54"/>
      <c r="S147" s="55"/>
    </row>
    <row r="148" spans="11:19" x14ac:dyDescent="0.25">
      <c r="K148" s="58"/>
      <c r="L148" s="59"/>
      <c r="M148" s="54"/>
      <c r="N148" s="55"/>
      <c r="P148" s="58"/>
      <c r="Q148" s="59"/>
      <c r="R148" s="54"/>
      <c r="S148" s="55"/>
    </row>
    <row r="149" spans="11:19" x14ac:dyDescent="0.25">
      <c r="K149" s="58"/>
      <c r="L149" s="59"/>
      <c r="M149" s="54"/>
      <c r="N149" s="55"/>
      <c r="P149" s="58"/>
      <c r="Q149" s="59"/>
      <c r="R149" s="54"/>
      <c r="S149" s="55"/>
    </row>
    <row r="150" spans="11:19" x14ac:dyDescent="0.25">
      <c r="K150" s="58"/>
      <c r="L150" s="59"/>
      <c r="M150" s="54"/>
      <c r="N150" s="55"/>
      <c r="P150" s="58"/>
      <c r="Q150" s="59"/>
      <c r="R150" s="54"/>
      <c r="S150" s="55"/>
    </row>
    <row r="151" spans="11:19" x14ac:dyDescent="0.25">
      <c r="K151" s="58"/>
      <c r="L151" s="59"/>
      <c r="M151" s="54"/>
      <c r="N151" s="55"/>
      <c r="P151" s="58"/>
      <c r="Q151" s="59"/>
      <c r="R151" s="54"/>
      <c r="S151" s="55"/>
    </row>
    <row r="152" spans="11:19" x14ac:dyDescent="0.25">
      <c r="K152" s="58"/>
      <c r="L152" s="59"/>
      <c r="M152" s="54"/>
      <c r="N152" s="55"/>
      <c r="P152" s="58"/>
      <c r="Q152" s="59"/>
      <c r="R152" s="54"/>
      <c r="S152" s="55"/>
    </row>
    <row r="153" spans="11:19" x14ac:dyDescent="0.25">
      <c r="K153" s="58"/>
      <c r="L153" s="59"/>
      <c r="M153" s="54"/>
      <c r="N153" s="55"/>
      <c r="P153" s="58"/>
      <c r="Q153" s="59"/>
      <c r="R153" s="54"/>
      <c r="S153" s="55"/>
    </row>
    <row r="154" spans="11:19" x14ac:dyDescent="0.25">
      <c r="K154" s="58"/>
      <c r="L154" s="59"/>
      <c r="M154" s="54"/>
      <c r="N154" s="55"/>
      <c r="P154" s="58"/>
      <c r="Q154" s="59"/>
      <c r="R154" s="54"/>
      <c r="S154" s="55"/>
    </row>
    <row r="155" spans="11:19" x14ac:dyDescent="0.25">
      <c r="K155" s="58"/>
      <c r="L155" s="59"/>
      <c r="M155" s="54"/>
      <c r="N155" s="55"/>
      <c r="P155" s="58"/>
      <c r="Q155" s="59"/>
      <c r="R155" s="54"/>
      <c r="S155" s="55"/>
    </row>
    <row r="156" spans="11:19" x14ac:dyDescent="0.25">
      <c r="K156" s="58"/>
      <c r="L156" s="59"/>
      <c r="M156" s="54"/>
      <c r="N156" s="55"/>
      <c r="P156" s="58"/>
      <c r="Q156" s="59"/>
      <c r="R156" s="54"/>
      <c r="S156" s="55"/>
    </row>
    <row r="157" spans="11:19" x14ac:dyDescent="0.25">
      <c r="K157" s="58"/>
      <c r="L157" s="59"/>
      <c r="M157" s="54"/>
      <c r="N157" s="55"/>
      <c r="P157" s="58"/>
      <c r="Q157" s="59"/>
      <c r="R157" s="54"/>
      <c r="S157" s="55"/>
    </row>
    <row r="158" spans="11:19" x14ac:dyDescent="0.25">
      <c r="K158" s="58"/>
      <c r="L158" s="59"/>
      <c r="M158" s="54"/>
      <c r="N158" s="55"/>
      <c r="P158" s="58"/>
      <c r="Q158" s="59"/>
      <c r="R158" s="54"/>
      <c r="S158" s="55"/>
    </row>
    <row r="159" spans="11:19" x14ac:dyDescent="0.25">
      <c r="K159" s="58"/>
      <c r="L159" s="59"/>
      <c r="M159" s="54"/>
      <c r="N159" s="55"/>
      <c r="P159" s="58"/>
      <c r="Q159" s="59"/>
      <c r="R159" s="54"/>
      <c r="S159" s="55"/>
    </row>
    <row r="160" spans="11:19" x14ac:dyDescent="0.25">
      <c r="K160" s="58"/>
      <c r="L160" s="59"/>
      <c r="M160" s="54"/>
      <c r="N160" s="55"/>
      <c r="P160" s="58"/>
      <c r="Q160" s="59"/>
      <c r="R160" s="54"/>
      <c r="S160" s="55"/>
    </row>
    <row r="161" spans="11:19" x14ac:dyDescent="0.25">
      <c r="K161" s="58"/>
      <c r="L161" s="59"/>
      <c r="M161" s="54"/>
      <c r="N161" s="55"/>
      <c r="P161" s="58"/>
      <c r="Q161" s="59"/>
      <c r="R161" s="54"/>
      <c r="S161" s="55"/>
    </row>
    <row r="162" spans="11:19" x14ac:dyDescent="0.25">
      <c r="K162" s="58"/>
      <c r="L162" s="59"/>
      <c r="M162" s="54"/>
      <c r="N162" s="55"/>
      <c r="P162" s="58"/>
      <c r="Q162" s="59"/>
      <c r="R162" s="54"/>
      <c r="S162" s="55"/>
    </row>
    <row r="163" spans="11:19" x14ac:dyDescent="0.25">
      <c r="K163" s="58"/>
      <c r="L163" s="59"/>
      <c r="M163" s="54"/>
      <c r="N163" s="55"/>
      <c r="P163" s="58"/>
      <c r="Q163" s="59"/>
      <c r="R163" s="54"/>
      <c r="S163" s="55"/>
    </row>
    <row r="164" spans="11:19" x14ac:dyDescent="0.25">
      <c r="K164" s="58"/>
      <c r="L164" s="59"/>
      <c r="M164" s="54"/>
      <c r="N164" s="55"/>
      <c r="P164" s="58"/>
      <c r="Q164" s="59"/>
      <c r="R164" s="54"/>
      <c r="S164" s="55"/>
    </row>
    <row r="165" spans="11:19" x14ac:dyDescent="0.25">
      <c r="K165" s="58"/>
      <c r="L165" s="59"/>
      <c r="M165" s="54"/>
      <c r="N165" s="55"/>
      <c r="P165" s="58"/>
      <c r="Q165" s="59"/>
      <c r="R165" s="54"/>
      <c r="S165" s="55"/>
    </row>
    <row r="166" spans="11:19" x14ac:dyDescent="0.25">
      <c r="K166" s="58"/>
      <c r="L166" s="59"/>
      <c r="M166" s="54"/>
      <c r="N166" s="55"/>
      <c r="P166" s="58"/>
      <c r="Q166" s="59"/>
      <c r="R166" s="54"/>
      <c r="S166" s="55"/>
    </row>
    <row r="167" spans="11:19" x14ac:dyDescent="0.25">
      <c r="K167" s="58"/>
      <c r="L167" s="59"/>
      <c r="M167" s="54"/>
      <c r="N167" s="55"/>
      <c r="P167" s="58"/>
      <c r="Q167" s="59"/>
      <c r="R167" s="54"/>
      <c r="S167" s="55"/>
    </row>
    <row r="168" spans="11:19" x14ac:dyDescent="0.25">
      <c r="K168" s="58"/>
      <c r="L168" s="59"/>
      <c r="M168" s="54"/>
      <c r="N168" s="55"/>
      <c r="P168" s="58"/>
      <c r="Q168" s="59"/>
      <c r="R168" s="54"/>
      <c r="S168" s="55"/>
    </row>
    <row r="169" spans="11:19" x14ac:dyDescent="0.25">
      <c r="K169" s="58"/>
      <c r="L169" s="59"/>
      <c r="M169" s="54"/>
      <c r="N169" s="55"/>
      <c r="P169" s="58"/>
      <c r="Q169" s="59"/>
      <c r="R169" s="54"/>
      <c r="S169" s="55"/>
    </row>
    <row r="170" spans="11:19" x14ac:dyDescent="0.25">
      <c r="K170" s="58"/>
      <c r="L170" s="59"/>
      <c r="M170" s="54"/>
      <c r="N170" s="55"/>
      <c r="P170" s="58"/>
      <c r="Q170" s="59"/>
      <c r="R170" s="54"/>
      <c r="S170" s="55"/>
    </row>
    <row r="171" spans="11:19" x14ac:dyDescent="0.25">
      <c r="K171" s="58"/>
      <c r="L171" s="59"/>
      <c r="M171" s="54"/>
      <c r="N171" s="55"/>
      <c r="P171" s="58"/>
      <c r="Q171" s="59"/>
      <c r="R171" s="54"/>
      <c r="S171" s="55"/>
    </row>
    <row r="172" spans="11:19" x14ac:dyDescent="0.25">
      <c r="K172" s="58"/>
      <c r="L172" s="59"/>
      <c r="M172" s="54"/>
      <c r="N172" s="55"/>
      <c r="P172" s="58"/>
      <c r="Q172" s="59"/>
      <c r="R172" s="54"/>
      <c r="S172" s="55"/>
    </row>
    <row r="173" spans="11:19" x14ac:dyDescent="0.25">
      <c r="K173" s="58"/>
      <c r="L173" s="59"/>
      <c r="M173" s="54"/>
      <c r="N173" s="55"/>
      <c r="P173" s="58"/>
      <c r="Q173" s="59"/>
      <c r="R173" s="54"/>
      <c r="S173" s="55"/>
    </row>
    <row r="174" spans="11:19" x14ac:dyDescent="0.25">
      <c r="K174" s="58"/>
      <c r="L174" s="59"/>
      <c r="M174" s="54"/>
      <c r="N174" s="55"/>
      <c r="P174" s="58"/>
      <c r="Q174" s="59"/>
      <c r="R174" s="54"/>
      <c r="S174" s="55"/>
    </row>
    <row r="175" spans="11:19" x14ac:dyDescent="0.25">
      <c r="K175" s="58"/>
      <c r="L175" s="59"/>
      <c r="M175" s="54"/>
      <c r="N175" s="55"/>
      <c r="P175" s="58"/>
      <c r="Q175" s="59"/>
      <c r="R175" s="54"/>
      <c r="S175" s="55"/>
    </row>
    <row r="176" spans="11:19" x14ac:dyDescent="0.25">
      <c r="K176" s="58"/>
      <c r="L176" s="59"/>
      <c r="M176" s="54"/>
      <c r="N176" s="55"/>
      <c r="P176" s="58"/>
      <c r="Q176" s="59"/>
      <c r="R176" s="54"/>
      <c r="S176" s="55"/>
    </row>
    <row r="177" spans="11:19" x14ac:dyDescent="0.25">
      <c r="K177" s="58"/>
      <c r="L177" s="59"/>
      <c r="M177" s="54"/>
      <c r="N177" s="55"/>
      <c r="P177" s="58"/>
      <c r="Q177" s="59"/>
      <c r="R177" s="54"/>
      <c r="S177" s="55"/>
    </row>
    <row r="178" spans="11:19" x14ac:dyDescent="0.25">
      <c r="K178" s="58"/>
      <c r="L178" s="59"/>
      <c r="M178" s="54"/>
      <c r="N178" s="55"/>
      <c r="P178" s="58"/>
      <c r="Q178" s="59"/>
      <c r="R178" s="54"/>
      <c r="S178" s="55"/>
    </row>
    <row r="179" spans="11:19" x14ac:dyDescent="0.25">
      <c r="K179" s="58"/>
      <c r="L179" s="59"/>
      <c r="M179" s="54"/>
      <c r="N179" s="55"/>
      <c r="P179" s="58"/>
      <c r="Q179" s="59"/>
      <c r="R179" s="54"/>
      <c r="S179" s="55"/>
    </row>
    <row r="180" spans="11:19" x14ac:dyDescent="0.25">
      <c r="K180" s="58"/>
      <c r="L180" s="59"/>
      <c r="M180" s="54"/>
      <c r="N180" s="55"/>
      <c r="P180" s="58"/>
      <c r="Q180" s="59"/>
      <c r="R180" s="54"/>
      <c r="S180" s="55"/>
    </row>
    <row r="181" spans="11:19" x14ac:dyDescent="0.25">
      <c r="K181" s="58"/>
      <c r="L181" s="59"/>
      <c r="M181" s="54"/>
      <c r="N181" s="55"/>
      <c r="P181" s="58"/>
      <c r="Q181" s="59"/>
      <c r="R181" s="54"/>
      <c r="S181" s="55"/>
    </row>
    <row r="182" spans="11:19" x14ac:dyDescent="0.25">
      <c r="K182" s="58"/>
      <c r="L182" s="59"/>
      <c r="M182" s="54"/>
      <c r="N182" s="55"/>
      <c r="P182" s="58"/>
      <c r="Q182" s="59"/>
      <c r="R182" s="54"/>
      <c r="S182" s="55"/>
    </row>
    <row r="183" spans="11:19" x14ac:dyDescent="0.25">
      <c r="K183" s="58"/>
      <c r="L183" s="59"/>
      <c r="M183" s="54"/>
      <c r="N183" s="55"/>
      <c r="P183" s="58"/>
      <c r="Q183" s="59"/>
      <c r="R183" s="54"/>
      <c r="S183" s="55"/>
    </row>
    <row r="184" spans="11:19" x14ac:dyDescent="0.25">
      <c r="K184" s="58"/>
      <c r="L184" s="59"/>
      <c r="M184" s="54"/>
      <c r="N184" s="55"/>
      <c r="P184" s="58"/>
      <c r="Q184" s="59"/>
      <c r="R184" s="54"/>
      <c r="S184" s="55"/>
    </row>
    <row r="185" spans="11:19" x14ac:dyDescent="0.25">
      <c r="K185" s="58"/>
      <c r="L185" s="59"/>
      <c r="M185" s="54"/>
      <c r="N185" s="55"/>
      <c r="P185" s="58"/>
      <c r="Q185" s="59"/>
      <c r="R185" s="54"/>
      <c r="S185" s="55"/>
    </row>
    <row r="186" spans="11:19" x14ac:dyDescent="0.25">
      <c r="K186" s="58"/>
      <c r="L186" s="59"/>
      <c r="M186" s="54"/>
      <c r="N186" s="55"/>
      <c r="P186" s="58"/>
      <c r="Q186" s="59"/>
      <c r="R186" s="54"/>
      <c r="S186" s="55"/>
    </row>
    <row r="187" spans="11:19" x14ac:dyDescent="0.25">
      <c r="K187" s="58"/>
      <c r="L187" s="59"/>
      <c r="M187" s="54"/>
      <c r="N187" s="55"/>
      <c r="P187" s="58"/>
      <c r="Q187" s="59"/>
      <c r="R187" s="54"/>
      <c r="S187" s="55"/>
    </row>
    <row r="188" spans="11:19" x14ac:dyDescent="0.25">
      <c r="K188" s="58"/>
      <c r="L188" s="59"/>
      <c r="M188" s="54"/>
      <c r="N188" s="55"/>
      <c r="P188" s="58"/>
      <c r="Q188" s="59"/>
      <c r="R188" s="54"/>
      <c r="S188" s="55"/>
    </row>
    <row r="189" spans="11:19" x14ac:dyDescent="0.25">
      <c r="K189" s="58"/>
      <c r="L189" s="59"/>
      <c r="M189" s="54"/>
      <c r="N189" s="55"/>
      <c r="P189" s="58"/>
      <c r="Q189" s="59"/>
      <c r="R189" s="54"/>
      <c r="S189" s="55"/>
    </row>
    <row r="190" spans="11:19" x14ac:dyDescent="0.25">
      <c r="K190" s="58"/>
      <c r="L190" s="59"/>
      <c r="M190" s="54"/>
      <c r="N190" s="55"/>
      <c r="P190" s="58"/>
      <c r="Q190" s="59"/>
      <c r="R190" s="54"/>
      <c r="S190" s="55"/>
    </row>
    <row r="191" spans="11:19" x14ac:dyDescent="0.25">
      <c r="K191" s="58"/>
      <c r="L191" s="59"/>
      <c r="M191" s="54"/>
      <c r="N191" s="55"/>
      <c r="P191" s="58"/>
      <c r="Q191" s="59"/>
      <c r="R191" s="54"/>
      <c r="S191" s="55"/>
    </row>
    <row r="192" spans="11:19" x14ac:dyDescent="0.25">
      <c r="K192" s="58"/>
      <c r="L192" s="59"/>
      <c r="M192" s="54"/>
      <c r="N192" s="55"/>
      <c r="P192" s="58"/>
      <c r="Q192" s="59"/>
      <c r="R192" s="54"/>
      <c r="S192" s="55"/>
    </row>
    <row r="193" spans="11:19" x14ac:dyDescent="0.25">
      <c r="K193" s="58"/>
      <c r="L193" s="59"/>
      <c r="M193" s="54"/>
      <c r="N193" s="55"/>
      <c r="P193" s="58"/>
      <c r="Q193" s="59"/>
      <c r="R193" s="54"/>
      <c r="S193" s="55"/>
    </row>
    <row r="194" spans="11:19" x14ac:dyDescent="0.25">
      <c r="K194" s="58"/>
      <c r="L194" s="59"/>
      <c r="M194" s="54"/>
      <c r="N194" s="55"/>
      <c r="P194" s="58"/>
      <c r="Q194" s="59"/>
      <c r="R194" s="54"/>
      <c r="S194" s="55"/>
    </row>
    <row r="195" spans="11:19" x14ac:dyDescent="0.25">
      <c r="K195" s="58"/>
      <c r="L195" s="59"/>
      <c r="M195" s="54"/>
      <c r="N195" s="55"/>
      <c r="P195" s="58"/>
      <c r="Q195" s="59"/>
      <c r="R195" s="54"/>
      <c r="S195" s="55"/>
    </row>
    <row r="196" spans="11:19" x14ac:dyDescent="0.25">
      <c r="K196" s="58"/>
      <c r="L196" s="59"/>
      <c r="M196" s="54"/>
      <c r="N196" s="55"/>
      <c r="P196" s="58"/>
      <c r="Q196" s="59"/>
      <c r="R196" s="54"/>
      <c r="S196" s="55"/>
    </row>
    <row r="197" spans="11:19" x14ac:dyDescent="0.25">
      <c r="K197" s="58"/>
      <c r="L197" s="59"/>
      <c r="M197" s="54"/>
      <c r="N197" s="55"/>
      <c r="P197" s="58"/>
      <c r="Q197" s="59"/>
      <c r="R197" s="54"/>
      <c r="S197" s="55"/>
    </row>
    <row r="198" spans="11:19" x14ac:dyDescent="0.25">
      <c r="K198" s="58"/>
      <c r="L198" s="59"/>
      <c r="M198" s="54"/>
      <c r="N198" s="55"/>
      <c r="P198" s="58"/>
      <c r="Q198" s="59"/>
      <c r="R198" s="54"/>
      <c r="S198" s="55"/>
    </row>
    <row r="199" spans="11:19" x14ac:dyDescent="0.25">
      <c r="K199" s="58"/>
      <c r="L199" s="59"/>
      <c r="M199" s="54"/>
      <c r="N199" s="55"/>
      <c r="P199" s="58"/>
      <c r="Q199" s="59"/>
      <c r="R199" s="54"/>
      <c r="S199" s="55"/>
    </row>
    <row r="200" spans="11:19" x14ac:dyDescent="0.25">
      <c r="K200" s="58"/>
      <c r="L200" s="59"/>
      <c r="M200" s="54"/>
      <c r="N200" s="55"/>
      <c r="P200" s="58"/>
      <c r="Q200" s="59"/>
      <c r="R200" s="54"/>
      <c r="S200" s="55"/>
    </row>
    <row r="201" spans="11:19" x14ac:dyDescent="0.25">
      <c r="K201" s="58"/>
      <c r="L201" s="59"/>
      <c r="M201" s="54"/>
      <c r="N201" s="55"/>
      <c r="P201" s="58"/>
      <c r="Q201" s="59"/>
      <c r="R201" s="54"/>
      <c r="S201" s="55"/>
    </row>
    <row r="202" spans="11:19" x14ac:dyDescent="0.25">
      <c r="K202" s="58"/>
      <c r="L202" s="59"/>
      <c r="M202" s="54"/>
      <c r="N202" s="55"/>
      <c r="P202" s="58"/>
      <c r="Q202" s="59"/>
      <c r="R202" s="54"/>
      <c r="S202" s="55"/>
    </row>
    <row r="203" spans="11:19" x14ac:dyDescent="0.25">
      <c r="K203" s="58"/>
      <c r="L203" s="59"/>
      <c r="M203" s="54"/>
      <c r="N203" s="55"/>
      <c r="P203" s="58"/>
      <c r="Q203" s="59"/>
      <c r="R203" s="54"/>
      <c r="S203" s="55"/>
    </row>
    <row r="204" spans="11:19" x14ac:dyDescent="0.25">
      <c r="K204" s="58"/>
      <c r="L204" s="59"/>
      <c r="M204" s="54"/>
      <c r="N204" s="55"/>
      <c r="P204" s="58"/>
      <c r="Q204" s="59"/>
      <c r="R204" s="54"/>
      <c r="S204" s="55"/>
    </row>
    <row r="205" spans="11:19" x14ac:dyDescent="0.25">
      <c r="K205" s="58"/>
      <c r="L205" s="59"/>
      <c r="M205" s="54"/>
      <c r="N205" s="55"/>
      <c r="P205" s="58"/>
      <c r="Q205" s="59"/>
      <c r="R205" s="54"/>
      <c r="S205" s="55"/>
    </row>
    <row r="206" spans="11:19" x14ac:dyDescent="0.25">
      <c r="K206" s="58"/>
      <c r="L206" s="59"/>
      <c r="M206" s="54"/>
      <c r="N206" s="55"/>
      <c r="P206" s="58"/>
      <c r="Q206" s="59"/>
      <c r="R206" s="54"/>
      <c r="S206" s="55"/>
    </row>
    <row r="207" spans="11:19" x14ac:dyDescent="0.25">
      <c r="K207" s="58"/>
      <c r="L207" s="59"/>
      <c r="M207" s="54"/>
      <c r="N207" s="55"/>
      <c r="P207" s="58"/>
      <c r="Q207" s="59"/>
      <c r="R207" s="54"/>
      <c r="S207" s="55"/>
    </row>
    <row r="208" spans="11:19" x14ac:dyDescent="0.25">
      <c r="K208" s="58"/>
      <c r="L208" s="59"/>
      <c r="M208" s="54"/>
      <c r="N208" s="55"/>
      <c r="P208" s="58"/>
      <c r="Q208" s="59"/>
      <c r="R208" s="54"/>
      <c r="S208" s="55"/>
    </row>
    <row r="209" spans="11:19" x14ac:dyDescent="0.25">
      <c r="K209" s="58"/>
      <c r="L209" s="59"/>
      <c r="M209" s="54"/>
      <c r="N209" s="55"/>
      <c r="P209" s="58"/>
      <c r="Q209" s="59"/>
      <c r="R209" s="54"/>
      <c r="S209" s="55"/>
    </row>
    <row r="210" spans="11:19" x14ac:dyDescent="0.25">
      <c r="K210" s="58"/>
      <c r="L210" s="59"/>
      <c r="M210" s="54"/>
      <c r="N210" s="55"/>
      <c r="P210" s="58"/>
      <c r="Q210" s="59"/>
      <c r="R210" s="54"/>
      <c r="S210" s="55"/>
    </row>
    <row r="211" spans="11:19" x14ac:dyDescent="0.25">
      <c r="K211" s="58"/>
      <c r="L211" s="59"/>
      <c r="M211" s="54"/>
      <c r="N211" s="55"/>
      <c r="P211" s="58"/>
      <c r="Q211" s="59"/>
      <c r="R211" s="54"/>
      <c r="S211" s="55"/>
    </row>
    <row r="212" spans="11:19" x14ac:dyDescent="0.25">
      <c r="K212" s="58"/>
      <c r="L212" s="59"/>
      <c r="M212" s="54"/>
      <c r="N212" s="55"/>
      <c r="P212" s="58"/>
      <c r="Q212" s="59"/>
      <c r="R212" s="54"/>
      <c r="S212" s="55"/>
    </row>
    <row r="213" spans="11:19" x14ac:dyDescent="0.25">
      <c r="K213" s="58"/>
      <c r="L213" s="59"/>
      <c r="M213" s="54"/>
      <c r="N213" s="55"/>
      <c r="P213" s="58"/>
      <c r="Q213" s="59"/>
      <c r="R213" s="54"/>
      <c r="S213" s="55"/>
    </row>
    <row r="214" spans="11:19" x14ac:dyDescent="0.25">
      <c r="K214" s="58"/>
      <c r="L214" s="59"/>
      <c r="M214" s="54"/>
      <c r="N214" s="55"/>
      <c r="P214" s="58"/>
      <c r="Q214" s="59"/>
      <c r="R214" s="54"/>
      <c r="S214" s="55"/>
    </row>
    <row r="215" spans="11:19" x14ac:dyDescent="0.25">
      <c r="K215" s="58"/>
      <c r="L215" s="59"/>
      <c r="M215" s="54"/>
      <c r="N215" s="55"/>
      <c r="P215" s="58"/>
      <c r="Q215" s="59"/>
      <c r="R215" s="54"/>
      <c r="S215" s="55"/>
    </row>
    <row r="216" spans="11:19" x14ac:dyDescent="0.25">
      <c r="K216" s="58"/>
      <c r="L216" s="59"/>
      <c r="M216" s="54"/>
      <c r="N216" s="55"/>
      <c r="P216" s="58"/>
      <c r="Q216" s="59"/>
      <c r="R216" s="54"/>
      <c r="S216" s="55"/>
    </row>
    <row r="217" spans="11:19" x14ac:dyDescent="0.25">
      <c r="K217" s="58"/>
      <c r="L217" s="59"/>
      <c r="M217" s="54"/>
      <c r="N217" s="55"/>
      <c r="P217" s="58"/>
      <c r="Q217" s="59"/>
      <c r="R217" s="54"/>
      <c r="S217" s="55"/>
    </row>
    <row r="218" spans="11:19" x14ac:dyDescent="0.25">
      <c r="K218" s="58"/>
      <c r="L218" s="59"/>
      <c r="M218" s="54"/>
      <c r="N218" s="55"/>
      <c r="P218" s="58"/>
      <c r="Q218" s="59"/>
      <c r="R218" s="54"/>
      <c r="S218" s="55"/>
    </row>
    <row r="219" spans="11:19" x14ac:dyDescent="0.25">
      <c r="K219" s="58"/>
      <c r="L219" s="59"/>
      <c r="M219" s="54"/>
      <c r="N219" s="55"/>
      <c r="P219" s="58"/>
      <c r="Q219" s="59"/>
      <c r="R219" s="54"/>
      <c r="S219" s="55"/>
    </row>
    <row r="220" spans="11:19" x14ac:dyDescent="0.25">
      <c r="K220" s="58"/>
      <c r="L220" s="59"/>
      <c r="M220" s="54"/>
      <c r="N220" s="55"/>
      <c r="P220" s="58"/>
      <c r="Q220" s="59"/>
      <c r="R220" s="54"/>
      <c r="S220" s="55"/>
    </row>
    <row r="221" spans="11:19" x14ac:dyDescent="0.25">
      <c r="K221" s="58"/>
      <c r="L221" s="59"/>
      <c r="M221" s="54"/>
      <c r="N221" s="55"/>
      <c r="P221" s="58"/>
      <c r="Q221" s="59"/>
      <c r="R221" s="54"/>
      <c r="S221" s="55"/>
    </row>
    <row r="222" spans="11:19" x14ac:dyDescent="0.25">
      <c r="K222" s="58"/>
      <c r="L222" s="59"/>
      <c r="M222" s="54"/>
      <c r="N222" s="55"/>
      <c r="P222" s="58"/>
      <c r="Q222" s="59"/>
      <c r="R222" s="54"/>
      <c r="S222" s="55"/>
    </row>
    <row r="223" spans="11:19" x14ac:dyDescent="0.25">
      <c r="K223" s="58"/>
      <c r="L223" s="59"/>
      <c r="M223" s="54"/>
      <c r="N223" s="55"/>
      <c r="P223" s="58"/>
      <c r="Q223" s="59"/>
      <c r="R223" s="54"/>
      <c r="S223" s="55"/>
    </row>
    <row r="224" spans="11:19" x14ac:dyDescent="0.25">
      <c r="K224" s="58"/>
      <c r="L224" s="59"/>
      <c r="M224" s="54"/>
      <c r="N224" s="55"/>
      <c r="P224" s="58"/>
      <c r="Q224" s="59"/>
      <c r="R224" s="54"/>
      <c r="S224" s="55"/>
    </row>
    <row r="225" spans="11:19" x14ac:dyDescent="0.25">
      <c r="K225" s="58"/>
      <c r="L225" s="59"/>
      <c r="M225" s="54"/>
      <c r="N225" s="55"/>
      <c r="P225" s="58"/>
      <c r="Q225" s="59"/>
      <c r="R225" s="54"/>
      <c r="S225" s="55"/>
    </row>
    <row r="226" spans="11:19" x14ac:dyDescent="0.25">
      <c r="K226" s="58"/>
      <c r="L226" s="59"/>
      <c r="M226" s="54"/>
      <c r="N226" s="55"/>
      <c r="P226" s="58"/>
      <c r="Q226" s="59"/>
      <c r="R226" s="54"/>
      <c r="S226" s="55"/>
    </row>
    <row r="227" spans="11:19" x14ac:dyDescent="0.25">
      <c r="K227" s="58"/>
      <c r="L227" s="59"/>
      <c r="M227" s="54"/>
      <c r="N227" s="55"/>
      <c r="P227" s="58"/>
      <c r="Q227" s="59"/>
      <c r="R227" s="54"/>
      <c r="S227" s="55"/>
    </row>
    <row r="228" spans="11:19" x14ac:dyDescent="0.25">
      <c r="K228" s="58"/>
      <c r="L228" s="59"/>
      <c r="M228" s="54"/>
      <c r="N228" s="55"/>
      <c r="P228" s="58"/>
      <c r="Q228" s="59"/>
      <c r="R228" s="54"/>
      <c r="S228" s="55"/>
    </row>
    <row r="229" spans="11:19" x14ac:dyDescent="0.25">
      <c r="K229" s="58"/>
      <c r="L229" s="59"/>
      <c r="M229" s="54"/>
      <c r="N229" s="55"/>
      <c r="P229" s="58"/>
      <c r="Q229" s="59"/>
      <c r="R229" s="54"/>
      <c r="S229" s="55"/>
    </row>
    <row r="230" spans="11:19" x14ac:dyDescent="0.25">
      <c r="K230" s="58"/>
      <c r="L230" s="59"/>
      <c r="M230" s="54"/>
      <c r="N230" s="55"/>
      <c r="P230" s="58"/>
      <c r="Q230" s="59"/>
      <c r="R230" s="54"/>
      <c r="S230" s="55"/>
    </row>
    <row r="231" spans="11:19" x14ac:dyDescent="0.25">
      <c r="K231" s="58"/>
      <c r="L231" s="59"/>
      <c r="M231" s="54"/>
      <c r="N231" s="55"/>
      <c r="P231" s="58"/>
      <c r="Q231" s="59"/>
      <c r="R231" s="54"/>
      <c r="S231" s="55"/>
    </row>
    <row r="232" spans="11:19" x14ac:dyDescent="0.25">
      <c r="K232" s="58"/>
      <c r="L232" s="59"/>
      <c r="M232" s="54"/>
      <c r="N232" s="55"/>
      <c r="P232" s="58"/>
      <c r="Q232" s="59"/>
      <c r="R232" s="54"/>
      <c r="S232" s="55"/>
    </row>
    <row r="233" spans="11:19" x14ac:dyDescent="0.25">
      <c r="K233" s="58"/>
      <c r="L233" s="59"/>
      <c r="M233" s="54"/>
      <c r="N233" s="55"/>
      <c r="P233" s="58"/>
      <c r="Q233" s="59"/>
      <c r="R233" s="54"/>
      <c r="S233" s="55"/>
    </row>
    <row r="234" spans="11:19" x14ac:dyDescent="0.25">
      <c r="K234" s="58"/>
      <c r="L234" s="59"/>
      <c r="M234" s="54"/>
      <c r="N234" s="55"/>
      <c r="P234" s="58"/>
      <c r="Q234" s="59"/>
      <c r="R234" s="54"/>
      <c r="S234" s="55"/>
    </row>
    <row r="235" spans="11:19" x14ac:dyDescent="0.25">
      <c r="K235" s="58"/>
      <c r="L235" s="59"/>
      <c r="M235" s="54"/>
      <c r="N235" s="55"/>
      <c r="P235" s="58"/>
      <c r="Q235" s="59"/>
      <c r="R235" s="54"/>
      <c r="S235" s="55"/>
    </row>
    <row r="236" spans="11:19" x14ac:dyDescent="0.25">
      <c r="K236" s="58"/>
      <c r="L236" s="59"/>
      <c r="M236" s="54"/>
      <c r="N236" s="55"/>
      <c r="P236" s="58"/>
      <c r="Q236" s="59"/>
      <c r="R236" s="54"/>
      <c r="S236" s="55"/>
    </row>
    <row r="237" spans="11:19" x14ac:dyDescent="0.25">
      <c r="K237" s="58"/>
      <c r="L237" s="59"/>
      <c r="M237" s="54"/>
      <c r="N237" s="55"/>
      <c r="P237" s="58"/>
      <c r="Q237" s="59"/>
      <c r="R237" s="54"/>
      <c r="S237" s="55"/>
    </row>
    <row r="238" spans="11:19" x14ac:dyDescent="0.25">
      <c r="K238" s="58"/>
      <c r="L238" s="59"/>
      <c r="M238" s="54"/>
      <c r="N238" s="55"/>
      <c r="P238" s="58"/>
      <c r="Q238" s="59"/>
      <c r="R238" s="54"/>
      <c r="S238" s="55"/>
    </row>
    <row r="239" spans="11:19" x14ac:dyDescent="0.25">
      <c r="K239" s="58"/>
      <c r="L239" s="59"/>
      <c r="M239" s="54"/>
      <c r="N239" s="55"/>
      <c r="P239" s="58"/>
      <c r="Q239" s="59"/>
      <c r="R239" s="54"/>
      <c r="S239" s="55"/>
    </row>
    <row r="240" spans="11:19" x14ac:dyDescent="0.25">
      <c r="K240" s="58"/>
      <c r="L240" s="59"/>
      <c r="M240" s="54"/>
      <c r="N240" s="55"/>
      <c r="P240" s="58"/>
      <c r="Q240" s="59"/>
      <c r="R240" s="54"/>
      <c r="S240" s="55"/>
    </row>
    <row r="241" spans="11:19" x14ac:dyDescent="0.25">
      <c r="K241" s="58"/>
      <c r="L241" s="59"/>
      <c r="M241" s="54"/>
      <c r="N241" s="55"/>
      <c r="P241" s="58"/>
      <c r="Q241" s="59"/>
      <c r="R241" s="54"/>
      <c r="S241" s="55"/>
    </row>
    <row r="242" spans="11:19" x14ac:dyDescent="0.25">
      <c r="K242" s="58"/>
      <c r="L242" s="59"/>
      <c r="M242" s="54"/>
      <c r="N242" s="55"/>
      <c r="P242" s="58"/>
      <c r="Q242" s="59"/>
      <c r="R242" s="54"/>
      <c r="S242" s="55"/>
    </row>
    <row r="243" spans="11:19" x14ac:dyDescent="0.25">
      <c r="K243" s="58"/>
      <c r="L243" s="59"/>
      <c r="M243" s="54"/>
      <c r="N243" s="55"/>
      <c r="P243" s="58"/>
      <c r="Q243" s="59"/>
      <c r="R243" s="54"/>
      <c r="S243" s="55"/>
    </row>
    <row r="244" spans="11:19" x14ac:dyDescent="0.25">
      <c r="K244" s="58"/>
      <c r="L244" s="59"/>
      <c r="M244" s="54"/>
      <c r="N244" s="55"/>
      <c r="P244" s="58"/>
      <c r="Q244" s="59"/>
      <c r="R244" s="54"/>
      <c r="S244" s="55"/>
    </row>
    <row r="245" spans="11:19" x14ac:dyDescent="0.25">
      <c r="K245" s="58"/>
      <c r="L245" s="59"/>
      <c r="M245" s="54"/>
      <c r="N245" s="55"/>
      <c r="P245" s="58"/>
      <c r="Q245" s="59"/>
      <c r="R245" s="54"/>
      <c r="S245" s="55"/>
    </row>
    <row r="246" spans="11:19" x14ac:dyDescent="0.25">
      <c r="K246" s="58"/>
      <c r="L246" s="59"/>
      <c r="M246" s="54"/>
      <c r="N246" s="55"/>
      <c r="P246" s="58"/>
      <c r="Q246" s="59"/>
      <c r="R246" s="54"/>
      <c r="S246" s="55"/>
    </row>
    <row r="247" spans="11:19" x14ac:dyDescent="0.25">
      <c r="K247" s="58"/>
      <c r="L247" s="59"/>
      <c r="M247" s="54"/>
      <c r="N247" s="55"/>
      <c r="P247" s="58"/>
      <c r="Q247" s="59"/>
      <c r="R247" s="54"/>
      <c r="S247" s="55"/>
    </row>
    <row r="248" spans="11:19" x14ac:dyDescent="0.25">
      <c r="K248" s="58"/>
      <c r="L248" s="59"/>
      <c r="M248" s="54"/>
      <c r="N248" s="55"/>
      <c r="P248" s="58"/>
      <c r="Q248" s="59"/>
      <c r="R248" s="54"/>
      <c r="S248" s="55"/>
    </row>
    <row r="249" spans="11:19" x14ac:dyDescent="0.25">
      <c r="K249" s="58"/>
      <c r="L249" s="59"/>
      <c r="M249" s="54"/>
      <c r="N249" s="55"/>
      <c r="P249" s="58"/>
      <c r="Q249" s="59"/>
      <c r="R249" s="54"/>
      <c r="S249" s="55"/>
    </row>
    <row r="250" spans="11:19" x14ac:dyDescent="0.25">
      <c r="K250" s="58"/>
      <c r="L250" s="59"/>
      <c r="M250" s="54"/>
      <c r="N250" s="55"/>
      <c r="P250" s="58"/>
      <c r="Q250" s="59"/>
      <c r="R250" s="54"/>
      <c r="S250" s="55"/>
    </row>
    <row r="251" spans="11:19" x14ac:dyDescent="0.25">
      <c r="K251" s="58"/>
      <c r="L251" s="59"/>
      <c r="M251" s="54"/>
      <c r="N251" s="55"/>
      <c r="P251" s="58"/>
      <c r="Q251" s="59"/>
      <c r="R251" s="54"/>
      <c r="S251" s="55"/>
    </row>
    <row r="252" spans="11:19" x14ac:dyDescent="0.25">
      <c r="K252" s="58"/>
      <c r="L252" s="59"/>
      <c r="M252" s="54"/>
      <c r="N252" s="55"/>
      <c r="P252" s="58"/>
      <c r="Q252" s="59"/>
      <c r="R252" s="54"/>
      <c r="S252" s="55"/>
    </row>
    <row r="253" spans="11:19" x14ac:dyDescent="0.25">
      <c r="K253" s="58"/>
      <c r="L253" s="59"/>
      <c r="M253" s="54"/>
      <c r="N253" s="55"/>
      <c r="P253" s="58"/>
      <c r="Q253" s="59"/>
      <c r="R253" s="54"/>
      <c r="S253" s="55"/>
    </row>
    <row r="254" spans="11:19" x14ac:dyDescent="0.25">
      <c r="K254" s="58"/>
      <c r="L254" s="59"/>
      <c r="M254" s="54"/>
      <c r="N254" s="55"/>
      <c r="P254" s="58"/>
      <c r="Q254" s="59"/>
      <c r="R254" s="54"/>
      <c r="S254" s="55"/>
    </row>
    <row r="255" spans="11:19" x14ac:dyDescent="0.25">
      <c r="K255" s="58"/>
      <c r="L255" s="59"/>
      <c r="M255" s="54"/>
      <c r="N255" s="55"/>
      <c r="P255" s="58"/>
      <c r="Q255" s="59"/>
      <c r="R255" s="54"/>
      <c r="S255" s="55"/>
    </row>
    <row r="256" spans="11:19" x14ac:dyDescent="0.25">
      <c r="K256" s="58"/>
      <c r="L256" s="59"/>
      <c r="M256" s="54"/>
      <c r="N256" s="55"/>
      <c r="P256" s="58"/>
      <c r="Q256" s="59"/>
      <c r="R256" s="54"/>
      <c r="S256" s="55"/>
    </row>
    <row r="257" spans="11:19" x14ac:dyDescent="0.25">
      <c r="K257" s="58"/>
      <c r="L257" s="59"/>
      <c r="M257" s="54"/>
      <c r="N257" s="55"/>
      <c r="P257" s="58"/>
      <c r="Q257" s="59"/>
      <c r="R257" s="54"/>
      <c r="S257" s="55"/>
    </row>
    <row r="258" spans="11:19" x14ac:dyDescent="0.25">
      <c r="K258" s="58"/>
      <c r="L258" s="59"/>
      <c r="M258" s="54"/>
      <c r="N258" s="55"/>
      <c r="P258" s="58"/>
      <c r="Q258" s="59"/>
      <c r="R258" s="54"/>
      <c r="S258" s="55"/>
    </row>
    <row r="259" spans="11:19" x14ac:dyDescent="0.25">
      <c r="K259" s="58"/>
      <c r="L259" s="59"/>
      <c r="M259" s="54"/>
      <c r="N259" s="55"/>
      <c r="P259" s="58"/>
      <c r="Q259" s="59"/>
      <c r="R259" s="54"/>
      <c r="S259" s="55"/>
    </row>
    <row r="260" spans="11:19" x14ac:dyDescent="0.25">
      <c r="K260" s="58"/>
      <c r="L260" s="59"/>
      <c r="M260" s="54"/>
      <c r="N260" s="55"/>
      <c r="P260" s="58"/>
      <c r="Q260" s="59"/>
      <c r="R260" s="54"/>
      <c r="S260" s="55"/>
    </row>
    <row r="261" spans="11:19" x14ac:dyDescent="0.25">
      <c r="K261" s="58"/>
      <c r="L261" s="59"/>
      <c r="M261" s="54"/>
      <c r="N261" s="55"/>
      <c r="P261" s="58"/>
      <c r="Q261" s="59"/>
      <c r="R261" s="54"/>
      <c r="S261" s="55"/>
    </row>
    <row r="262" spans="11:19" x14ac:dyDescent="0.25">
      <c r="K262" s="58"/>
      <c r="L262" s="59"/>
      <c r="M262" s="54"/>
      <c r="N262" s="55"/>
      <c r="P262" s="58"/>
      <c r="Q262" s="59"/>
      <c r="R262" s="54"/>
      <c r="S262" s="55"/>
    </row>
    <row r="263" spans="11:19" x14ac:dyDescent="0.25">
      <c r="K263" s="58"/>
      <c r="L263" s="59"/>
      <c r="M263" s="54"/>
      <c r="N263" s="55"/>
      <c r="P263" s="58"/>
      <c r="Q263" s="59"/>
      <c r="R263" s="54"/>
      <c r="S263" s="55"/>
    </row>
    <row r="264" spans="11:19" x14ac:dyDescent="0.25">
      <c r="K264" s="58"/>
      <c r="L264" s="59"/>
      <c r="M264" s="54"/>
      <c r="N264" s="55"/>
      <c r="P264" s="58"/>
      <c r="Q264" s="59"/>
      <c r="R264" s="54"/>
      <c r="S264" s="55"/>
    </row>
    <row r="265" spans="11:19" x14ac:dyDescent="0.25">
      <c r="K265" s="58"/>
      <c r="L265" s="59"/>
      <c r="M265" s="54"/>
      <c r="N265" s="55"/>
      <c r="P265" s="58"/>
      <c r="Q265" s="59"/>
      <c r="R265" s="54"/>
      <c r="S265" s="55"/>
    </row>
    <row r="266" spans="11:19" x14ac:dyDescent="0.25">
      <c r="K266" s="58"/>
      <c r="L266" s="59"/>
      <c r="M266" s="54"/>
      <c r="N266" s="55"/>
      <c r="P266" s="58"/>
      <c r="Q266" s="59"/>
      <c r="R266" s="54"/>
      <c r="S266" s="55"/>
    </row>
    <row r="267" spans="11:19" x14ac:dyDescent="0.25">
      <c r="K267" s="58"/>
      <c r="L267" s="59"/>
      <c r="M267" s="54"/>
      <c r="N267" s="55"/>
      <c r="P267" s="58"/>
      <c r="Q267" s="59"/>
      <c r="R267" s="54"/>
      <c r="S267" s="55"/>
    </row>
    <row r="268" spans="11:19" x14ac:dyDescent="0.25">
      <c r="K268" s="58"/>
      <c r="L268" s="59"/>
      <c r="M268" s="54"/>
      <c r="N268" s="55"/>
      <c r="P268" s="58"/>
      <c r="Q268" s="59"/>
      <c r="R268" s="54"/>
      <c r="S268" s="55"/>
    </row>
    <row r="269" spans="11:19" x14ac:dyDescent="0.25">
      <c r="K269" s="58"/>
      <c r="L269" s="59"/>
      <c r="M269" s="54"/>
      <c r="N269" s="55"/>
      <c r="P269" s="58"/>
      <c r="Q269" s="59"/>
      <c r="R269" s="54"/>
      <c r="S269" s="55"/>
    </row>
    <row r="270" spans="11:19" x14ac:dyDescent="0.25">
      <c r="K270" s="58"/>
      <c r="L270" s="59"/>
      <c r="M270" s="54"/>
      <c r="N270" s="55"/>
      <c r="P270" s="58"/>
      <c r="Q270" s="59"/>
      <c r="R270" s="54"/>
      <c r="S270" s="55"/>
    </row>
    <row r="271" spans="11:19" x14ac:dyDescent="0.25">
      <c r="K271" s="58"/>
      <c r="L271" s="59"/>
      <c r="M271" s="54"/>
      <c r="N271" s="55"/>
      <c r="P271" s="58"/>
      <c r="Q271" s="59"/>
      <c r="R271" s="54"/>
      <c r="S271" s="55"/>
    </row>
    <row r="272" spans="11:19" x14ac:dyDescent="0.25">
      <c r="K272" s="58"/>
      <c r="L272" s="59"/>
      <c r="M272" s="54"/>
      <c r="N272" s="55"/>
      <c r="P272" s="58"/>
      <c r="Q272" s="59"/>
      <c r="R272" s="54"/>
      <c r="S272" s="55"/>
    </row>
    <row r="273" spans="11:19" x14ac:dyDescent="0.25">
      <c r="K273" s="58"/>
      <c r="L273" s="59"/>
      <c r="M273" s="54"/>
      <c r="N273" s="55"/>
      <c r="P273" s="58"/>
      <c r="Q273" s="59"/>
      <c r="R273" s="54"/>
      <c r="S273" s="55"/>
    </row>
    <row r="274" spans="11:19" x14ac:dyDescent="0.25">
      <c r="K274" s="58"/>
      <c r="L274" s="59"/>
      <c r="M274" s="54"/>
      <c r="N274" s="55"/>
      <c r="P274" s="58"/>
      <c r="Q274" s="59"/>
      <c r="R274" s="54"/>
      <c r="S274" s="55"/>
    </row>
    <row r="275" spans="11:19" x14ac:dyDescent="0.25">
      <c r="K275" s="58"/>
      <c r="L275" s="59"/>
      <c r="M275" s="54"/>
      <c r="N275" s="55"/>
      <c r="P275" s="58"/>
      <c r="Q275" s="59"/>
      <c r="R275" s="54"/>
      <c r="S275" s="55"/>
    </row>
    <row r="276" spans="11:19" x14ac:dyDescent="0.25">
      <c r="K276" s="58"/>
      <c r="L276" s="59"/>
      <c r="M276" s="54"/>
      <c r="N276" s="55"/>
      <c r="P276" s="58"/>
      <c r="Q276" s="59"/>
      <c r="R276" s="54"/>
      <c r="S276" s="55"/>
    </row>
    <row r="277" spans="11:19" x14ac:dyDescent="0.25">
      <c r="K277" s="58"/>
      <c r="L277" s="59"/>
      <c r="M277" s="54"/>
      <c r="N277" s="55"/>
      <c r="P277" s="58"/>
      <c r="Q277" s="59"/>
      <c r="R277" s="54"/>
      <c r="S277" s="55"/>
    </row>
    <row r="278" spans="11:19" x14ac:dyDescent="0.25">
      <c r="K278" s="58"/>
      <c r="L278" s="59"/>
      <c r="M278" s="54"/>
      <c r="N278" s="55"/>
      <c r="P278" s="58"/>
      <c r="Q278" s="59"/>
      <c r="R278" s="54"/>
      <c r="S278" s="55"/>
    </row>
    <row r="279" spans="11:19" x14ac:dyDescent="0.25">
      <c r="K279" s="58"/>
      <c r="L279" s="59"/>
      <c r="M279" s="54"/>
      <c r="N279" s="55"/>
      <c r="P279" s="58"/>
      <c r="Q279" s="59"/>
      <c r="R279" s="54"/>
      <c r="S279" s="55"/>
    </row>
    <row r="280" spans="11:19" x14ac:dyDescent="0.25">
      <c r="K280" s="58"/>
      <c r="L280" s="59"/>
      <c r="M280" s="54"/>
      <c r="N280" s="55"/>
      <c r="P280" s="58"/>
      <c r="Q280" s="59"/>
      <c r="R280" s="54"/>
      <c r="S280" s="55"/>
    </row>
    <row r="281" spans="11:19" x14ac:dyDescent="0.25">
      <c r="K281" s="58"/>
      <c r="L281" s="59"/>
      <c r="M281" s="54"/>
      <c r="N281" s="55"/>
      <c r="P281" s="58"/>
      <c r="Q281" s="59"/>
      <c r="R281" s="54"/>
      <c r="S281" s="55"/>
    </row>
    <row r="282" spans="11:19" x14ac:dyDescent="0.25">
      <c r="K282" s="58"/>
      <c r="L282" s="59"/>
      <c r="M282" s="54"/>
      <c r="N282" s="55"/>
      <c r="P282" s="58"/>
      <c r="Q282" s="59"/>
      <c r="R282" s="54"/>
      <c r="S282" s="55"/>
    </row>
    <row r="283" spans="11:19" x14ac:dyDescent="0.25">
      <c r="K283" s="58"/>
      <c r="L283" s="59"/>
      <c r="M283" s="54"/>
      <c r="N283" s="55"/>
      <c r="P283" s="58"/>
      <c r="Q283" s="59"/>
      <c r="R283" s="54"/>
      <c r="S283" s="55"/>
    </row>
    <row r="284" spans="11:19" x14ac:dyDescent="0.25">
      <c r="K284" s="58"/>
      <c r="L284" s="59"/>
      <c r="M284" s="54"/>
      <c r="N284" s="55"/>
      <c r="P284" s="58"/>
      <c r="Q284" s="59"/>
      <c r="R284" s="54"/>
      <c r="S284" s="55"/>
    </row>
    <row r="285" spans="11:19" x14ac:dyDescent="0.25">
      <c r="K285" s="58"/>
      <c r="L285" s="59"/>
      <c r="M285" s="54"/>
      <c r="N285" s="55"/>
      <c r="P285" s="58"/>
      <c r="Q285" s="59"/>
      <c r="R285" s="54"/>
      <c r="S285" s="55"/>
    </row>
    <row r="286" spans="11:19" x14ac:dyDescent="0.25">
      <c r="K286" s="58"/>
      <c r="L286" s="59"/>
      <c r="M286" s="54"/>
      <c r="N286" s="55"/>
      <c r="P286" s="58"/>
      <c r="Q286" s="59"/>
      <c r="R286" s="54"/>
      <c r="S286" s="55"/>
    </row>
    <row r="287" spans="11:19" x14ac:dyDescent="0.25">
      <c r="K287" s="58"/>
      <c r="L287" s="59"/>
      <c r="M287" s="54"/>
      <c r="N287" s="55"/>
      <c r="P287" s="58"/>
      <c r="Q287" s="59"/>
      <c r="R287" s="54"/>
      <c r="S287" s="55"/>
    </row>
    <row r="288" spans="11:19" x14ac:dyDescent="0.25">
      <c r="K288" s="58"/>
      <c r="L288" s="59"/>
      <c r="M288" s="54"/>
      <c r="N288" s="55"/>
      <c r="P288" s="58"/>
      <c r="Q288" s="59"/>
      <c r="R288" s="54"/>
      <c r="S288" s="55"/>
    </row>
    <row r="289" spans="11:19" x14ac:dyDescent="0.25">
      <c r="K289" s="58"/>
      <c r="L289" s="59"/>
      <c r="M289" s="54"/>
      <c r="N289" s="55"/>
      <c r="P289" s="58"/>
      <c r="Q289" s="59"/>
      <c r="R289" s="54"/>
      <c r="S289" s="55"/>
    </row>
    <row r="290" spans="11:19" x14ac:dyDescent="0.25">
      <c r="K290" s="58"/>
      <c r="L290" s="59"/>
      <c r="M290" s="54"/>
      <c r="N290" s="55"/>
      <c r="P290" s="58"/>
      <c r="Q290" s="59"/>
      <c r="R290" s="54"/>
      <c r="S290" s="55"/>
    </row>
    <row r="291" spans="11:19" x14ac:dyDescent="0.25">
      <c r="K291" s="58"/>
      <c r="L291" s="59"/>
      <c r="M291" s="54"/>
      <c r="N291" s="55"/>
      <c r="P291" s="58"/>
      <c r="Q291" s="59"/>
      <c r="R291" s="54"/>
      <c r="S291" s="55"/>
    </row>
    <row r="292" spans="11:19" x14ac:dyDescent="0.25">
      <c r="K292" s="58"/>
      <c r="L292" s="59"/>
      <c r="M292" s="54"/>
      <c r="N292" s="55"/>
      <c r="P292" s="58"/>
      <c r="Q292" s="59"/>
      <c r="R292" s="54"/>
      <c r="S292" s="55"/>
    </row>
    <row r="293" spans="11:19" x14ac:dyDescent="0.25">
      <c r="K293" s="58"/>
      <c r="L293" s="59"/>
      <c r="M293" s="54"/>
      <c r="N293" s="55"/>
      <c r="P293" s="58"/>
      <c r="Q293" s="59"/>
      <c r="R293" s="54"/>
      <c r="S293" s="55"/>
    </row>
    <row r="294" spans="11:19" x14ac:dyDescent="0.25">
      <c r="K294" s="58"/>
      <c r="L294" s="59"/>
      <c r="M294" s="54"/>
      <c r="N294" s="55"/>
      <c r="P294" s="58"/>
      <c r="Q294" s="59"/>
      <c r="R294" s="54"/>
      <c r="S294" s="55"/>
    </row>
    <row r="295" spans="11:19" x14ac:dyDescent="0.25">
      <c r="K295" s="58"/>
      <c r="L295" s="59"/>
      <c r="M295" s="54"/>
      <c r="N295" s="55"/>
      <c r="P295" s="58"/>
      <c r="Q295" s="59"/>
      <c r="R295" s="54"/>
      <c r="S295" s="55"/>
    </row>
    <row r="296" spans="11:19" x14ac:dyDescent="0.25">
      <c r="K296" s="58"/>
      <c r="L296" s="59"/>
      <c r="M296" s="54"/>
      <c r="N296" s="55"/>
      <c r="P296" s="58"/>
      <c r="Q296" s="59"/>
      <c r="R296" s="54"/>
      <c r="S296" s="55"/>
    </row>
    <row r="297" spans="11:19" x14ac:dyDescent="0.25">
      <c r="K297" s="58"/>
      <c r="L297" s="59"/>
      <c r="M297" s="54"/>
      <c r="N297" s="55"/>
      <c r="P297" s="58"/>
      <c r="Q297" s="59"/>
      <c r="R297" s="54"/>
      <c r="S297" s="55"/>
    </row>
    <row r="298" spans="11:19" x14ac:dyDescent="0.25">
      <c r="K298" s="58"/>
      <c r="L298" s="59"/>
      <c r="M298" s="54"/>
      <c r="N298" s="55"/>
      <c r="P298" s="58"/>
      <c r="Q298" s="59"/>
      <c r="R298" s="54"/>
      <c r="S298" s="55"/>
    </row>
    <row r="299" spans="11:19" x14ac:dyDescent="0.25">
      <c r="K299" s="58"/>
      <c r="L299" s="59"/>
      <c r="M299" s="54"/>
      <c r="N299" s="55"/>
      <c r="P299" s="58"/>
      <c r="Q299" s="59"/>
      <c r="R299" s="54"/>
      <c r="S299" s="55"/>
    </row>
    <row r="300" spans="11:19" x14ac:dyDescent="0.25">
      <c r="K300" s="58"/>
      <c r="L300" s="59"/>
      <c r="M300" s="54"/>
      <c r="N300" s="55"/>
      <c r="P300" s="58"/>
      <c r="Q300" s="59"/>
      <c r="R300" s="54"/>
      <c r="S300" s="55"/>
    </row>
    <row r="301" spans="11:19" x14ac:dyDescent="0.25">
      <c r="K301" s="58"/>
      <c r="L301" s="59"/>
      <c r="M301" s="54"/>
      <c r="N301" s="55"/>
      <c r="P301" s="58"/>
      <c r="Q301" s="59"/>
      <c r="R301" s="54"/>
      <c r="S301" s="55"/>
    </row>
    <row r="302" spans="11:19" x14ac:dyDescent="0.25">
      <c r="K302" s="58"/>
      <c r="L302" s="59"/>
      <c r="M302" s="54"/>
      <c r="N302" s="55"/>
      <c r="P302" s="58"/>
      <c r="Q302" s="59"/>
      <c r="R302" s="54"/>
      <c r="S302" s="55"/>
    </row>
    <row r="303" spans="11:19" x14ac:dyDescent="0.25">
      <c r="K303" s="58"/>
      <c r="L303" s="59"/>
      <c r="M303" s="54"/>
      <c r="N303" s="55"/>
      <c r="P303" s="58"/>
      <c r="Q303" s="59"/>
      <c r="R303" s="54"/>
      <c r="S303" s="55"/>
    </row>
    <row r="304" spans="11:19" x14ac:dyDescent="0.25">
      <c r="K304" s="58"/>
      <c r="L304" s="59"/>
      <c r="M304" s="54"/>
      <c r="N304" s="55"/>
      <c r="P304" s="58"/>
      <c r="Q304" s="59"/>
      <c r="R304" s="54"/>
      <c r="S304" s="55"/>
    </row>
    <row r="305" spans="11:19" x14ac:dyDescent="0.25">
      <c r="K305" s="58"/>
      <c r="L305" s="59"/>
      <c r="M305" s="54"/>
      <c r="N305" s="55"/>
      <c r="P305" s="58"/>
      <c r="Q305" s="59"/>
      <c r="R305" s="54"/>
      <c r="S305" s="55"/>
    </row>
    <row r="306" spans="11:19" x14ac:dyDescent="0.25">
      <c r="K306" s="58"/>
      <c r="L306" s="59"/>
      <c r="M306" s="54"/>
      <c r="N306" s="55"/>
      <c r="P306" s="58"/>
      <c r="Q306" s="59"/>
      <c r="R306" s="54"/>
      <c r="S306" s="55"/>
    </row>
    <row r="307" spans="11:19" x14ac:dyDescent="0.25">
      <c r="K307" s="58"/>
      <c r="L307" s="59"/>
      <c r="M307" s="54"/>
      <c r="N307" s="55"/>
      <c r="P307" s="58"/>
      <c r="Q307" s="59"/>
      <c r="R307" s="54"/>
      <c r="S307" s="55"/>
    </row>
    <row r="308" spans="11:19" x14ac:dyDescent="0.25">
      <c r="K308" s="58"/>
      <c r="L308" s="59"/>
      <c r="M308" s="54"/>
      <c r="N308" s="55"/>
      <c r="P308" s="58"/>
      <c r="Q308" s="59"/>
      <c r="R308" s="54"/>
      <c r="S308" s="55"/>
    </row>
    <row r="309" spans="11:19" x14ac:dyDescent="0.25">
      <c r="K309" s="58"/>
      <c r="L309" s="59"/>
      <c r="M309" s="54"/>
      <c r="N309" s="55"/>
      <c r="P309" s="58"/>
      <c r="Q309" s="59"/>
      <c r="R309" s="54"/>
      <c r="S309" s="55"/>
    </row>
    <row r="310" spans="11:19" x14ac:dyDescent="0.25">
      <c r="K310" s="58"/>
      <c r="L310" s="59"/>
      <c r="M310" s="54"/>
      <c r="N310" s="55"/>
      <c r="P310" s="58"/>
      <c r="Q310" s="59"/>
      <c r="R310" s="54"/>
      <c r="S310" s="55"/>
    </row>
    <row r="311" spans="11:19" x14ac:dyDescent="0.25">
      <c r="K311" s="58"/>
      <c r="L311" s="59"/>
      <c r="M311" s="54"/>
      <c r="N311" s="55"/>
      <c r="P311" s="58"/>
      <c r="Q311" s="59"/>
      <c r="R311" s="54"/>
      <c r="S311" s="55"/>
    </row>
    <row r="312" spans="11:19" x14ac:dyDescent="0.25">
      <c r="K312" s="58"/>
      <c r="L312" s="59"/>
      <c r="M312" s="54"/>
      <c r="N312" s="55"/>
      <c r="P312" s="58"/>
      <c r="Q312" s="59"/>
      <c r="R312" s="54"/>
      <c r="S312" s="55"/>
    </row>
    <row r="313" spans="11:19" x14ac:dyDescent="0.25">
      <c r="K313" s="58"/>
      <c r="L313" s="59"/>
      <c r="M313" s="54"/>
      <c r="N313" s="55"/>
      <c r="P313" s="58"/>
      <c r="Q313" s="59"/>
      <c r="R313" s="54"/>
      <c r="S313" s="55"/>
    </row>
    <row r="314" spans="11:19" x14ac:dyDescent="0.25">
      <c r="K314" s="58"/>
      <c r="L314" s="59"/>
      <c r="M314" s="54"/>
      <c r="N314" s="55"/>
      <c r="P314" s="58"/>
      <c r="Q314" s="59"/>
      <c r="R314" s="54"/>
      <c r="S314" s="55"/>
    </row>
    <row r="315" spans="11:19" x14ac:dyDescent="0.25">
      <c r="K315" s="58"/>
      <c r="L315" s="59"/>
      <c r="M315" s="54"/>
      <c r="N315" s="55"/>
      <c r="P315" s="58"/>
      <c r="Q315" s="59"/>
      <c r="R315" s="54"/>
      <c r="S315" s="55"/>
    </row>
    <row r="316" spans="11:19" x14ac:dyDescent="0.25">
      <c r="K316" s="58"/>
      <c r="L316" s="59"/>
      <c r="M316" s="54"/>
      <c r="N316" s="55"/>
      <c r="P316" s="58"/>
      <c r="Q316" s="59"/>
      <c r="R316" s="54"/>
      <c r="S316" s="55"/>
    </row>
    <row r="317" spans="11:19" x14ac:dyDescent="0.25">
      <c r="K317" s="58"/>
      <c r="L317" s="59"/>
      <c r="M317" s="54"/>
      <c r="N317" s="55"/>
      <c r="P317" s="58"/>
      <c r="Q317" s="59"/>
      <c r="R317" s="54"/>
      <c r="S317" s="55"/>
    </row>
    <row r="318" spans="11:19" x14ac:dyDescent="0.25">
      <c r="K318" s="58"/>
      <c r="L318" s="59"/>
      <c r="M318" s="54"/>
      <c r="N318" s="55"/>
      <c r="P318" s="58"/>
      <c r="Q318" s="59"/>
      <c r="R318" s="54"/>
      <c r="S318" s="55"/>
    </row>
    <row r="319" spans="11:19" x14ac:dyDescent="0.25">
      <c r="K319" s="58"/>
      <c r="L319" s="59"/>
      <c r="M319" s="54"/>
      <c r="N319" s="55"/>
      <c r="P319" s="58"/>
      <c r="Q319" s="59"/>
      <c r="R319" s="54"/>
      <c r="S319" s="55"/>
    </row>
    <row r="320" spans="11:19" x14ac:dyDescent="0.25">
      <c r="K320" s="58"/>
      <c r="L320" s="59"/>
      <c r="M320" s="54"/>
      <c r="N320" s="55"/>
      <c r="P320" s="58"/>
      <c r="Q320" s="59"/>
      <c r="R320" s="54"/>
      <c r="S320" s="55"/>
    </row>
    <row r="321" spans="11:19" x14ac:dyDescent="0.25">
      <c r="K321" s="58"/>
      <c r="L321" s="59"/>
      <c r="M321" s="54"/>
      <c r="N321" s="55"/>
      <c r="P321" s="58"/>
      <c r="Q321" s="59"/>
      <c r="R321" s="54"/>
      <c r="S321" s="55"/>
    </row>
    <row r="322" spans="11:19" x14ac:dyDescent="0.25">
      <c r="K322" s="58"/>
      <c r="L322" s="59"/>
      <c r="M322" s="54"/>
      <c r="N322" s="55"/>
      <c r="P322" s="58"/>
      <c r="Q322" s="59"/>
      <c r="R322" s="54"/>
      <c r="S322" s="55"/>
    </row>
    <row r="323" spans="11:19" x14ac:dyDescent="0.25">
      <c r="K323" s="58"/>
      <c r="L323" s="59"/>
      <c r="M323" s="54"/>
      <c r="N323" s="55"/>
      <c r="P323" s="58"/>
      <c r="Q323" s="59"/>
      <c r="R323" s="54"/>
      <c r="S323" s="55"/>
    </row>
    <row r="324" spans="11:19" x14ac:dyDescent="0.25">
      <c r="K324" s="58"/>
      <c r="L324" s="59"/>
      <c r="M324" s="54"/>
      <c r="N324" s="55"/>
      <c r="P324" s="58"/>
      <c r="Q324" s="59"/>
      <c r="R324" s="54"/>
      <c r="S324" s="55"/>
    </row>
    <row r="325" spans="11:19" x14ac:dyDescent="0.25">
      <c r="K325" s="58"/>
      <c r="L325" s="59"/>
      <c r="M325" s="54"/>
      <c r="N325" s="55"/>
      <c r="P325" s="58"/>
      <c r="Q325" s="59"/>
      <c r="R325" s="54"/>
      <c r="S325" s="55"/>
    </row>
    <row r="326" spans="11:19" x14ac:dyDescent="0.25">
      <c r="K326" s="58"/>
      <c r="L326" s="59"/>
      <c r="M326" s="54"/>
      <c r="N326" s="55"/>
      <c r="P326" s="58"/>
      <c r="Q326" s="59"/>
      <c r="R326" s="54"/>
      <c r="S326" s="55"/>
    </row>
    <row r="327" spans="11:19" x14ac:dyDescent="0.25">
      <c r="K327" s="58"/>
      <c r="L327" s="59"/>
      <c r="M327" s="54"/>
      <c r="N327" s="55"/>
      <c r="P327" s="58"/>
      <c r="Q327" s="59"/>
      <c r="R327" s="54"/>
      <c r="S327" s="55"/>
    </row>
    <row r="328" spans="11:19" x14ac:dyDescent="0.25">
      <c r="K328" s="58"/>
      <c r="L328" s="59"/>
      <c r="M328" s="54"/>
      <c r="N328" s="55"/>
      <c r="P328" s="58"/>
      <c r="Q328" s="59"/>
      <c r="R328" s="54"/>
      <c r="S328" s="55"/>
    </row>
    <row r="329" spans="11:19" x14ac:dyDescent="0.25">
      <c r="K329" s="58"/>
      <c r="L329" s="59"/>
      <c r="M329" s="54"/>
      <c r="N329" s="55"/>
      <c r="P329" s="58"/>
      <c r="Q329" s="59"/>
      <c r="R329" s="54"/>
      <c r="S329" s="55"/>
    </row>
    <row r="330" spans="11:19" x14ac:dyDescent="0.25">
      <c r="K330" s="58"/>
      <c r="L330" s="59"/>
      <c r="M330" s="54"/>
      <c r="N330" s="55"/>
      <c r="P330" s="58"/>
      <c r="Q330" s="59"/>
      <c r="R330" s="54"/>
      <c r="S330" s="55"/>
    </row>
    <row r="331" spans="11:19" x14ac:dyDescent="0.25">
      <c r="K331" s="58"/>
      <c r="L331" s="59"/>
      <c r="M331" s="54"/>
      <c r="N331" s="55"/>
      <c r="P331" s="58"/>
      <c r="Q331" s="59"/>
      <c r="R331" s="54"/>
      <c r="S331" s="55"/>
    </row>
    <row r="332" spans="11:19" x14ac:dyDescent="0.25">
      <c r="K332" s="58"/>
      <c r="L332" s="59"/>
      <c r="M332" s="54"/>
      <c r="N332" s="55"/>
      <c r="P332" s="58"/>
      <c r="Q332" s="59"/>
      <c r="R332" s="54"/>
      <c r="S332" s="55"/>
    </row>
    <row r="333" spans="11:19" x14ac:dyDescent="0.25">
      <c r="K333" s="58"/>
      <c r="L333" s="59"/>
      <c r="M333" s="54"/>
      <c r="N333" s="55"/>
      <c r="P333" s="58"/>
      <c r="Q333" s="59"/>
      <c r="R333" s="54"/>
      <c r="S333" s="55"/>
    </row>
    <row r="334" spans="11:19" x14ac:dyDescent="0.25">
      <c r="K334" s="58"/>
      <c r="L334" s="59"/>
      <c r="M334" s="54"/>
      <c r="N334" s="55"/>
      <c r="P334" s="58"/>
      <c r="Q334" s="59"/>
      <c r="R334" s="54"/>
      <c r="S334" s="55"/>
    </row>
    <row r="335" spans="11:19" x14ac:dyDescent="0.25">
      <c r="K335" s="58"/>
      <c r="L335" s="59"/>
      <c r="M335" s="54"/>
      <c r="N335" s="55"/>
      <c r="P335" s="58"/>
      <c r="Q335" s="59"/>
      <c r="R335" s="54"/>
      <c r="S335" s="55"/>
    </row>
    <row r="336" spans="11:19" x14ac:dyDescent="0.25">
      <c r="K336" s="58"/>
      <c r="L336" s="59"/>
      <c r="M336" s="54"/>
      <c r="N336" s="55"/>
      <c r="P336" s="58"/>
      <c r="Q336" s="59"/>
      <c r="R336" s="54"/>
      <c r="S336" s="55"/>
    </row>
    <row r="337" spans="11:19" x14ac:dyDescent="0.25">
      <c r="K337" s="58"/>
      <c r="L337" s="59"/>
      <c r="M337" s="54"/>
      <c r="N337" s="55"/>
      <c r="P337" s="58"/>
      <c r="Q337" s="59"/>
      <c r="R337" s="54"/>
      <c r="S337" s="55"/>
    </row>
    <row r="338" spans="11:19" x14ac:dyDescent="0.25">
      <c r="K338" s="58"/>
      <c r="L338" s="59"/>
      <c r="M338" s="54"/>
      <c r="N338" s="55"/>
      <c r="P338" s="58"/>
      <c r="Q338" s="59"/>
      <c r="R338" s="54"/>
      <c r="S338" s="55"/>
    </row>
    <row r="339" spans="11:19" x14ac:dyDescent="0.25">
      <c r="K339" s="58"/>
      <c r="L339" s="59"/>
      <c r="M339" s="54"/>
      <c r="N339" s="55"/>
      <c r="P339" s="58"/>
      <c r="Q339" s="59"/>
      <c r="R339" s="54"/>
      <c r="S339" s="55"/>
    </row>
    <row r="340" spans="11:19" x14ac:dyDescent="0.25">
      <c r="K340" s="58"/>
      <c r="L340" s="59"/>
      <c r="M340" s="54"/>
      <c r="N340" s="55"/>
      <c r="P340" s="58"/>
      <c r="Q340" s="59"/>
      <c r="R340" s="54"/>
      <c r="S340" s="55"/>
    </row>
    <row r="341" spans="11:19" x14ac:dyDescent="0.25">
      <c r="K341" s="58"/>
      <c r="L341" s="59"/>
      <c r="M341" s="54"/>
      <c r="N341" s="55"/>
      <c r="P341" s="58"/>
      <c r="Q341" s="59"/>
      <c r="R341" s="54"/>
      <c r="S341" s="55"/>
    </row>
    <row r="342" spans="11:19" x14ac:dyDescent="0.25">
      <c r="K342" s="58"/>
      <c r="L342" s="59"/>
      <c r="M342" s="54"/>
      <c r="N342" s="55"/>
      <c r="P342" s="58"/>
      <c r="Q342" s="59"/>
      <c r="R342" s="54"/>
      <c r="S342" s="55"/>
    </row>
    <row r="343" spans="11:19" x14ac:dyDescent="0.25">
      <c r="K343" s="58"/>
      <c r="L343" s="59"/>
      <c r="M343" s="54"/>
      <c r="N343" s="55"/>
      <c r="P343" s="58"/>
      <c r="Q343" s="59"/>
      <c r="R343" s="54"/>
      <c r="S343" s="55"/>
    </row>
    <row r="344" spans="11:19" x14ac:dyDescent="0.25">
      <c r="K344" s="58"/>
      <c r="L344" s="59"/>
      <c r="M344" s="54"/>
      <c r="N344" s="55"/>
      <c r="P344" s="58"/>
      <c r="Q344" s="59"/>
      <c r="R344" s="54"/>
      <c r="S344" s="55"/>
    </row>
    <row r="345" spans="11:19" x14ac:dyDescent="0.25">
      <c r="K345" s="58"/>
      <c r="L345" s="59"/>
      <c r="M345" s="54"/>
      <c r="N345" s="55"/>
      <c r="P345" s="58"/>
      <c r="Q345" s="59"/>
      <c r="R345" s="54"/>
      <c r="S345" s="55"/>
    </row>
    <row r="346" spans="11:19" x14ac:dyDescent="0.25">
      <c r="K346" s="58"/>
      <c r="L346" s="59"/>
      <c r="M346" s="54"/>
      <c r="N346" s="55"/>
      <c r="P346" s="58"/>
      <c r="Q346" s="59"/>
      <c r="R346" s="54"/>
      <c r="S346" s="55"/>
    </row>
    <row r="347" spans="11:19" x14ac:dyDescent="0.25">
      <c r="K347" s="58"/>
      <c r="L347" s="59"/>
      <c r="M347" s="54"/>
      <c r="N347" s="55"/>
      <c r="P347" s="58"/>
      <c r="Q347" s="59"/>
      <c r="R347" s="54"/>
      <c r="S347" s="55"/>
    </row>
    <row r="348" spans="11:19" ht="15.75" thickBot="1" x14ac:dyDescent="0.3">
      <c r="K348" s="60"/>
      <c r="L348" s="61"/>
      <c r="M348" s="56"/>
      <c r="N348" s="57"/>
      <c r="P348" s="60"/>
      <c r="Q348" s="61"/>
      <c r="R348" s="56"/>
      <c r="S348" s="57"/>
    </row>
  </sheetData>
  <mergeCells count="4">
    <mergeCell ref="A8:D8"/>
    <mergeCell ref="F8:I8"/>
    <mergeCell ref="K8:N8"/>
    <mergeCell ref="P8:S8"/>
  </mergeCells>
  <conditionalFormatting sqref="G3">
    <cfRule type="cellIs" dxfId="19" priority="5" operator="greaterThan">
      <formula>$J$4</formula>
    </cfRule>
  </conditionalFormatting>
  <conditionalFormatting sqref="T5">
    <cfRule type="cellIs" dxfId="18" priority="1" operator="greaterThan">
      <formula>$T$6</formula>
    </cfRule>
    <cfRule type="cellIs" dxfId="17" priority="4" operator="lessThan">
      <formula>$T$6</formula>
    </cfRule>
  </conditionalFormatting>
  <conditionalFormatting sqref="T6">
    <cfRule type="cellIs" dxfId="16" priority="2" operator="greaterThan">
      <formula>$T$5</formula>
    </cfRule>
    <cfRule type="cellIs" dxfId="15" priority="3" operator="lessThan">
      <formula>$T$5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BE025-B431-43CB-A790-B8AC6BDF8965}">
  <sheetPr codeName="Sheet41"/>
  <dimension ref="A1:B110"/>
  <sheetViews>
    <sheetView tabSelected="1" zoomScale="90" zoomScaleNormal="90" workbookViewId="0">
      <pane ySplit="1" topLeftCell="A2" activePane="bottomLeft" state="frozen"/>
      <selection pane="bottomLeft" activeCell="B2" sqref="B2"/>
    </sheetView>
  </sheetViews>
  <sheetFormatPr baseColWidth="10" defaultColWidth="9.140625" defaultRowHeight="15" x14ac:dyDescent="0.25"/>
  <cols>
    <col min="2" max="2" width="17.140625" bestFit="1" customWidth="1"/>
  </cols>
  <sheetData>
    <row r="1" spans="1:2" ht="15.75" thickBot="1" x14ac:dyDescent="0.3">
      <c r="A1" s="32" t="s">
        <v>22</v>
      </c>
      <c r="B1" s="33" t="s">
        <v>7</v>
      </c>
    </row>
    <row r="2" spans="1:2" x14ac:dyDescent="0.25">
      <c r="A2" s="86">
        <v>15</v>
      </c>
      <c r="B2" s="87">
        <v>823261</v>
      </c>
    </row>
    <row r="3" spans="1:2" x14ac:dyDescent="0.25">
      <c r="A3" s="58">
        <v>4</v>
      </c>
      <c r="B3" s="54">
        <v>748702</v>
      </c>
    </row>
    <row r="4" spans="1:2" x14ac:dyDescent="0.25">
      <c r="A4" s="58">
        <v>75</v>
      </c>
      <c r="B4" s="54">
        <v>700923</v>
      </c>
    </row>
    <row r="5" spans="1:2" x14ac:dyDescent="0.25">
      <c r="A5" s="58">
        <v>61</v>
      </c>
      <c r="B5" s="54">
        <v>594344</v>
      </c>
    </row>
    <row r="6" spans="1:2" x14ac:dyDescent="0.25">
      <c r="A6" s="58">
        <v>2</v>
      </c>
      <c r="B6" s="54">
        <v>573963</v>
      </c>
    </row>
    <row r="7" spans="1:2" x14ac:dyDescent="0.25">
      <c r="A7" s="58">
        <v>66</v>
      </c>
      <c r="B7" s="54">
        <v>543888</v>
      </c>
    </row>
    <row r="8" spans="1:2" x14ac:dyDescent="0.25">
      <c r="A8" s="58">
        <v>9</v>
      </c>
      <c r="B8" s="54">
        <v>458407</v>
      </c>
    </row>
    <row r="9" spans="1:2" x14ac:dyDescent="0.25">
      <c r="A9" s="58">
        <v>6</v>
      </c>
      <c r="B9" s="54">
        <v>413342</v>
      </c>
    </row>
    <row r="10" spans="1:2" x14ac:dyDescent="0.25">
      <c r="A10" s="58">
        <v>90</v>
      </c>
      <c r="B10" s="54">
        <v>390167</v>
      </c>
    </row>
    <row r="11" spans="1:2" x14ac:dyDescent="0.25">
      <c r="A11" s="58">
        <v>10</v>
      </c>
      <c r="B11" s="54">
        <v>374487</v>
      </c>
    </row>
    <row r="12" spans="1:2" x14ac:dyDescent="0.25">
      <c r="A12" s="58">
        <v>72</v>
      </c>
      <c r="B12" s="54">
        <v>339217</v>
      </c>
    </row>
    <row r="13" spans="1:2" x14ac:dyDescent="0.25">
      <c r="A13" s="58">
        <v>63</v>
      </c>
      <c r="B13" s="54">
        <v>148379</v>
      </c>
    </row>
    <row r="14" spans="1:2" x14ac:dyDescent="0.25">
      <c r="A14" s="58">
        <v>5</v>
      </c>
      <c r="B14" s="54">
        <v>135603</v>
      </c>
    </row>
    <row r="15" spans="1:2" x14ac:dyDescent="0.25">
      <c r="A15" s="58">
        <v>89</v>
      </c>
      <c r="B15" s="54">
        <v>43767</v>
      </c>
    </row>
    <row r="16" spans="1:2" x14ac:dyDescent="0.25">
      <c r="A16" s="58">
        <v>8</v>
      </c>
      <c r="B16" s="54">
        <v>-31569</v>
      </c>
    </row>
    <row r="17" spans="1:2" x14ac:dyDescent="0.25">
      <c r="A17" s="58">
        <v>62</v>
      </c>
      <c r="B17" s="54">
        <v>-50310</v>
      </c>
    </row>
    <row r="18" spans="1:2" x14ac:dyDescent="0.25">
      <c r="A18" s="58">
        <v>20</v>
      </c>
      <c r="B18" s="54">
        <v>-55320</v>
      </c>
    </row>
    <row r="19" spans="1:2" x14ac:dyDescent="0.25">
      <c r="A19" s="58">
        <v>14</v>
      </c>
      <c r="B19" s="54">
        <v>-99929</v>
      </c>
    </row>
    <row r="20" spans="1:2" x14ac:dyDescent="0.25">
      <c r="A20" s="58">
        <v>59</v>
      </c>
      <c r="B20" s="54">
        <v>-120499</v>
      </c>
    </row>
    <row r="21" spans="1:2" x14ac:dyDescent="0.25">
      <c r="A21" s="58">
        <v>11</v>
      </c>
      <c r="B21" s="54">
        <v>-150180</v>
      </c>
    </row>
    <row r="22" spans="1:2" x14ac:dyDescent="0.25">
      <c r="A22" s="58">
        <v>19</v>
      </c>
      <c r="B22" s="54">
        <v>-212225</v>
      </c>
    </row>
    <row r="23" spans="1:2" x14ac:dyDescent="0.25">
      <c r="A23" s="58">
        <v>7</v>
      </c>
      <c r="B23" s="54">
        <v>-425925</v>
      </c>
    </row>
    <row r="24" spans="1:2" x14ac:dyDescent="0.25">
      <c r="A24" s="58">
        <v>88</v>
      </c>
      <c r="B24" s="54">
        <v>-426293</v>
      </c>
    </row>
    <row r="25" spans="1:2" x14ac:dyDescent="0.25">
      <c r="A25" s="58">
        <v>1</v>
      </c>
      <c r="B25" s="54">
        <v>-436549</v>
      </c>
    </row>
    <row r="26" spans="1:2" x14ac:dyDescent="0.25">
      <c r="A26" s="58">
        <v>16</v>
      </c>
      <c r="B26" s="54">
        <v>-516654</v>
      </c>
    </row>
    <row r="27" spans="1:2" x14ac:dyDescent="0.25">
      <c r="A27" s="58">
        <v>73</v>
      </c>
      <c r="B27" s="54">
        <v>-526062</v>
      </c>
    </row>
    <row r="28" spans="1:2" x14ac:dyDescent="0.25">
      <c r="A28" s="58">
        <v>69</v>
      </c>
      <c r="B28" s="54">
        <v>-582190</v>
      </c>
    </row>
    <row r="29" spans="1:2" x14ac:dyDescent="0.25">
      <c r="A29" s="58">
        <v>17</v>
      </c>
      <c r="B29" s="54">
        <v>-710390</v>
      </c>
    </row>
    <row r="30" spans="1:2" x14ac:dyDescent="0.25">
      <c r="A30" s="58">
        <v>12</v>
      </c>
      <c r="B30" s="54">
        <v>-753136</v>
      </c>
    </row>
    <row r="31" spans="1:2" x14ac:dyDescent="0.25">
      <c r="A31" s="58">
        <v>58</v>
      </c>
      <c r="B31" s="54">
        <v>-793953</v>
      </c>
    </row>
    <row r="32" spans="1:2" x14ac:dyDescent="0.25">
      <c r="A32" s="58">
        <v>68</v>
      </c>
      <c r="B32" s="54">
        <v>-803861</v>
      </c>
    </row>
    <row r="33" spans="1:2" x14ac:dyDescent="0.25">
      <c r="A33" s="58">
        <v>60</v>
      </c>
      <c r="B33" s="54">
        <v>-850901</v>
      </c>
    </row>
    <row r="34" spans="1:2" x14ac:dyDescent="0.25">
      <c r="A34" s="58">
        <v>74</v>
      </c>
      <c r="B34" s="54">
        <v>-871942</v>
      </c>
    </row>
    <row r="35" spans="1:2" x14ac:dyDescent="0.25">
      <c r="A35" s="58">
        <v>71</v>
      </c>
      <c r="B35" s="54">
        <v>-879757</v>
      </c>
    </row>
    <row r="36" spans="1:2" x14ac:dyDescent="0.25">
      <c r="A36" s="58">
        <v>13</v>
      </c>
      <c r="B36" s="54">
        <v>-1072053</v>
      </c>
    </row>
    <row r="37" spans="1:2" x14ac:dyDescent="0.25">
      <c r="A37" s="58">
        <v>92</v>
      </c>
      <c r="B37" s="54">
        <v>-1105120</v>
      </c>
    </row>
    <row r="38" spans="1:2" x14ac:dyDescent="0.25">
      <c r="A38" s="58">
        <v>21</v>
      </c>
      <c r="B38" s="54">
        <v>-1124143</v>
      </c>
    </row>
    <row r="39" spans="1:2" x14ac:dyDescent="0.25">
      <c r="A39" s="58">
        <v>64</v>
      </c>
      <c r="B39" s="54">
        <v>-1198677</v>
      </c>
    </row>
    <row r="40" spans="1:2" x14ac:dyDescent="0.25">
      <c r="A40" s="58">
        <v>3</v>
      </c>
      <c r="B40" s="54">
        <v>-1231829</v>
      </c>
    </row>
    <row r="41" spans="1:2" x14ac:dyDescent="0.25">
      <c r="A41" s="58">
        <v>70</v>
      </c>
      <c r="B41" s="54">
        <v>-1290356</v>
      </c>
    </row>
    <row r="42" spans="1:2" x14ac:dyDescent="0.25">
      <c r="A42" s="58">
        <v>65</v>
      </c>
      <c r="B42" s="54">
        <v>-1335361</v>
      </c>
    </row>
    <row r="43" spans="1:2" x14ac:dyDescent="0.25">
      <c r="A43" s="58">
        <v>18</v>
      </c>
      <c r="B43" s="54">
        <v>-1388548</v>
      </c>
    </row>
    <row r="44" spans="1:2" x14ac:dyDescent="0.25">
      <c r="A44" s="58">
        <v>91</v>
      </c>
      <c r="B44" s="54">
        <v>-1477388</v>
      </c>
    </row>
    <row r="45" spans="1:2" x14ac:dyDescent="0.25">
      <c r="A45" s="58">
        <v>67</v>
      </c>
      <c r="B45" s="54">
        <v>-1558535</v>
      </c>
    </row>
    <row r="46" spans="1:2" x14ac:dyDescent="0.25">
      <c r="A46" s="58">
        <v>93</v>
      </c>
      <c r="B46" s="54">
        <v>-1560391</v>
      </c>
    </row>
    <row r="47" spans="1:2" x14ac:dyDescent="0.25">
      <c r="A47" s="58"/>
      <c r="B47" s="54"/>
    </row>
    <row r="48" spans="1:2" x14ac:dyDescent="0.25">
      <c r="A48" s="58"/>
      <c r="B48" s="54"/>
    </row>
    <row r="49" spans="1:2" x14ac:dyDescent="0.25">
      <c r="A49" s="58"/>
      <c r="B49" s="54"/>
    </row>
    <row r="50" spans="1:2" x14ac:dyDescent="0.25">
      <c r="A50" s="58"/>
      <c r="B50" s="54"/>
    </row>
    <row r="51" spans="1:2" x14ac:dyDescent="0.25">
      <c r="A51" s="58"/>
      <c r="B51" s="54"/>
    </row>
    <row r="52" spans="1:2" x14ac:dyDescent="0.25">
      <c r="A52" s="58"/>
      <c r="B52" s="54"/>
    </row>
    <row r="53" spans="1:2" x14ac:dyDescent="0.25">
      <c r="A53" s="58"/>
      <c r="B53" s="54"/>
    </row>
    <row r="54" spans="1:2" x14ac:dyDescent="0.25">
      <c r="A54" s="58"/>
      <c r="B54" s="54"/>
    </row>
    <row r="55" spans="1:2" x14ac:dyDescent="0.25">
      <c r="A55" s="58"/>
      <c r="B55" s="54"/>
    </row>
    <row r="56" spans="1:2" x14ac:dyDescent="0.25">
      <c r="A56" s="58"/>
      <c r="B56" s="54"/>
    </row>
    <row r="57" spans="1:2" x14ac:dyDescent="0.25">
      <c r="A57" s="58"/>
      <c r="B57" s="54"/>
    </row>
    <row r="58" spans="1:2" x14ac:dyDescent="0.25">
      <c r="A58" s="58"/>
      <c r="B58" s="54"/>
    </row>
    <row r="59" spans="1:2" x14ac:dyDescent="0.25">
      <c r="A59" s="58"/>
      <c r="B59" s="54"/>
    </row>
    <row r="60" spans="1:2" x14ac:dyDescent="0.25">
      <c r="A60" s="58"/>
      <c r="B60" s="54"/>
    </row>
    <row r="61" spans="1:2" x14ac:dyDescent="0.25">
      <c r="A61" s="58"/>
      <c r="B61" s="54"/>
    </row>
    <row r="62" spans="1:2" x14ac:dyDescent="0.25">
      <c r="A62" s="58"/>
      <c r="B62" s="54"/>
    </row>
    <row r="63" spans="1:2" x14ac:dyDescent="0.25">
      <c r="A63" s="58"/>
      <c r="B63" s="54"/>
    </row>
    <row r="64" spans="1:2" x14ac:dyDescent="0.25">
      <c r="A64" s="58"/>
      <c r="B64" s="54"/>
    </row>
    <row r="65" spans="1:2" x14ac:dyDescent="0.25">
      <c r="A65" s="58"/>
      <c r="B65" s="54"/>
    </row>
    <row r="66" spans="1:2" x14ac:dyDescent="0.25">
      <c r="A66" s="58"/>
      <c r="B66" s="54"/>
    </row>
    <row r="67" spans="1:2" x14ac:dyDescent="0.25">
      <c r="A67" s="58"/>
      <c r="B67" s="54"/>
    </row>
    <row r="68" spans="1:2" x14ac:dyDescent="0.25">
      <c r="A68" s="58"/>
      <c r="B68" s="54"/>
    </row>
    <row r="69" spans="1:2" x14ac:dyDescent="0.25">
      <c r="A69" s="58"/>
      <c r="B69" s="54"/>
    </row>
    <row r="70" spans="1:2" x14ac:dyDescent="0.25">
      <c r="A70" s="58"/>
      <c r="B70" s="54"/>
    </row>
    <row r="71" spans="1:2" x14ac:dyDescent="0.25">
      <c r="A71" s="58"/>
      <c r="B71" s="54"/>
    </row>
    <row r="72" spans="1:2" x14ac:dyDescent="0.25">
      <c r="A72" s="58"/>
      <c r="B72" s="54"/>
    </row>
    <row r="73" spans="1:2" x14ac:dyDescent="0.25">
      <c r="A73" s="58"/>
      <c r="B73" s="54"/>
    </row>
    <row r="74" spans="1:2" x14ac:dyDescent="0.25">
      <c r="A74" s="58"/>
      <c r="B74" s="54"/>
    </row>
    <row r="75" spans="1:2" x14ac:dyDescent="0.25">
      <c r="A75" s="58"/>
      <c r="B75" s="54"/>
    </row>
    <row r="76" spans="1:2" x14ac:dyDescent="0.25">
      <c r="A76" s="58"/>
      <c r="B76" s="54"/>
    </row>
    <row r="77" spans="1:2" x14ac:dyDescent="0.25">
      <c r="A77" s="58"/>
      <c r="B77" s="54"/>
    </row>
    <row r="78" spans="1:2" x14ac:dyDescent="0.25">
      <c r="A78" s="58"/>
      <c r="B78" s="54"/>
    </row>
    <row r="79" spans="1:2" x14ac:dyDescent="0.25">
      <c r="A79" s="58"/>
      <c r="B79" s="54"/>
    </row>
    <row r="80" spans="1:2" x14ac:dyDescent="0.25">
      <c r="A80" s="58"/>
      <c r="B80" s="54"/>
    </row>
    <row r="81" spans="1:2" x14ac:dyDescent="0.25">
      <c r="A81" s="58"/>
      <c r="B81" s="54"/>
    </row>
    <row r="82" spans="1:2" x14ac:dyDescent="0.25">
      <c r="A82" s="58"/>
      <c r="B82" s="54"/>
    </row>
    <row r="83" spans="1:2" x14ac:dyDescent="0.25">
      <c r="A83" s="58"/>
      <c r="B83" s="54"/>
    </row>
    <row r="84" spans="1:2" x14ac:dyDescent="0.25">
      <c r="A84" s="58"/>
      <c r="B84" s="54"/>
    </row>
    <row r="85" spans="1:2" x14ac:dyDescent="0.25">
      <c r="A85" s="58"/>
      <c r="B85" s="54"/>
    </row>
    <row r="86" spans="1:2" x14ac:dyDescent="0.25">
      <c r="A86" s="58"/>
      <c r="B86" s="54"/>
    </row>
    <row r="87" spans="1:2" x14ac:dyDescent="0.25">
      <c r="A87" s="58"/>
      <c r="B87" s="54"/>
    </row>
    <row r="88" spans="1:2" x14ac:dyDescent="0.25">
      <c r="A88" s="58"/>
      <c r="B88" s="54"/>
    </row>
    <row r="89" spans="1:2" x14ac:dyDescent="0.25">
      <c r="A89" s="58"/>
      <c r="B89" s="54"/>
    </row>
    <row r="90" spans="1:2" x14ac:dyDescent="0.25">
      <c r="A90" s="58"/>
      <c r="B90" s="54"/>
    </row>
    <row r="91" spans="1:2" x14ac:dyDescent="0.25">
      <c r="A91" s="58"/>
      <c r="B91" s="54"/>
    </row>
    <row r="92" spans="1:2" x14ac:dyDescent="0.25">
      <c r="A92" s="58"/>
      <c r="B92" s="54"/>
    </row>
    <row r="93" spans="1:2" x14ac:dyDescent="0.25">
      <c r="A93" s="58"/>
      <c r="B93" s="54"/>
    </row>
    <row r="94" spans="1:2" x14ac:dyDescent="0.25">
      <c r="A94" s="58"/>
      <c r="B94" s="54"/>
    </row>
    <row r="95" spans="1:2" x14ac:dyDescent="0.25">
      <c r="A95" s="58"/>
      <c r="B95" s="54"/>
    </row>
    <row r="96" spans="1:2" x14ac:dyDescent="0.25">
      <c r="A96" s="58"/>
      <c r="B96" s="54"/>
    </row>
    <row r="97" spans="1:2" x14ac:dyDescent="0.25">
      <c r="A97" s="58"/>
      <c r="B97" s="54"/>
    </row>
    <row r="98" spans="1:2" x14ac:dyDescent="0.25">
      <c r="A98" s="58"/>
      <c r="B98" s="54"/>
    </row>
    <row r="99" spans="1:2" x14ac:dyDescent="0.25">
      <c r="A99" s="58"/>
      <c r="B99" s="54"/>
    </row>
    <row r="100" spans="1:2" x14ac:dyDescent="0.25">
      <c r="A100" s="58"/>
      <c r="B100" s="54"/>
    </row>
    <row r="101" spans="1:2" x14ac:dyDescent="0.25">
      <c r="A101" s="58"/>
      <c r="B101" s="54"/>
    </row>
    <row r="102" spans="1:2" x14ac:dyDescent="0.25">
      <c r="A102" s="58"/>
      <c r="B102" s="54"/>
    </row>
    <row r="103" spans="1:2" x14ac:dyDescent="0.25">
      <c r="A103" s="58"/>
      <c r="B103" s="54"/>
    </row>
    <row r="104" spans="1:2" x14ac:dyDescent="0.25">
      <c r="A104" s="58"/>
      <c r="B104" s="54"/>
    </row>
    <row r="105" spans="1:2" x14ac:dyDescent="0.25">
      <c r="A105" s="58"/>
      <c r="B105" s="54"/>
    </row>
    <row r="106" spans="1:2" x14ac:dyDescent="0.25">
      <c r="A106" s="58"/>
      <c r="B106" s="54"/>
    </row>
    <row r="107" spans="1:2" x14ac:dyDescent="0.25">
      <c r="A107" s="58"/>
      <c r="B107" s="54"/>
    </row>
    <row r="108" spans="1:2" x14ac:dyDescent="0.25">
      <c r="A108" s="58"/>
      <c r="B108" s="54"/>
    </row>
    <row r="109" spans="1:2" x14ac:dyDescent="0.25">
      <c r="A109" s="58"/>
      <c r="B109" s="54"/>
    </row>
    <row r="110" spans="1:2" ht="15.75" thickBot="1" x14ac:dyDescent="0.3">
      <c r="A110" s="60"/>
      <c r="B110" s="56"/>
    </row>
  </sheetData>
  <pageMargins left="0.7" right="0.7" top="0.75" bottom="0.75" header="0.3" footer="0.3"/>
  <pageSetup orientation="portrait" horizontalDpi="4294967293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13A877-3FFC-4873-B7EC-E17413882AF7}">
  <sheetPr codeName="Sheet42"/>
  <dimension ref="A1:T348"/>
  <sheetViews>
    <sheetView zoomScale="90" zoomScaleNormal="90" workbookViewId="0">
      <pane ySplit="9" topLeftCell="A10" activePane="bottomLeft" state="frozen"/>
      <selection pane="bottomLeft" activeCell="G21" sqref="G21"/>
    </sheetView>
  </sheetViews>
  <sheetFormatPr baseColWidth="10" defaultColWidth="9.140625" defaultRowHeight="15" x14ac:dyDescent="0.25"/>
  <cols>
    <col min="2" max="2" width="11.85546875" bestFit="1" customWidth="1"/>
    <col min="3" max="3" width="17.140625" bestFit="1" customWidth="1"/>
    <col min="4" max="4" width="14.5703125" customWidth="1"/>
    <col min="5" max="7" width="14.5703125" bestFit="1" customWidth="1"/>
    <col min="8" max="8" width="18.7109375" bestFit="1" customWidth="1"/>
    <col min="9" max="9" width="16.28515625" bestFit="1" customWidth="1"/>
    <col min="10" max="10" width="14" bestFit="1" customWidth="1"/>
    <col min="12" max="12" width="11.85546875" bestFit="1" customWidth="1"/>
    <col min="13" max="13" width="17.140625" bestFit="1" customWidth="1"/>
    <col min="14" max="14" width="14.42578125" bestFit="1" customWidth="1"/>
    <col min="15" max="15" width="8.7109375" customWidth="1"/>
    <col min="17" max="17" width="14.85546875" bestFit="1" customWidth="1"/>
    <col min="18" max="18" width="17.140625" bestFit="1" customWidth="1"/>
    <col min="19" max="19" width="14.85546875" bestFit="1" customWidth="1"/>
    <col min="20" max="20" width="12.42578125" bestFit="1" customWidth="1"/>
    <col min="22" max="23" width="14.5703125" bestFit="1" customWidth="1"/>
    <col min="24" max="24" width="15.85546875" bestFit="1" customWidth="1"/>
    <col min="26" max="26" width="15.85546875" bestFit="1" customWidth="1"/>
  </cols>
  <sheetData>
    <row r="1" spans="1:20" ht="15.75" thickBot="1" x14ac:dyDescent="0.3">
      <c r="C1" s="1" t="s">
        <v>0</v>
      </c>
      <c r="D1" s="2" t="s">
        <v>1</v>
      </c>
      <c r="E1" s="1" t="s">
        <v>2</v>
      </c>
      <c r="F1" s="2" t="s">
        <v>3</v>
      </c>
      <c r="G1" s="63" t="s">
        <v>4</v>
      </c>
      <c r="H1" s="81" t="s">
        <v>24</v>
      </c>
      <c r="I1" s="66" t="s">
        <v>5</v>
      </c>
      <c r="J1" s="3">
        <v>368</v>
      </c>
      <c r="M1" s="1" t="s">
        <v>5</v>
      </c>
      <c r="N1" s="4" t="s">
        <v>6</v>
      </c>
      <c r="P1" t="s">
        <v>0</v>
      </c>
      <c r="Q1">
        <f>SUM(E10:E54)</f>
        <v>0</v>
      </c>
      <c r="R1" t="s">
        <v>2</v>
      </c>
      <c r="S1">
        <f>(M3/M2)*Q1</f>
        <v>0</v>
      </c>
    </row>
    <row r="2" spans="1:20" ht="15.75" thickBot="1" x14ac:dyDescent="0.3">
      <c r="B2" s="5" t="s">
        <v>7</v>
      </c>
      <c r="C2" s="6">
        <f>SUMPRODUCT(C10:C118,E10:E118)</f>
        <v>0</v>
      </c>
      <c r="D2" s="7">
        <f>SUMPRODUCT(H10:H118,J10:J118)</f>
        <v>0</v>
      </c>
      <c r="E2" s="6">
        <f>SUMPRODUCT(M10:M348,O10:O348)</f>
        <v>0</v>
      </c>
      <c r="F2" s="7">
        <f>SUMPRODUCT(R10:R348,T10:T348)</f>
        <v>0</v>
      </c>
      <c r="G2" s="64">
        <f>C2+D2+E2+F2</f>
        <v>0</v>
      </c>
      <c r="H2" s="82">
        <v>24786935</v>
      </c>
      <c r="I2" s="67" t="s">
        <v>6</v>
      </c>
      <c r="J2" s="8">
        <v>334</v>
      </c>
      <c r="L2" s="5" t="s">
        <v>8</v>
      </c>
      <c r="M2" s="9">
        <v>0.6</v>
      </c>
      <c r="N2" s="10">
        <v>0.25</v>
      </c>
      <c r="P2" t="s">
        <v>3</v>
      </c>
      <c r="Q2">
        <f>SUM(T10:T64)</f>
        <v>0</v>
      </c>
      <c r="R2" t="s">
        <v>1</v>
      </c>
      <c r="S2">
        <f>(N2/N3)*Q2</f>
        <v>0</v>
      </c>
    </row>
    <row r="3" spans="1:20" ht="15.75" thickBot="1" x14ac:dyDescent="0.3">
      <c r="B3" s="11" t="s">
        <v>9</v>
      </c>
      <c r="C3" s="12">
        <f>SUMPRODUCT(B10:B118,E10:E118)</f>
        <v>0</v>
      </c>
      <c r="D3" s="13">
        <f>SUMPRODUCT(G10:G118,J10:J118)</f>
        <v>0</v>
      </c>
      <c r="E3" s="12">
        <f>SUMPRODUCT(L10:L348,O10:O348)</f>
        <v>0</v>
      </c>
      <c r="F3" s="13">
        <f>SUMPRODUCT(Q10:Q348,T10:T348)</f>
        <v>0</v>
      </c>
      <c r="G3" s="65">
        <f>SUM(C3:F3)</f>
        <v>0</v>
      </c>
      <c r="H3" s="80" t="e">
        <f>(H2-G2)/G2</f>
        <v>#DIV/0!</v>
      </c>
      <c r="I3" s="67" t="s">
        <v>10</v>
      </c>
      <c r="J3" s="8">
        <f>11160</f>
        <v>11160</v>
      </c>
      <c r="L3" s="14" t="s">
        <v>11</v>
      </c>
      <c r="M3" s="15">
        <v>0.4</v>
      </c>
      <c r="N3" s="16">
        <v>0.75</v>
      </c>
      <c r="P3" t="s">
        <v>0</v>
      </c>
      <c r="Q3">
        <v>1</v>
      </c>
      <c r="R3" t="s">
        <v>2</v>
      </c>
      <c r="S3">
        <f>(M3/M2)*Q3</f>
        <v>0.66666666666666674</v>
      </c>
    </row>
    <row r="4" spans="1:20" ht="15.75" thickBot="1" x14ac:dyDescent="0.3">
      <c r="B4" s="14" t="s">
        <v>12</v>
      </c>
      <c r="C4" s="17">
        <f>SUM(E10:E118)*J3</f>
        <v>0</v>
      </c>
      <c r="D4" s="18">
        <f>SUM(J10:J118)*J3</f>
        <v>0</v>
      </c>
      <c r="E4" s="17">
        <f>SUM(O10:O348)*J3</f>
        <v>0</v>
      </c>
      <c r="F4" s="18">
        <f>SUM(T10:T348)*J3</f>
        <v>0</v>
      </c>
      <c r="G4" s="19">
        <f>SUM(C4:F4)</f>
        <v>0</v>
      </c>
      <c r="H4" s="20"/>
      <c r="I4" s="21" t="s">
        <v>13</v>
      </c>
      <c r="J4" s="22">
        <v>100000</v>
      </c>
      <c r="L4" s="5" t="s">
        <v>14</v>
      </c>
      <c r="M4" s="76" t="e">
        <f>C4/(C4+E4)</f>
        <v>#DIV/0!</v>
      </c>
      <c r="N4" s="77" t="e">
        <f>D4/(D4+F4)</f>
        <v>#DIV/0!</v>
      </c>
      <c r="O4" s="23"/>
      <c r="P4" t="s">
        <v>3</v>
      </c>
      <c r="Q4">
        <v>1</v>
      </c>
      <c r="R4" t="s">
        <v>1</v>
      </c>
      <c r="S4">
        <f>(N2/N3)*Q4</f>
        <v>0.33333333333333331</v>
      </c>
    </row>
    <row r="5" spans="1:20" ht="15.75" thickBot="1" x14ac:dyDescent="0.3">
      <c r="B5" s="24" t="s">
        <v>15</v>
      </c>
      <c r="C5" s="25">
        <v>217620</v>
      </c>
      <c r="D5" s="26">
        <v>74400</v>
      </c>
      <c r="E5" s="27">
        <v>145080</v>
      </c>
      <c r="F5" s="26">
        <v>223200</v>
      </c>
      <c r="G5" s="28">
        <f>SUM(C5:F5)</f>
        <v>660300</v>
      </c>
      <c r="H5" s="20"/>
      <c r="I5" s="20"/>
      <c r="L5" s="29" t="s">
        <v>16</v>
      </c>
      <c r="M5" s="78" t="e">
        <f>E4/(C4+E4)</f>
        <v>#DIV/0!</v>
      </c>
      <c r="N5" s="79" t="e">
        <f>F4/(D4+F4)</f>
        <v>#DIV/0!</v>
      </c>
      <c r="O5" s="23"/>
      <c r="P5" t="s">
        <v>0</v>
      </c>
      <c r="Q5" s="88">
        <v>27146.957706093192</v>
      </c>
      <c r="R5" t="s">
        <v>2</v>
      </c>
      <c r="S5" s="88">
        <v>29405.772043010755</v>
      </c>
      <c r="T5">
        <f>Q5*Q3+S5*S3</f>
        <v>46750.805734767026</v>
      </c>
    </row>
    <row r="6" spans="1:20" ht="15.75" thickBot="1" x14ac:dyDescent="0.3">
      <c r="B6" s="24" t="s">
        <v>17</v>
      </c>
      <c r="C6" s="27">
        <f>C5-C4</f>
        <v>217620</v>
      </c>
      <c r="D6" s="30">
        <f>D5-D4</f>
        <v>74400</v>
      </c>
      <c r="E6" s="27">
        <f>E5-E4</f>
        <v>145080</v>
      </c>
      <c r="F6" s="30">
        <f>F5-F4</f>
        <v>223200</v>
      </c>
      <c r="H6" s="20"/>
      <c r="I6" s="20"/>
      <c r="J6" s="62"/>
      <c r="N6" s="23"/>
      <c r="O6" s="23"/>
      <c r="P6" t="s">
        <v>3</v>
      </c>
      <c r="Q6" s="88">
        <v>24785.014695340502</v>
      </c>
      <c r="R6" t="s">
        <v>1</v>
      </c>
      <c r="S6" s="88">
        <v>25114.615232974909</v>
      </c>
      <c r="T6">
        <f>Q6*Q4+S6*S4</f>
        <v>33156.55310633214</v>
      </c>
    </row>
    <row r="7" spans="1:20" ht="15.75" thickBot="1" x14ac:dyDescent="0.3"/>
    <row r="8" spans="1:20" ht="15.75" thickBot="1" x14ac:dyDescent="0.3">
      <c r="A8" s="113" t="s">
        <v>18</v>
      </c>
      <c r="B8" s="114"/>
      <c r="C8" s="114"/>
      <c r="D8" s="115"/>
      <c r="E8" s="31"/>
      <c r="F8" s="113" t="s">
        <v>19</v>
      </c>
      <c r="G8" s="114"/>
      <c r="H8" s="114"/>
      <c r="I8" s="115"/>
      <c r="J8" s="31"/>
      <c r="K8" s="113" t="s">
        <v>20</v>
      </c>
      <c r="L8" s="114"/>
      <c r="M8" s="114"/>
      <c r="N8" s="115"/>
      <c r="O8" s="31"/>
      <c r="P8" s="113" t="s">
        <v>21</v>
      </c>
      <c r="Q8" s="114"/>
      <c r="R8" s="114"/>
      <c r="S8" s="115"/>
    </row>
    <row r="9" spans="1:20" ht="15.75" thickBot="1" x14ac:dyDescent="0.3">
      <c r="A9" s="32" t="s">
        <v>22</v>
      </c>
      <c r="B9" s="33" t="s">
        <v>9</v>
      </c>
      <c r="C9" s="33" t="s">
        <v>7</v>
      </c>
      <c r="D9" s="34" t="s">
        <v>23</v>
      </c>
      <c r="E9" s="31"/>
      <c r="F9" s="32" t="s">
        <v>22</v>
      </c>
      <c r="G9" s="33" t="s">
        <v>9</v>
      </c>
      <c r="H9" s="33" t="s">
        <v>7</v>
      </c>
      <c r="I9" s="34" t="s">
        <v>23</v>
      </c>
      <c r="J9" s="31"/>
      <c r="K9" s="32" t="s">
        <v>22</v>
      </c>
      <c r="L9" s="33" t="s">
        <v>9</v>
      </c>
      <c r="M9" s="33" t="s">
        <v>7</v>
      </c>
      <c r="N9" s="34" t="s">
        <v>23</v>
      </c>
      <c r="O9" s="31"/>
      <c r="P9" s="35" t="s">
        <v>22</v>
      </c>
      <c r="Q9" s="36" t="s">
        <v>9</v>
      </c>
      <c r="R9" s="36" t="s">
        <v>7</v>
      </c>
      <c r="S9" s="37" t="s">
        <v>23</v>
      </c>
    </row>
    <row r="10" spans="1:20" x14ac:dyDescent="0.25">
      <c r="A10" s="86">
        <v>15</v>
      </c>
      <c r="B10" s="68">
        <f>$J$3/$J$1</f>
        <v>30.326086956521738</v>
      </c>
      <c r="C10" s="87">
        <v>823261</v>
      </c>
      <c r="D10" s="69">
        <f>C10/B10</f>
        <v>27146.957706093192</v>
      </c>
      <c r="F10" s="86">
        <v>9</v>
      </c>
      <c r="G10" s="68">
        <f>$J$3/$J$2</f>
        <v>33.41317365269461</v>
      </c>
      <c r="H10" s="87">
        <v>839159</v>
      </c>
      <c r="I10" s="69">
        <f>H10/G10</f>
        <v>25114.615232974909</v>
      </c>
      <c r="K10" s="86">
        <v>99</v>
      </c>
      <c r="L10" s="68">
        <f>$J$3/$J$1</f>
        <v>30.326086956521738</v>
      </c>
      <c r="M10" s="87">
        <v>891762</v>
      </c>
      <c r="N10" s="69">
        <f>M10/L10</f>
        <v>29405.772043010755</v>
      </c>
      <c r="P10" s="86">
        <v>31</v>
      </c>
      <c r="Q10" s="68">
        <f>$J$3/$J$2</f>
        <v>33.41317365269461</v>
      </c>
      <c r="R10" s="87">
        <v>828146</v>
      </c>
      <c r="S10" s="69">
        <f>R10/Q10</f>
        <v>24785.014695340502</v>
      </c>
    </row>
    <row r="11" spans="1:20" x14ac:dyDescent="0.25">
      <c r="A11" s="58">
        <v>4</v>
      </c>
      <c r="B11" s="68">
        <f>$J$3/$J$1</f>
        <v>30.326086956521738</v>
      </c>
      <c r="C11" s="54">
        <v>748702</v>
      </c>
      <c r="D11" s="69">
        <f t="shared" ref="D11:D54" si="0">C11/B11</f>
        <v>24688.381362007171</v>
      </c>
      <c r="F11" s="58">
        <v>1</v>
      </c>
      <c r="G11" s="68">
        <f>$J$3/$J$2</f>
        <v>33.41317365269461</v>
      </c>
      <c r="H11" s="54">
        <v>816679</v>
      </c>
      <c r="I11" s="69">
        <f t="shared" ref="I11:I54" si="1">H11/G11</f>
        <v>24441.826702508963</v>
      </c>
      <c r="K11" s="58">
        <v>22</v>
      </c>
      <c r="L11" s="68">
        <f>$J$3/$J$1</f>
        <v>30.326086956521738</v>
      </c>
      <c r="M11" s="54">
        <v>787867</v>
      </c>
      <c r="N11" s="69">
        <f t="shared" ref="N11:N64" si="2">M11/L11</f>
        <v>25979.843727598567</v>
      </c>
      <c r="P11" s="58">
        <v>95</v>
      </c>
      <c r="Q11" s="68">
        <f>$J$3/$J$2</f>
        <v>33.41317365269461</v>
      </c>
      <c r="R11" s="54">
        <v>778683</v>
      </c>
      <c r="S11" s="69">
        <f t="shared" ref="S11:S64" si="3">R11/Q11</f>
        <v>23304.670430107526</v>
      </c>
    </row>
    <row r="12" spans="1:20" x14ac:dyDescent="0.25">
      <c r="A12" s="58">
        <v>75</v>
      </c>
      <c r="B12" s="68">
        <f>$J$3/$J$1</f>
        <v>30.326086956521738</v>
      </c>
      <c r="C12" s="54">
        <v>700923</v>
      </c>
      <c r="D12" s="69">
        <f t="shared" si="0"/>
        <v>23112.873118279571</v>
      </c>
      <c r="F12" s="58">
        <v>3</v>
      </c>
      <c r="G12" s="68">
        <f>$J$3/$J$2</f>
        <v>33.41317365269461</v>
      </c>
      <c r="H12" s="54">
        <v>637399</v>
      </c>
      <c r="I12" s="69">
        <f t="shared" si="1"/>
        <v>19076.278315412186</v>
      </c>
      <c r="K12" s="58">
        <v>83</v>
      </c>
      <c r="L12" s="68">
        <f>$J$3/$J$1</f>
        <v>30.326086956521738</v>
      </c>
      <c r="M12" s="54">
        <v>776669</v>
      </c>
      <c r="N12" s="69">
        <f t="shared" si="2"/>
        <v>25610.590681003585</v>
      </c>
      <c r="P12" s="58">
        <v>32</v>
      </c>
      <c r="Q12" s="68">
        <f>$J$3/$J$2</f>
        <v>33.41317365269461</v>
      </c>
      <c r="R12" s="54">
        <v>742165</v>
      </c>
      <c r="S12" s="69">
        <f t="shared" si="3"/>
        <v>22211.748207885306</v>
      </c>
    </row>
    <row r="13" spans="1:20" x14ac:dyDescent="0.25">
      <c r="A13" s="58">
        <v>61</v>
      </c>
      <c r="B13" s="68">
        <f>$J$3/$J$1</f>
        <v>30.326086956521738</v>
      </c>
      <c r="C13" s="54">
        <v>594344</v>
      </c>
      <c r="D13" s="69">
        <f t="shared" si="0"/>
        <v>19598.440143369175</v>
      </c>
      <c r="F13" s="58">
        <v>89</v>
      </c>
      <c r="G13" s="68">
        <f>$J$3/$J$2</f>
        <v>33.41317365269461</v>
      </c>
      <c r="H13" s="54">
        <v>626952</v>
      </c>
      <c r="I13" s="69">
        <f t="shared" si="1"/>
        <v>18763.617204301077</v>
      </c>
      <c r="K13" s="58">
        <v>57</v>
      </c>
      <c r="L13" s="68">
        <f>$J$3/$J$1</f>
        <v>30.326086956521738</v>
      </c>
      <c r="M13" s="54">
        <v>764937</v>
      </c>
      <c r="N13" s="69">
        <f t="shared" si="2"/>
        <v>25223.729032258067</v>
      </c>
      <c r="P13" s="58">
        <v>86</v>
      </c>
      <c r="Q13" s="68">
        <f>$J$3/$J$2</f>
        <v>33.41317365269461</v>
      </c>
      <c r="R13" s="54">
        <v>708838</v>
      </c>
      <c r="S13" s="69">
        <f t="shared" si="3"/>
        <v>21214.327240143371</v>
      </c>
    </row>
    <row r="14" spans="1:20" x14ac:dyDescent="0.25">
      <c r="A14" s="58">
        <v>2</v>
      </c>
      <c r="B14" s="68">
        <f>$J$3/$J$1</f>
        <v>30.326086956521738</v>
      </c>
      <c r="C14" s="54">
        <v>573963</v>
      </c>
      <c r="D14" s="69">
        <f t="shared" si="0"/>
        <v>18926.378494623656</v>
      </c>
      <c r="F14" s="58">
        <v>74</v>
      </c>
      <c r="G14" s="68">
        <f>$J$3/$J$2</f>
        <v>33.41317365269461</v>
      </c>
      <c r="H14" s="54">
        <v>528188</v>
      </c>
      <c r="I14" s="69">
        <f t="shared" si="1"/>
        <v>15807.7770609319</v>
      </c>
      <c r="K14" s="58">
        <v>33</v>
      </c>
      <c r="L14" s="68">
        <f>$J$3/$J$1</f>
        <v>30.326086956521738</v>
      </c>
      <c r="M14" s="54">
        <v>739492</v>
      </c>
      <c r="N14" s="69">
        <f t="shared" si="2"/>
        <v>24384.682437275987</v>
      </c>
      <c r="P14" s="58">
        <v>44</v>
      </c>
      <c r="Q14" s="68">
        <f>$J$3/$J$2</f>
        <v>33.41317365269461</v>
      </c>
      <c r="R14" s="54">
        <v>644475</v>
      </c>
      <c r="S14" s="69">
        <f t="shared" si="3"/>
        <v>19288.051075268817</v>
      </c>
    </row>
    <row r="15" spans="1:20" x14ac:dyDescent="0.25">
      <c r="A15" s="58">
        <v>66</v>
      </c>
      <c r="B15" s="68">
        <f>$J$3/$J$1</f>
        <v>30.326086956521738</v>
      </c>
      <c r="C15" s="54">
        <v>543888</v>
      </c>
      <c r="D15" s="69">
        <f t="shared" si="0"/>
        <v>17934.65806451613</v>
      </c>
      <c r="F15" s="58">
        <v>7</v>
      </c>
      <c r="G15" s="68">
        <f>$J$3/$J$2</f>
        <v>33.41317365269461</v>
      </c>
      <c r="H15" s="54">
        <v>517706</v>
      </c>
      <c r="I15" s="69">
        <f t="shared" si="1"/>
        <v>15494.068458781363</v>
      </c>
      <c r="K15" s="58">
        <v>34</v>
      </c>
      <c r="L15" s="68">
        <f>$J$3/$J$1</f>
        <v>30.326086956521738</v>
      </c>
      <c r="M15" s="54">
        <v>706466</v>
      </c>
      <c r="N15" s="69">
        <f t="shared" si="2"/>
        <v>23295.653046594984</v>
      </c>
      <c r="P15" s="58">
        <v>43</v>
      </c>
      <c r="Q15" s="68">
        <f>$J$3/$J$2</f>
        <v>33.41317365269461</v>
      </c>
      <c r="R15" s="54">
        <v>600711</v>
      </c>
      <c r="S15" s="69">
        <f t="shared" si="3"/>
        <v>17978.268279569893</v>
      </c>
    </row>
    <row r="16" spans="1:20" x14ac:dyDescent="0.25">
      <c r="A16" s="58">
        <v>9</v>
      </c>
      <c r="B16" s="68">
        <f>$J$3/$J$1</f>
        <v>30.326086956521738</v>
      </c>
      <c r="C16" s="54">
        <v>458407</v>
      </c>
      <c r="D16" s="69">
        <f t="shared" si="0"/>
        <v>15115.929749103943</v>
      </c>
      <c r="F16" s="58">
        <v>16</v>
      </c>
      <c r="G16" s="68">
        <f>$J$3/$J$2</f>
        <v>33.41317365269461</v>
      </c>
      <c r="H16" s="54">
        <v>471825</v>
      </c>
      <c r="I16" s="69">
        <f t="shared" si="1"/>
        <v>14120.927419354839</v>
      </c>
      <c r="K16" s="58">
        <v>54</v>
      </c>
      <c r="L16" s="68">
        <f>$J$3/$J$1</f>
        <v>30.326086956521738</v>
      </c>
      <c r="M16" s="54">
        <v>704680</v>
      </c>
      <c r="N16" s="69">
        <f t="shared" si="2"/>
        <v>23236.759856630826</v>
      </c>
      <c r="P16" s="58">
        <v>54</v>
      </c>
      <c r="Q16" s="68">
        <f>$J$3/$J$2</f>
        <v>33.41317365269461</v>
      </c>
      <c r="R16" s="54">
        <v>600526</v>
      </c>
      <c r="S16" s="69">
        <f t="shared" si="3"/>
        <v>17972.73154121864</v>
      </c>
    </row>
    <row r="17" spans="1:19" x14ac:dyDescent="0.25">
      <c r="A17" s="58">
        <v>6</v>
      </c>
      <c r="B17" s="68">
        <f>$J$3/$J$1</f>
        <v>30.326086956521738</v>
      </c>
      <c r="C17" s="54">
        <v>413342</v>
      </c>
      <c r="D17" s="69">
        <f t="shared" si="0"/>
        <v>13629.915412186379</v>
      </c>
      <c r="F17" s="58">
        <v>20</v>
      </c>
      <c r="G17" s="68">
        <f>$J$3/$J$2</f>
        <v>33.41317365269461</v>
      </c>
      <c r="H17" s="54">
        <v>465526</v>
      </c>
      <c r="I17" s="69">
        <f t="shared" si="1"/>
        <v>13932.408960573477</v>
      </c>
      <c r="K17" s="58">
        <v>46</v>
      </c>
      <c r="L17" s="68">
        <f>$J$3/$J$1</f>
        <v>30.326086956521738</v>
      </c>
      <c r="M17" s="54">
        <v>647685</v>
      </c>
      <c r="N17" s="69">
        <f t="shared" si="2"/>
        <v>21357.354838709678</v>
      </c>
      <c r="P17" s="58">
        <v>33</v>
      </c>
      <c r="Q17" s="68">
        <f>$J$3/$J$2</f>
        <v>33.41317365269461</v>
      </c>
      <c r="R17" s="54">
        <v>533105</v>
      </c>
      <c r="S17" s="69">
        <f t="shared" si="3"/>
        <v>15954.934587813621</v>
      </c>
    </row>
    <row r="18" spans="1:19" x14ac:dyDescent="0.25">
      <c r="A18" s="58">
        <v>90</v>
      </c>
      <c r="B18" s="68">
        <f>$J$3/$J$1</f>
        <v>30.326086956521738</v>
      </c>
      <c r="C18" s="54">
        <v>390167</v>
      </c>
      <c r="D18" s="69">
        <f t="shared" si="0"/>
        <v>12865.721863799283</v>
      </c>
      <c r="F18" s="58">
        <v>71</v>
      </c>
      <c r="G18" s="68">
        <f>$J$3/$J$2</f>
        <v>33.41317365269461</v>
      </c>
      <c r="H18" s="54">
        <v>459240</v>
      </c>
      <c r="I18" s="69">
        <f t="shared" si="1"/>
        <v>13744.279569892473</v>
      </c>
      <c r="K18" s="58">
        <v>35</v>
      </c>
      <c r="L18" s="68">
        <f>$J$3/$J$1</f>
        <v>30.326086956521738</v>
      </c>
      <c r="M18" s="54">
        <v>520964</v>
      </c>
      <c r="N18" s="69">
        <f t="shared" si="2"/>
        <v>17178.741218637992</v>
      </c>
      <c r="P18" s="58">
        <v>29</v>
      </c>
      <c r="Q18" s="68">
        <f>$J$3/$J$2</f>
        <v>33.41317365269461</v>
      </c>
      <c r="R18" s="54">
        <v>466819</v>
      </c>
      <c r="S18" s="69">
        <f t="shared" si="3"/>
        <v>13971.106272401434</v>
      </c>
    </row>
    <row r="19" spans="1:19" x14ac:dyDescent="0.25">
      <c r="A19" s="58">
        <v>10</v>
      </c>
      <c r="B19" s="68">
        <f>$J$3/$J$1</f>
        <v>30.326086956521738</v>
      </c>
      <c r="C19" s="54">
        <v>374487</v>
      </c>
      <c r="D19" s="69">
        <f t="shared" si="0"/>
        <v>12348.675268817206</v>
      </c>
      <c r="F19" s="58">
        <v>73</v>
      </c>
      <c r="G19" s="68">
        <f>$J$3/$J$2</f>
        <v>33.41317365269461</v>
      </c>
      <c r="H19" s="54">
        <v>435675</v>
      </c>
      <c r="I19" s="69">
        <f t="shared" si="1"/>
        <v>13039.018817204302</v>
      </c>
      <c r="K19" s="58">
        <v>28</v>
      </c>
      <c r="L19" s="68">
        <f>$J$3/$J$1</f>
        <v>30.326086956521738</v>
      </c>
      <c r="M19" s="54">
        <v>485282</v>
      </c>
      <c r="N19" s="69">
        <f t="shared" si="2"/>
        <v>16002.130465949822</v>
      </c>
      <c r="P19" s="58">
        <v>39</v>
      </c>
      <c r="Q19" s="68">
        <f>$J$3/$J$2</f>
        <v>33.41317365269461</v>
      </c>
      <c r="R19" s="54">
        <v>443533</v>
      </c>
      <c r="S19" s="69">
        <f t="shared" si="3"/>
        <v>13274.195519713261</v>
      </c>
    </row>
    <row r="20" spans="1:19" x14ac:dyDescent="0.25">
      <c r="A20" s="58">
        <v>72</v>
      </c>
      <c r="B20" s="68">
        <f>$J$3/$J$1</f>
        <v>30.326086956521738</v>
      </c>
      <c r="C20" s="54">
        <v>339217</v>
      </c>
      <c r="D20" s="69">
        <f t="shared" si="0"/>
        <v>11185.65017921147</v>
      </c>
      <c r="F20" s="58">
        <v>4</v>
      </c>
      <c r="G20" s="68">
        <f>$J$3/$J$2</f>
        <v>33.41317365269461</v>
      </c>
      <c r="H20" s="54">
        <v>435251</v>
      </c>
      <c r="I20" s="69">
        <f t="shared" si="1"/>
        <v>13026.329211469534</v>
      </c>
      <c r="K20" s="58">
        <v>25</v>
      </c>
      <c r="L20" s="68">
        <f>$J$3/$J$1</f>
        <v>30.326086956521738</v>
      </c>
      <c r="M20" s="54">
        <v>428682</v>
      </c>
      <c r="N20" s="69">
        <f t="shared" si="2"/>
        <v>14135.750537634409</v>
      </c>
      <c r="P20" s="58">
        <v>85</v>
      </c>
      <c r="Q20" s="68">
        <f>$J$3/$J$2</f>
        <v>33.41317365269461</v>
      </c>
      <c r="R20" s="54">
        <v>400656</v>
      </c>
      <c r="S20" s="69">
        <f t="shared" si="3"/>
        <v>11990.959139784947</v>
      </c>
    </row>
    <row r="21" spans="1:19" x14ac:dyDescent="0.25">
      <c r="A21" s="58">
        <v>63</v>
      </c>
      <c r="B21" s="68">
        <f>$J$3/$J$1</f>
        <v>30.326086956521738</v>
      </c>
      <c r="C21" s="54">
        <v>148379</v>
      </c>
      <c r="D21" s="69">
        <f t="shared" si="0"/>
        <v>4892.7842293906815</v>
      </c>
      <c r="F21" s="58">
        <v>58</v>
      </c>
      <c r="G21" s="68">
        <f>$J$3/$J$2</f>
        <v>33.41317365269461</v>
      </c>
      <c r="H21" s="54">
        <v>425212</v>
      </c>
      <c r="I21" s="69">
        <f t="shared" si="1"/>
        <v>12725.878853046595</v>
      </c>
      <c r="K21" s="58">
        <v>53</v>
      </c>
      <c r="L21" s="68">
        <f>$J$3/$J$1</f>
        <v>30.326086956521738</v>
      </c>
      <c r="M21" s="54">
        <v>427876</v>
      </c>
      <c r="N21" s="69">
        <f t="shared" si="2"/>
        <v>14109.17275985663</v>
      </c>
      <c r="P21" s="58">
        <v>51</v>
      </c>
      <c r="Q21" s="68">
        <f>$J$3/$J$2</f>
        <v>33.41317365269461</v>
      </c>
      <c r="R21" s="54">
        <v>295735</v>
      </c>
      <c r="S21" s="69">
        <f t="shared" si="3"/>
        <v>8850.8503584229402</v>
      </c>
    </row>
    <row r="22" spans="1:19" x14ac:dyDescent="0.25">
      <c r="A22" s="58">
        <v>5</v>
      </c>
      <c r="B22" s="68">
        <f>$J$3/$J$1</f>
        <v>30.326086956521738</v>
      </c>
      <c r="C22" s="54">
        <v>135603</v>
      </c>
      <c r="D22" s="69">
        <f t="shared" si="0"/>
        <v>4471.4967741935488</v>
      </c>
      <c r="F22" s="58">
        <v>69</v>
      </c>
      <c r="G22" s="68">
        <f>$J$3/$J$2</f>
        <v>33.41317365269461</v>
      </c>
      <c r="H22" s="54">
        <v>301059</v>
      </c>
      <c r="I22" s="69">
        <f t="shared" si="1"/>
        <v>9010.188709677419</v>
      </c>
      <c r="K22" s="58">
        <v>30</v>
      </c>
      <c r="L22" s="68">
        <f>$J$3/$J$1</f>
        <v>30.326086956521738</v>
      </c>
      <c r="M22" s="54">
        <v>412457</v>
      </c>
      <c r="N22" s="69">
        <f t="shared" si="2"/>
        <v>13600.732616487456</v>
      </c>
      <c r="P22" s="58">
        <v>84</v>
      </c>
      <c r="Q22" s="68">
        <f>$J$3/$J$2</f>
        <v>33.41317365269461</v>
      </c>
      <c r="R22" s="54">
        <v>277116</v>
      </c>
      <c r="S22" s="69">
        <f t="shared" si="3"/>
        <v>8293.6150537634403</v>
      </c>
    </row>
    <row r="23" spans="1:19" x14ac:dyDescent="0.25">
      <c r="A23" s="58">
        <v>89</v>
      </c>
      <c r="B23" s="68">
        <f>$J$3/$J$1</f>
        <v>30.326086956521738</v>
      </c>
      <c r="C23" s="54">
        <v>43767</v>
      </c>
      <c r="D23" s="69">
        <f t="shared" si="0"/>
        <v>1443.2129032258065</v>
      </c>
      <c r="F23" s="58">
        <v>91</v>
      </c>
      <c r="G23" s="68">
        <f>$J$3/$J$2</f>
        <v>33.41317365269461</v>
      </c>
      <c r="H23" s="54">
        <v>248437</v>
      </c>
      <c r="I23" s="69">
        <f t="shared" si="1"/>
        <v>7435.3008960573479</v>
      </c>
      <c r="K23" s="58">
        <v>45</v>
      </c>
      <c r="L23" s="68">
        <f>$J$3/$J$1</f>
        <v>30.326086956521738</v>
      </c>
      <c r="M23" s="54">
        <v>411553</v>
      </c>
      <c r="N23" s="69">
        <f t="shared" si="2"/>
        <v>13570.923297491039</v>
      </c>
      <c r="P23" s="58">
        <v>100</v>
      </c>
      <c r="Q23" s="68">
        <f>$J$3/$J$2</f>
        <v>33.41317365269461</v>
      </c>
      <c r="R23" s="54">
        <v>196154</v>
      </c>
      <c r="S23" s="69">
        <f t="shared" si="3"/>
        <v>5870.5587813620077</v>
      </c>
    </row>
    <row r="24" spans="1:19" x14ac:dyDescent="0.25">
      <c r="A24" s="58">
        <v>8</v>
      </c>
      <c r="B24" s="68">
        <f>$J$3/$J$1</f>
        <v>30.326086956521738</v>
      </c>
      <c r="C24" s="54">
        <v>-31569</v>
      </c>
      <c r="D24" s="69">
        <f t="shared" si="0"/>
        <v>-1040.9849462365592</v>
      </c>
      <c r="F24" s="58">
        <v>75</v>
      </c>
      <c r="G24" s="68">
        <f>$J$3/$J$2</f>
        <v>33.41317365269461</v>
      </c>
      <c r="H24" s="54">
        <v>241104</v>
      </c>
      <c r="I24" s="69">
        <f t="shared" si="1"/>
        <v>7215.8365591397851</v>
      </c>
      <c r="K24" s="58">
        <v>43</v>
      </c>
      <c r="L24" s="68">
        <f>$J$3/$J$1</f>
        <v>30.326086956521738</v>
      </c>
      <c r="M24" s="54">
        <v>287718</v>
      </c>
      <c r="N24" s="69">
        <f t="shared" si="2"/>
        <v>9487.4752688172048</v>
      </c>
      <c r="P24" s="58">
        <v>56</v>
      </c>
      <c r="Q24" s="68">
        <f>$J$3/$J$2</f>
        <v>33.41317365269461</v>
      </c>
      <c r="R24" s="54">
        <v>175558</v>
      </c>
      <c r="S24" s="69">
        <f t="shared" si="3"/>
        <v>5254.1551971326162</v>
      </c>
    </row>
    <row r="25" spans="1:19" x14ac:dyDescent="0.25">
      <c r="A25" s="58">
        <v>62</v>
      </c>
      <c r="B25" s="68">
        <f>$J$3/$J$1</f>
        <v>30.326086956521738</v>
      </c>
      <c r="C25" s="54">
        <v>-50310</v>
      </c>
      <c r="D25" s="69">
        <f t="shared" si="0"/>
        <v>-1658.9677419354839</v>
      </c>
      <c r="F25" s="58">
        <v>21</v>
      </c>
      <c r="G25" s="68">
        <f>$J$3/$J$2</f>
        <v>33.41317365269461</v>
      </c>
      <c r="H25" s="54">
        <v>182068</v>
      </c>
      <c r="I25" s="69">
        <f t="shared" si="1"/>
        <v>5448.9885304659501</v>
      </c>
      <c r="K25" s="58">
        <v>47</v>
      </c>
      <c r="L25" s="68">
        <f>$J$3/$J$1</f>
        <v>30.326086956521738</v>
      </c>
      <c r="M25" s="54">
        <v>244892</v>
      </c>
      <c r="N25" s="69">
        <f t="shared" si="2"/>
        <v>8075.2917562724015</v>
      </c>
      <c r="P25" s="58">
        <v>24</v>
      </c>
      <c r="Q25" s="68">
        <f>$J$3/$J$2</f>
        <v>33.41317365269461</v>
      </c>
      <c r="R25" s="54">
        <v>71007</v>
      </c>
      <c r="S25" s="69">
        <f t="shared" si="3"/>
        <v>2125.1198924731184</v>
      </c>
    </row>
    <row r="26" spans="1:19" x14ac:dyDescent="0.25">
      <c r="A26" s="58">
        <v>20</v>
      </c>
      <c r="B26" s="68">
        <f>$J$3/$J$1</f>
        <v>30.326086956521738</v>
      </c>
      <c r="C26" s="54">
        <v>-55320</v>
      </c>
      <c r="D26" s="69">
        <f t="shared" si="0"/>
        <v>-1824.1720430107528</v>
      </c>
      <c r="F26" s="58">
        <v>59</v>
      </c>
      <c r="G26" s="68">
        <f>$J$3/$J$2</f>
        <v>33.41317365269461</v>
      </c>
      <c r="H26" s="54">
        <v>167225</v>
      </c>
      <c r="I26" s="69">
        <f t="shared" si="1"/>
        <v>5004.7625448028675</v>
      </c>
      <c r="K26" s="58">
        <v>27</v>
      </c>
      <c r="L26" s="68">
        <f>$J$3/$J$1</f>
        <v>30.326086956521738</v>
      </c>
      <c r="M26" s="54">
        <v>217246</v>
      </c>
      <c r="N26" s="69">
        <f t="shared" si="2"/>
        <v>7163.6673835125448</v>
      </c>
      <c r="P26" s="58">
        <v>94</v>
      </c>
      <c r="Q26" s="68">
        <f>$J$3/$J$2</f>
        <v>33.41317365269461</v>
      </c>
      <c r="R26" s="54">
        <v>48569</v>
      </c>
      <c r="S26" s="69">
        <f t="shared" si="3"/>
        <v>1453.5883512544804</v>
      </c>
    </row>
    <row r="27" spans="1:19" x14ac:dyDescent="0.25">
      <c r="A27" s="58">
        <v>14</v>
      </c>
      <c r="B27" s="68">
        <f>$J$3/$J$1</f>
        <v>30.326086956521738</v>
      </c>
      <c r="C27" s="54">
        <v>-99929</v>
      </c>
      <c r="D27" s="69">
        <f t="shared" si="0"/>
        <v>-3295.1498207885306</v>
      </c>
      <c r="F27" s="58">
        <v>63</v>
      </c>
      <c r="G27" s="68">
        <f>$J$3/$J$2</f>
        <v>33.41317365269461</v>
      </c>
      <c r="H27" s="54">
        <v>-59023</v>
      </c>
      <c r="I27" s="69">
        <f t="shared" si="1"/>
        <v>-1766.4589605734768</v>
      </c>
      <c r="K27" s="58">
        <v>98</v>
      </c>
      <c r="L27" s="68">
        <f>$J$3/$J$1</f>
        <v>30.326086956521738</v>
      </c>
      <c r="M27" s="54">
        <v>186371</v>
      </c>
      <c r="N27" s="69">
        <f t="shared" si="2"/>
        <v>6145.5670250896055</v>
      </c>
      <c r="P27" s="58">
        <v>98</v>
      </c>
      <c r="Q27" s="68">
        <f>$J$3/$J$2</f>
        <v>33.41317365269461</v>
      </c>
      <c r="R27" s="54">
        <v>42432</v>
      </c>
      <c r="S27" s="69">
        <f t="shared" si="3"/>
        <v>1269.9182795698925</v>
      </c>
    </row>
    <row r="28" spans="1:19" x14ac:dyDescent="0.25">
      <c r="A28" s="58">
        <v>59</v>
      </c>
      <c r="B28" s="68">
        <f>$J$3/$J$1</f>
        <v>30.326086956521738</v>
      </c>
      <c r="C28" s="54">
        <v>-120499</v>
      </c>
      <c r="D28" s="69">
        <f t="shared" si="0"/>
        <v>-3973.4437275985665</v>
      </c>
      <c r="F28" s="58">
        <v>70</v>
      </c>
      <c r="G28" s="68">
        <f>$J$3/$J$2</f>
        <v>33.41317365269461</v>
      </c>
      <c r="H28" s="54">
        <v>-82956</v>
      </c>
      <c r="I28" s="69">
        <f t="shared" si="1"/>
        <v>-2482.7333333333336</v>
      </c>
      <c r="K28" s="58">
        <v>82</v>
      </c>
      <c r="L28" s="68">
        <f>$J$3/$J$1</f>
        <v>30.326086956521738</v>
      </c>
      <c r="M28" s="54">
        <v>157735</v>
      </c>
      <c r="N28" s="69">
        <f t="shared" si="2"/>
        <v>5201.2974910394269</v>
      </c>
      <c r="P28" s="58">
        <v>79</v>
      </c>
      <c r="Q28" s="68">
        <f>$J$3/$J$2</f>
        <v>33.41317365269461</v>
      </c>
      <c r="R28" s="54">
        <v>-17472</v>
      </c>
      <c r="S28" s="69">
        <f t="shared" si="3"/>
        <v>-522.9075268817204</v>
      </c>
    </row>
    <row r="29" spans="1:19" x14ac:dyDescent="0.25">
      <c r="A29" s="58">
        <v>11</v>
      </c>
      <c r="B29" s="68">
        <f>$J$3/$J$1</f>
        <v>30.326086956521738</v>
      </c>
      <c r="C29" s="54">
        <v>-150180</v>
      </c>
      <c r="D29" s="69">
        <f t="shared" si="0"/>
        <v>-4952.1720430107525</v>
      </c>
      <c r="F29" s="58">
        <v>64</v>
      </c>
      <c r="G29" s="68">
        <f>$J$3/$J$2</f>
        <v>33.41317365269461</v>
      </c>
      <c r="H29" s="54">
        <v>-163863</v>
      </c>
      <c r="I29" s="69">
        <f t="shared" si="1"/>
        <v>-4904.1435483870973</v>
      </c>
      <c r="K29" s="58">
        <v>39</v>
      </c>
      <c r="L29" s="68">
        <f>$J$3/$J$1</f>
        <v>30.326086956521738</v>
      </c>
      <c r="M29" s="54">
        <v>75371</v>
      </c>
      <c r="N29" s="69">
        <f t="shared" si="2"/>
        <v>2485.3519713261649</v>
      </c>
      <c r="P29" s="58">
        <v>30</v>
      </c>
      <c r="Q29" s="68">
        <f>$J$3/$J$2</f>
        <v>33.41317365269461</v>
      </c>
      <c r="R29" s="54">
        <v>-18899</v>
      </c>
      <c r="S29" s="69">
        <f t="shared" si="3"/>
        <v>-565.61523297491044</v>
      </c>
    </row>
    <row r="30" spans="1:19" x14ac:dyDescent="0.25">
      <c r="A30" s="58">
        <v>19</v>
      </c>
      <c r="B30" s="68">
        <f>$J$3/$J$1</f>
        <v>30.326086956521738</v>
      </c>
      <c r="C30" s="54">
        <v>-212225</v>
      </c>
      <c r="D30" s="69">
        <f t="shared" si="0"/>
        <v>-6998.1003584229393</v>
      </c>
      <c r="F30" s="58">
        <v>8</v>
      </c>
      <c r="G30" s="68">
        <f>$J$3/$J$2</f>
        <v>33.41317365269461</v>
      </c>
      <c r="H30" s="54">
        <v>-187009</v>
      </c>
      <c r="I30" s="69">
        <f t="shared" si="1"/>
        <v>-5596.8643369175625</v>
      </c>
      <c r="K30" s="58">
        <v>79</v>
      </c>
      <c r="L30" s="68">
        <f>$J$3/$J$1</f>
        <v>30.326086956521738</v>
      </c>
      <c r="M30" s="54">
        <v>42924</v>
      </c>
      <c r="N30" s="69">
        <f t="shared" si="2"/>
        <v>1415.4150537634409</v>
      </c>
      <c r="P30" s="58">
        <v>99</v>
      </c>
      <c r="Q30" s="68">
        <f>$J$3/$J$2</f>
        <v>33.41317365269461</v>
      </c>
      <c r="R30" s="54">
        <v>-53380</v>
      </c>
      <c r="S30" s="69">
        <f t="shared" si="3"/>
        <v>-1597.573476702509</v>
      </c>
    </row>
    <row r="31" spans="1:19" x14ac:dyDescent="0.25">
      <c r="A31" s="58">
        <v>7</v>
      </c>
      <c r="B31" s="68">
        <f>$J$3/$J$1</f>
        <v>30.326086956521738</v>
      </c>
      <c r="C31" s="54">
        <v>-425925</v>
      </c>
      <c r="D31" s="69">
        <f t="shared" si="0"/>
        <v>-14044.83870967742</v>
      </c>
      <c r="F31" s="58">
        <v>61</v>
      </c>
      <c r="G31" s="68">
        <f>$J$3/$J$2</f>
        <v>33.41317365269461</v>
      </c>
      <c r="H31" s="54">
        <v>-223907</v>
      </c>
      <c r="I31" s="69">
        <f t="shared" si="1"/>
        <v>-6701.159318996416</v>
      </c>
      <c r="K31" s="58">
        <v>49</v>
      </c>
      <c r="L31" s="68">
        <f>$J$3/$J$1</f>
        <v>30.326086956521738</v>
      </c>
      <c r="M31" s="54">
        <v>-35135</v>
      </c>
      <c r="N31" s="69">
        <f t="shared" si="2"/>
        <v>-1158.573476702509</v>
      </c>
      <c r="P31" s="58">
        <v>76</v>
      </c>
      <c r="Q31" s="68">
        <f>$J$3/$J$2</f>
        <v>33.41317365269461</v>
      </c>
      <c r="R31" s="54">
        <v>-134133</v>
      </c>
      <c r="S31" s="69">
        <f t="shared" si="3"/>
        <v>-4014.3747311827956</v>
      </c>
    </row>
    <row r="32" spans="1:19" x14ac:dyDescent="0.25">
      <c r="A32" s="58">
        <v>88</v>
      </c>
      <c r="B32" s="68">
        <f>$J$3/$J$1</f>
        <v>30.326086956521738</v>
      </c>
      <c r="C32" s="54">
        <v>-426293</v>
      </c>
      <c r="D32" s="69">
        <f t="shared" si="0"/>
        <v>-14056.973476702509</v>
      </c>
      <c r="F32" s="58">
        <v>92</v>
      </c>
      <c r="G32" s="68">
        <f>$J$3/$J$2</f>
        <v>33.41317365269461</v>
      </c>
      <c r="H32" s="54">
        <v>-299484</v>
      </c>
      <c r="I32" s="69">
        <f t="shared" si="1"/>
        <v>-8963.0516129032258</v>
      </c>
      <c r="K32" s="58">
        <v>86</v>
      </c>
      <c r="L32" s="68">
        <f>$J$3/$J$1</f>
        <v>30.326086956521738</v>
      </c>
      <c r="M32" s="54">
        <v>-36114</v>
      </c>
      <c r="N32" s="69">
        <f t="shared" si="2"/>
        <v>-1190.8559139784948</v>
      </c>
      <c r="P32" s="58">
        <v>27</v>
      </c>
      <c r="Q32" s="68">
        <f>$J$3/$J$2</f>
        <v>33.41317365269461</v>
      </c>
      <c r="R32" s="54">
        <v>-237585</v>
      </c>
      <c r="S32" s="69">
        <f t="shared" si="3"/>
        <v>-7110.5188172043008</v>
      </c>
    </row>
    <row r="33" spans="1:19" x14ac:dyDescent="0.25">
      <c r="A33" s="58">
        <v>1</v>
      </c>
      <c r="B33" s="68">
        <f>$J$3/$J$1</f>
        <v>30.326086956521738</v>
      </c>
      <c r="C33" s="54">
        <v>-436549</v>
      </c>
      <c r="D33" s="69">
        <f t="shared" si="0"/>
        <v>-14395.164157706093</v>
      </c>
      <c r="F33" s="58">
        <v>93</v>
      </c>
      <c r="G33" s="68">
        <f>$J$3/$J$2</f>
        <v>33.41317365269461</v>
      </c>
      <c r="H33" s="54">
        <v>-392062</v>
      </c>
      <c r="I33" s="69">
        <f t="shared" si="1"/>
        <v>-11733.755197132617</v>
      </c>
      <c r="K33" s="58">
        <v>95</v>
      </c>
      <c r="L33" s="68">
        <f>$J$3/$J$1</f>
        <v>30.326086956521738</v>
      </c>
      <c r="M33" s="54">
        <v>-117870</v>
      </c>
      <c r="N33" s="69">
        <f t="shared" si="2"/>
        <v>-3886.7526881720432</v>
      </c>
      <c r="P33" s="58">
        <v>49</v>
      </c>
      <c r="Q33" s="68">
        <f>$J$3/$J$2</f>
        <v>33.41317365269461</v>
      </c>
      <c r="R33" s="54">
        <v>-320509</v>
      </c>
      <c r="S33" s="69">
        <f t="shared" si="3"/>
        <v>-9592.2944444444438</v>
      </c>
    </row>
    <row r="34" spans="1:19" x14ac:dyDescent="0.25">
      <c r="A34" s="58">
        <v>16</v>
      </c>
      <c r="B34" s="68">
        <f>$J$3/$J$1</f>
        <v>30.326086956521738</v>
      </c>
      <c r="C34" s="54">
        <v>-516654</v>
      </c>
      <c r="D34" s="69">
        <f t="shared" si="0"/>
        <v>-17036.619354838709</v>
      </c>
      <c r="F34" s="58">
        <v>17</v>
      </c>
      <c r="G34" s="68">
        <f>$J$3/$J$2</f>
        <v>33.41317365269461</v>
      </c>
      <c r="H34" s="54">
        <v>-421127</v>
      </c>
      <c r="I34" s="69">
        <f t="shared" si="1"/>
        <v>-12603.621684587813</v>
      </c>
      <c r="K34" s="58">
        <v>42</v>
      </c>
      <c r="L34" s="68">
        <f>$J$3/$J$1</f>
        <v>30.326086956521738</v>
      </c>
      <c r="M34" s="54">
        <v>-137859</v>
      </c>
      <c r="N34" s="69">
        <f t="shared" si="2"/>
        <v>-4545.8881720430109</v>
      </c>
      <c r="P34" s="58">
        <v>47</v>
      </c>
      <c r="Q34" s="68">
        <f>$J$3/$J$2</f>
        <v>33.41317365269461</v>
      </c>
      <c r="R34" s="54">
        <v>-338573</v>
      </c>
      <c r="S34" s="69">
        <f t="shared" si="3"/>
        <v>-10132.919534050179</v>
      </c>
    </row>
    <row r="35" spans="1:19" x14ac:dyDescent="0.25">
      <c r="A35" s="58">
        <v>73</v>
      </c>
      <c r="B35" s="68">
        <f>$J$3/$J$1</f>
        <v>30.326086956521738</v>
      </c>
      <c r="C35" s="54">
        <v>-526062</v>
      </c>
      <c r="D35" s="69">
        <f t="shared" si="0"/>
        <v>-17346.847311827958</v>
      </c>
      <c r="F35" s="58">
        <v>5</v>
      </c>
      <c r="G35" s="68">
        <f>$J$3/$J$2</f>
        <v>33.41317365269461</v>
      </c>
      <c r="H35" s="54">
        <v>-473972</v>
      </c>
      <c r="I35" s="69">
        <f t="shared" si="1"/>
        <v>-14185.183512544803</v>
      </c>
      <c r="K35" s="58">
        <v>50</v>
      </c>
      <c r="L35" s="68">
        <f>$J$3/$J$1</f>
        <v>30.326086956521738</v>
      </c>
      <c r="M35" s="54">
        <v>-141217</v>
      </c>
      <c r="N35" s="69">
        <f t="shared" si="2"/>
        <v>-4656.6179211469534</v>
      </c>
      <c r="P35" s="58">
        <v>34</v>
      </c>
      <c r="Q35" s="68">
        <f>$J$3/$J$2</f>
        <v>33.41317365269461</v>
      </c>
      <c r="R35" s="54">
        <v>-343537</v>
      </c>
      <c r="S35" s="69">
        <f t="shared" si="3"/>
        <v>-10281.483691756273</v>
      </c>
    </row>
    <row r="36" spans="1:19" x14ac:dyDescent="0.25">
      <c r="A36" s="58">
        <v>69</v>
      </c>
      <c r="B36" s="68">
        <f>$J$3/$J$1</f>
        <v>30.326086956521738</v>
      </c>
      <c r="C36" s="54">
        <v>-582190</v>
      </c>
      <c r="D36" s="69">
        <f t="shared" si="0"/>
        <v>-19197.663082437277</v>
      </c>
      <c r="F36" s="58">
        <v>67</v>
      </c>
      <c r="G36" s="68">
        <f>$J$3/$J$2</f>
        <v>33.41317365269461</v>
      </c>
      <c r="H36" s="54">
        <v>-479440</v>
      </c>
      <c r="I36" s="69">
        <f t="shared" si="1"/>
        <v>-14348.831541218638</v>
      </c>
      <c r="K36" s="58">
        <v>24</v>
      </c>
      <c r="L36" s="68">
        <f>$J$3/$J$1</f>
        <v>30.326086956521738</v>
      </c>
      <c r="M36" s="54">
        <v>-265494</v>
      </c>
      <c r="N36" s="69">
        <f t="shared" si="2"/>
        <v>-8754.6408602150532</v>
      </c>
      <c r="P36" s="58">
        <v>26</v>
      </c>
      <c r="Q36" s="68">
        <f>$J$3/$J$2</f>
        <v>33.41317365269461</v>
      </c>
      <c r="R36" s="54">
        <v>-410208</v>
      </c>
      <c r="S36" s="69">
        <f t="shared" si="3"/>
        <v>-12276.834408602152</v>
      </c>
    </row>
    <row r="37" spans="1:19" x14ac:dyDescent="0.25">
      <c r="A37" s="58">
        <v>17</v>
      </c>
      <c r="B37" s="68">
        <f>$J$3/$J$1</f>
        <v>30.326086956521738</v>
      </c>
      <c r="C37" s="54">
        <v>-710390</v>
      </c>
      <c r="D37" s="69">
        <f t="shared" si="0"/>
        <v>-23425.046594982079</v>
      </c>
      <c r="F37" s="58">
        <v>65</v>
      </c>
      <c r="G37" s="68">
        <f>$J$3/$J$2</f>
        <v>33.41317365269461</v>
      </c>
      <c r="H37" s="54">
        <v>-681880</v>
      </c>
      <c r="I37" s="69">
        <f t="shared" si="1"/>
        <v>-20407.519713261649</v>
      </c>
      <c r="K37" s="58">
        <v>44</v>
      </c>
      <c r="L37" s="68">
        <f>$J$3/$J$1</f>
        <v>30.326086956521738</v>
      </c>
      <c r="M37" s="54">
        <v>-279807</v>
      </c>
      <c r="N37" s="69">
        <f t="shared" si="2"/>
        <v>-9226.6107526881715</v>
      </c>
      <c r="P37" s="58">
        <v>55</v>
      </c>
      <c r="Q37" s="68">
        <f>$J$3/$J$2</f>
        <v>33.41317365269461</v>
      </c>
      <c r="R37" s="54">
        <v>-412943</v>
      </c>
      <c r="S37" s="69">
        <f t="shared" si="3"/>
        <v>-12358.688351254481</v>
      </c>
    </row>
    <row r="38" spans="1:19" x14ac:dyDescent="0.25">
      <c r="A38" s="58">
        <v>12</v>
      </c>
      <c r="B38" s="68">
        <f>$J$3/$J$1</f>
        <v>30.326086956521738</v>
      </c>
      <c r="C38" s="54">
        <v>-753136</v>
      </c>
      <c r="D38" s="69">
        <f t="shared" si="0"/>
        <v>-24834.592114695341</v>
      </c>
      <c r="F38" s="58">
        <v>15</v>
      </c>
      <c r="G38" s="68">
        <f>$J$3/$J$2</f>
        <v>33.41317365269461</v>
      </c>
      <c r="H38" s="54">
        <v>-737370</v>
      </c>
      <c r="I38" s="69">
        <f t="shared" si="1"/>
        <v>-22068.241935483871</v>
      </c>
      <c r="K38" s="58">
        <v>78</v>
      </c>
      <c r="L38" s="68">
        <f>$J$3/$J$1</f>
        <v>30.326086956521738</v>
      </c>
      <c r="M38" s="54">
        <v>-450754</v>
      </c>
      <c r="N38" s="69">
        <f t="shared" si="2"/>
        <v>-14863.572759856632</v>
      </c>
      <c r="P38" s="58">
        <v>22</v>
      </c>
      <c r="Q38" s="68">
        <f>$J$3/$J$2</f>
        <v>33.41317365269461</v>
      </c>
      <c r="R38" s="54">
        <v>-443480</v>
      </c>
      <c r="S38" s="69">
        <f t="shared" si="3"/>
        <v>-13272.609318996416</v>
      </c>
    </row>
    <row r="39" spans="1:19" x14ac:dyDescent="0.25">
      <c r="A39" s="58">
        <v>58</v>
      </c>
      <c r="B39" s="68">
        <f>$J$3/$J$1</f>
        <v>30.326086956521738</v>
      </c>
      <c r="C39" s="54">
        <v>-793953</v>
      </c>
      <c r="D39" s="69">
        <f t="shared" si="0"/>
        <v>-26180.529032258066</v>
      </c>
      <c r="F39" s="58">
        <v>6</v>
      </c>
      <c r="G39" s="68">
        <f>$J$3/$J$2</f>
        <v>33.41317365269461</v>
      </c>
      <c r="H39" s="54">
        <v>-760719</v>
      </c>
      <c r="I39" s="69">
        <f t="shared" si="1"/>
        <v>-22767.038172043012</v>
      </c>
      <c r="K39" s="58">
        <v>81</v>
      </c>
      <c r="L39" s="68">
        <f>$J$3/$J$1</f>
        <v>30.326086956521738</v>
      </c>
      <c r="M39" s="54">
        <v>-460974</v>
      </c>
      <c r="N39" s="69">
        <f t="shared" si="2"/>
        <v>-15200.576344086023</v>
      </c>
      <c r="P39" s="58">
        <v>97</v>
      </c>
      <c r="Q39" s="68">
        <f>$J$3/$J$2</f>
        <v>33.41317365269461</v>
      </c>
      <c r="R39" s="54">
        <v>-474669</v>
      </c>
      <c r="S39" s="69">
        <f t="shared" si="3"/>
        <v>-14206.043548387097</v>
      </c>
    </row>
    <row r="40" spans="1:19" x14ac:dyDescent="0.25">
      <c r="A40" s="58">
        <v>68</v>
      </c>
      <c r="B40" s="68">
        <f>$J$3/$J$1</f>
        <v>30.326086956521738</v>
      </c>
      <c r="C40" s="54">
        <v>-803861</v>
      </c>
      <c r="D40" s="69">
        <f t="shared" si="0"/>
        <v>-26507.244444444445</v>
      </c>
      <c r="F40" s="58">
        <v>18</v>
      </c>
      <c r="G40" s="68">
        <f>$J$3/$J$2</f>
        <v>33.41317365269461</v>
      </c>
      <c r="H40" s="54">
        <v>-824942</v>
      </c>
      <c r="I40" s="69">
        <f t="shared" si="1"/>
        <v>-24689.124372759856</v>
      </c>
      <c r="K40" s="58">
        <v>48</v>
      </c>
      <c r="L40" s="68">
        <f>$J$3/$J$1</f>
        <v>30.326086956521738</v>
      </c>
      <c r="M40" s="54">
        <v>-522318</v>
      </c>
      <c r="N40" s="69">
        <f t="shared" si="2"/>
        <v>-17223.389247311829</v>
      </c>
      <c r="P40" s="58">
        <v>57</v>
      </c>
      <c r="Q40" s="68">
        <f>$J$3/$J$2</f>
        <v>33.41317365269461</v>
      </c>
      <c r="R40" s="54">
        <v>-519769</v>
      </c>
      <c r="S40" s="69">
        <f t="shared" si="3"/>
        <v>-15555.810573476703</v>
      </c>
    </row>
    <row r="41" spans="1:19" x14ac:dyDescent="0.25">
      <c r="A41" s="58">
        <v>60</v>
      </c>
      <c r="B41" s="68">
        <f>$J$3/$J$1</f>
        <v>30.326086956521738</v>
      </c>
      <c r="C41" s="54">
        <v>-850901</v>
      </c>
      <c r="D41" s="69">
        <f t="shared" si="0"/>
        <v>-28058.384229390682</v>
      </c>
      <c r="F41" s="58">
        <v>11</v>
      </c>
      <c r="G41" s="68">
        <f>$J$3/$J$2</f>
        <v>33.41317365269461</v>
      </c>
      <c r="H41" s="54">
        <v>-906527</v>
      </c>
      <c r="I41" s="69">
        <f t="shared" si="1"/>
        <v>-27130.825985663083</v>
      </c>
      <c r="K41" s="58">
        <v>87</v>
      </c>
      <c r="L41" s="68">
        <f>$J$3/$J$1</f>
        <v>30.326086956521738</v>
      </c>
      <c r="M41" s="54">
        <v>-542332</v>
      </c>
      <c r="N41" s="69">
        <f t="shared" si="2"/>
        <v>-17883.349103942652</v>
      </c>
      <c r="P41" s="58">
        <v>35</v>
      </c>
      <c r="Q41" s="68">
        <f>$J$3/$J$2</f>
        <v>33.41317365269461</v>
      </c>
      <c r="R41" s="54">
        <v>-552149</v>
      </c>
      <c r="S41" s="69">
        <f t="shared" si="3"/>
        <v>-16524.889426523299</v>
      </c>
    </row>
    <row r="42" spans="1:19" x14ac:dyDescent="0.25">
      <c r="A42" s="58">
        <v>74</v>
      </c>
      <c r="B42" s="68">
        <f>$J$3/$J$1</f>
        <v>30.326086956521738</v>
      </c>
      <c r="C42" s="54">
        <v>-871942</v>
      </c>
      <c r="D42" s="69">
        <f t="shared" si="0"/>
        <v>-28752.209318996418</v>
      </c>
      <c r="F42" s="58">
        <v>14</v>
      </c>
      <c r="G42" s="68">
        <f>$J$3/$J$2</f>
        <v>33.41317365269461</v>
      </c>
      <c r="H42" s="54">
        <v>-923878</v>
      </c>
      <c r="I42" s="69">
        <f t="shared" si="1"/>
        <v>-27650.112186379931</v>
      </c>
      <c r="K42" s="58">
        <v>41</v>
      </c>
      <c r="L42" s="68">
        <f>$J$3/$J$1</f>
        <v>30.326086956521738</v>
      </c>
      <c r="M42" s="54">
        <v>-545075</v>
      </c>
      <c r="N42" s="69">
        <f t="shared" si="2"/>
        <v>-17973.799283154123</v>
      </c>
      <c r="P42" s="58">
        <v>81</v>
      </c>
      <c r="Q42" s="68">
        <f>$J$3/$J$2</f>
        <v>33.41317365269461</v>
      </c>
      <c r="R42" s="54">
        <v>-553719</v>
      </c>
      <c r="S42" s="69">
        <f t="shared" si="3"/>
        <v>-16571.876881720429</v>
      </c>
    </row>
    <row r="43" spans="1:19" x14ac:dyDescent="0.25">
      <c r="A43" s="58">
        <v>71</v>
      </c>
      <c r="B43" s="68">
        <f>$J$3/$J$1</f>
        <v>30.326086956521738</v>
      </c>
      <c r="C43" s="54">
        <v>-879757</v>
      </c>
      <c r="D43" s="69">
        <f t="shared" si="0"/>
        <v>-29009.908243727601</v>
      </c>
      <c r="F43" s="58">
        <v>90</v>
      </c>
      <c r="G43" s="68">
        <f>$J$3/$J$2</f>
        <v>33.41317365269461</v>
      </c>
      <c r="H43" s="54">
        <v>-944796</v>
      </c>
      <c r="I43" s="69">
        <f t="shared" si="1"/>
        <v>-28276.152688172042</v>
      </c>
      <c r="K43" s="58">
        <v>23</v>
      </c>
      <c r="L43" s="68">
        <f>$J$3/$J$1</f>
        <v>30.326086956521738</v>
      </c>
      <c r="M43" s="54">
        <v>-550483</v>
      </c>
      <c r="N43" s="69">
        <f t="shared" si="2"/>
        <v>-18152.127598566309</v>
      </c>
      <c r="P43" s="58">
        <v>25</v>
      </c>
      <c r="Q43" s="68">
        <f>$J$3/$J$2</f>
        <v>33.41317365269461</v>
      </c>
      <c r="R43" s="54">
        <v>-602771</v>
      </c>
      <c r="S43" s="69">
        <f t="shared" si="3"/>
        <v>-18039.920609318997</v>
      </c>
    </row>
    <row r="44" spans="1:19" x14ac:dyDescent="0.25">
      <c r="A44" s="58">
        <v>13</v>
      </c>
      <c r="B44" s="68">
        <f>$J$3/$J$1</f>
        <v>30.326086956521738</v>
      </c>
      <c r="C44" s="54">
        <v>-1072053</v>
      </c>
      <c r="D44" s="69">
        <f t="shared" si="0"/>
        <v>-35350.851612903229</v>
      </c>
      <c r="F44" s="58">
        <v>88</v>
      </c>
      <c r="G44" s="68">
        <f>$J$3/$J$2</f>
        <v>33.41317365269461</v>
      </c>
      <c r="H44" s="54">
        <v>-964689</v>
      </c>
      <c r="I44" s="69">
        <f t="shared" si="1"/>
        <v>-28871.516666666666</v>
      </c>
      <c r="K44" s="58">
        <v>55</v>
      </c>
      <c r="L44" s="68">
        <f>$J$3/$J$1</f>
        <v>30.326086956521738</v>
      </c>
      <c r="M44" s="54">
        <v>-592287</v>
      </c>
      <c r="N44" s="69">
        <f t="shared" si="2"/>
        <v>-19530.610752688171</v>
      </c>
      <c r="P44" s="58">
        <v>23</v>
      </c>
      <c r="Q44" s="68">
        <f>$J$3/$J$2</f>
        <v>33.41317365269461</v>
      </c>
      <c r="R44" s="54">
        <v>-625997</v>
      </c>
      <c r="S44" s="69">
        <f t="shared" si="3"/>
        <v>-18735.035663082439</v>
      </c>
    </row>
    <row r="45" spans="1:19" x14ac:dyDescent="0.25">
      <c r="A45" s="58">
        <v>92</v>
      </c>
      <c r="B45" s="68">
        <f>$J$3/$J$1</f>
        <v>30.326086956521738</v>
      </c>
      <c r="C45" s="54">
        <v>-1105120</v>
      </c>
      <c r="D45" s="69">
        <f t="shared" si="0"/>
        <v>-36441.232974910396</v>
      </c>
      <c r="F45" s="58">
        <v>10</v>
      </c>
      <c r="G45" s="68">
        <f>$J$3/$J$2</f>
        <v>33.41317365269461</v>
      </c>
      <c r="H45" s="54">
        <v>-1019506</v>
      </c>
      <c r="I45" s="69">
        <f t="shared" si="1"/>
        <v>-30512.097132616487</v>
      </c>
      <c r="K45" s="58">
        <v>31</v>
      </c>
      <c r="L45" s="68">
        <f>$J$3/$J$1</f>
        <v>30.326086956521738</v>
      </c>
      <c r="M45" s="54">
        <v>-620072</v>
      </c>
      <c r="N45" s="69">
        <f t="shared" si="2"/>
        <v>-20446.818637992834</v>
      </c>
      <c r="P45" s="58">
        <v>78</v>
      </c>
      <c r="Q45" s="68">
        <f>$J$3/$J$2</f>
        <v>33.41317365269461</v>
      </c>
      <c r="R45" s="54">
        <v>-732192</v>
      </c>
      <c r="S45" s="69">
        <f t="shared" si="3"/>
        <v>-21913.273118279569</v>
      </c>
    </row>
    <row r="46" spans="1:19" x14ac:dyDescent="0.25">
      <c r="A46" s="58">
        <v>21</v>
      </c>
      <c r="B46" s="68">
        <f>$J$3/$J$1</f>
        <v>30.326086956521738</v>
      </c>
      <c r="C46" s="54">
        <v>-1124143</v>
      </c>
      <c r="D46" s="69">
        <f t="shared" si="0"/>
        <v>-37068.514695340506</v>
      </c>
      <c r="F46" s="58">
        <v>2</v>
      </c>
      <c r="G46" s="68">
        <f>$J$3/$J$2</f>
        <v>33.41317365269461</v>
      </c>
      <c r="H46" s="54">
        <v>-1048073</v>
      </c>
      <c r="I46" s="69">
        <f t="shared" si="1"/>
        <v>-31367.059318996417</v>
      </c>
      <c r="K46" s="58">
        <v>40</v>
      </c>
      <c r="L46" s="68">
        <f>$J$3/$J$1</f>
        <v>30.326086956521738</v>
      </c>
      <c r="M46" s="54">
        <v>-658386</v>
      </c>
      <c r="N46" s="69">
        <f t="shared" si="2"/>
        <v>-21710.219354838711</v>
      </c>
      <c r="P46" s="58">
        <v>41</v>
      </c>
      <c r="Q46" s="68">
        <f>$J$3/$J$2</f>
        <v>33.41317365269461</v>
      </c>
      <c r="R46" s="54">
        <v>-890843</v>
      </c>
      <c r="S46" s="69">
        <f t="shared" si="3"/>
        <v>-26661.430286738352</v>
      </c>
    </row>
    <row r="47" spans="1:19" x14ac:dyDescent="0.25">
      <c r="A47" s="58">
        <v>64</v>
      </c>
      <c r="B47" s="68">
        <f>$J$3/$J$1</f>
        <v>30.326086956521738</v>
      </c>
      <c r="C47" s="54">
        <v>-1198677</v>
      </c>
      <c r="D47" s="69">
        <f t="shared" si="0"/>
        <v>-39526.26666666667</v>
      </c>
      <c r="F47" s="58">
        <v>12</v>
      </c>
      <c r="G47" s="68">
        <f>$J$3/$J$2</f>
        <v>33.41317365269461</v>
      </c>
      <c r="H47" s="54">
        <v>-1098022</v>
      </c>
      <c r="I47" s="69">
        <f t="shared" si="1"/>
        <v>-32861.948745519716</v>
      </c>
      <c r="K47" s="58">
        <v>97</v>
      </c>
      <c r="L47" s="68">
        <f>$J$3/$J$1</f>
        <v>30.326086956521738</v>
      </c>
      <c r="M47" s="54">
        <v>-661431</v>
      </c>
      <c r="N47" s="69">
        <f t="shared" si="2"/>
        <v>-21810.627956989247</v>
      </c>
      <c r="P47" s="58">
        <v>48</v>
      </c>
      <c r="Q47" s="68">
        <f>$J$3/$J$2</f>
        <v>33.41317365269461</v>
      </c>
      <c r="R47" s="54">
        <v>-914243</v>
      </c>
      <c r="S47" s="69">
        <f t="shared" si="3"/>
        <v>-27361.752867383515</v>
      </c>
    </row>
    <row r="48" spans="1:19" x14ac:dyDescent="0.25">
      <c r="A48" s="58">
        <v>3</v>
      </c>
      <c r="B48" s="68">
        <f>$J$3/$J$1</f>
        <v>30.326086956521738</v>
      </c>
      <c r="C48" s="54">
        <v>-1231829</v>
      </c>
      <c r="D48" s="69">
        <f t="shared" si="0"/>
        <v>-40619.450896057351</v>
      </c>
      <c r="F48" s="58">
        <v>72</v>
      </c>
      <c r="G48" s="68">
        <f>$J$3/$J$2</f>
        <v>33.41317365269461</v>
      </c>
      <c r="H48" s="54">
        <v>-1168137</v>
      </c>
      <c r="I48" s="69">
        <f t="shared" si="1"/>
        <v>-34960.372580645162</v>
      </c>
      <c r="K48" s="58">
        <v>56</v>
      </c>
      <c r="L48" s="68">
        <f>$J$3/$J$1</f>
        <v>30.326086956521738</v>
      </c>
      <c r="M48" s="54">
        <v>-736742</v>
      </c>
      <c r="N48" s="69">
        <f t="shared" si="2"/>
        <v>-24294.001433691756</v>
      </c>
      <c r="P48" s="58">
        <v>96</v>
      </c>
      <c r="Q48" s="68">
        <f>$J$3/$J$2</f>
        <v>33.41317365269461</v>
      </c>
      <c r="R48" s="54">
        <v>-944950</v>
      </c>
      <c r="S48" s="69">
        <f t="shared" si="3"/>
        <v>-28280.76164874552</v>
      </c>
    </row>
    <row r="49" spans="1:19" x14ac:dyDescent="0.25">
      <c r="A49" s="58">
        <v>70</v>
      </c>
      <c r="B49" s="68">
        <f>$J$3/$J$1</f>
        <v>30.326086956521738</v>
      </c>
      <c r="C49" s="54">
        <v>-1290356</v>
      </c>
      <c r="D49" s="69">
        <f t="shared" si="0"/>
        <v>-42549.373476702509</v>
      </c>
      <c r="F49" s="58">
        <v>62</v>
      </c>
      <c r="G49" s="68">
        <f>$J$3/$J$2</f>
        <v>33.41317365269461</v>
      </c>
      <c r="H49" s="54">
        <v>-1177761</v>
      </c>
      <c r="I49" s="69">
        <f t="shared" si="1"/>
        <v>-35248.402688172042</v>
      </c>
      <c r="K49" s="58">
        <v>85</v>
      </c>
      <c r="L49" s="68">
        <f>$J$3/$J$1</f>
        <v>30.326086956521738</v>
      </c>
      <c r="M49" s="54">
        <v>-789944</v>
      </c>
      <c r="N49" s="69">
        <f t="shared" si="2"/>
        <v>-26048.332616487456</v>
      </c>
      <c r="P49" s="58">
        <v>82</v>
      </c>
      <c r="Q49" s="68">
        <f>$J$3/$J$2</f>
        <v>33.41317365269461</v>
      </c>
      <c r="R49" s="54">
        <v>-954865</v>
      </c>
      <c r="S49" s="69">
        <f t="shared" si="3"/>
        <v>-28577.500896057347</v>
      </c>
    </row>
    <row r="50" spans="1:19" x14ac:dyDescent="0.25">
      <c r="A50" s="58">
        <v>65</v>
      </c>
      <c r="B50" s="68">
        <f>$J$3/$J$1</f>
        <v>30.326086956521738</v>
      </c>
      <c r="C50" s="54">
        <v>-1335361</v>
      </c>
      <c r="D50" s="69">
        <f t="shared" si="0"/>
        <v>-44033.409318996419</v>
      </c>
      <c r="F50" s="58">
        <v>19</v>
      </c>
      <c r="G50" s="68">
        <f>$J$3/$J$2</f>
        <v>33.41317365269461</v>
      </c>
      <c r="H50" s="54">
        <v>-1251057</v>
      </c>
      <c r="I50" s="69">
        <f t="shared" si="1"/>
        <v>-37442.028494623657</v>
      </c>
      <c r="K50" s="58">
        <v>26</v>
      </c>
      <c r="L50" s="68">
        <f>$J$3/$J$1</f>
        <v>30.326086956521738</v>
      </c>
      <c r="M50" s="54">
        <v>-946136</v>
      </c>
      <c r="N50" s="69">
        <f t="shared" si="2"/>
        <v>-31198.749820788533</v>
      </c>
      <c r="P50" s="58">
        <v>50</v>
      </c>
      <c r="Q50" s="68">
        <f>$J$3/$J$2</f>
        <v>33.41317365269461</v>
      </c>
      <c r="R50" s="54">
        <v>-1011749</v>
      </c>
      <c r="S50" s="69">
        <f t="shared" si="3"/>
        <v>-30279.943189964157</v>
      </c>
    </row>
    <row r="51" spans="1:19" x14ac:dyDescent="0.25">
      <c r="A51" s="58">
        <v>18</v>
      </c>
      <c r="B51" s="68">
        <f>$J$3/$J$1</f>
        <v>30.326086956521738</v>
      </c>
      <c r="C51" s="54">
        <v>-1388548</v>
      </c>
      <c r="D51" s="69">
        <f t="shared" si="0"/>
        <v>-45787.2458781362</v>
      </c>
      <c r="F51" s="58">
        <v>68</v>
      </c>
      <c r="G51" s="68">
        <f>$J$3/$J$2</f>
        <v>33.41317365269461</v>
      </c>
      <c r="H51" s="54">
        <v>-1292553</v>
      </c>
      <c r="I51" s="69">
        <f t="shared" si="1"/>
        <v>-38683.933870967739</v>
      </c>
      <c r="K51" s="58">
        <v>84</v>
      </c>
      <c r="L51" s="68">
        <f>$J$3/$J$1</f>
        <v>30.326086956521738</v>
      </c>
      <c r="M51" s="54">
        <v>-948146</v>
      </c>
      <c r="N51" s="69">
        <f t="shared" si="2"/>
        <v>-31265.029390681004</v>
      </c>
      <c r="P51" s="58">
        <v>40</v>
      </c>
      <c r="Q51" s="68">
        <f>$J$3/$J$2</f>
        <v>33.41317365269461</v>
      </c>
      <c r="R51" s="54">
        <v>-1028317</v>
      </c>
      <c r="S51" s="69">
        <f t="shared" si="3"/>
        <v>-30775.795519713261</v>
      </c>
    </row>
    <row r="52" spans="1:19" x14ac:dyDescent="0.25">
      <c r="A52" s="58">
        <v>91</v>
      </c>
      <c r="B52" s="68">
        <f>$J$3/$J$1</f>
        <v>30.326086956521738</v>
      </c>
      <c r="C52" s="54">
        <v>-1477388</v>
      </c>
      <c r="D52" s="69">
        <f t="shared" si="0"/>
        <v>-48716.736917562725</v>
      </c>
      <c r="F52" s="58">
        <v>60</v>
      </c>
      <c r="G52" s="68">
        <f>$J$3/$J$2</f>
        <v>33.41317365269461</v>
      </c>
      <c r="H52" s="54">
        <v>-1363928</v>
      </c>
      <c r="I52" s="69">
        <f t="shared" si="1"/>
        <v>-40820.067383512549</v>
      </c>
      <c r="K52" s="58">
        <v>37</v>
      </c>
      <c r="L52" s="68">
        <f>$J$3/$J$1</f>
        <v>30.326086956521738</v>
      </c>
      <c r="M52" s="54">
        <v>-1123636</v>
      </c>
      <c r="N52" s="69">
        <f t="shared" si="2"/>
        <v>-37051.796415770608</v>
      </c>
      <c r="P52" s="58">
        <v>45</v>
      </c>
      <c r="Q52" s="68">
        <f>$J$3/$J$2</f>
        <v>33.41317365269461</v>
      </c>
      <c r="R52" s="54">
        <v>-1108132</v>
      </c>
      <c r="S52" s="69">
        <f t="shared" si="3"/>
        <v>-33164.524014336916</v>
      </c>
    </row>
    <row r="53" spans="1:19" x14ac:dyDescent="0.25">
      <c r="A53" s="58">
        <v>67</v>
      </c>
      <c r="B53" s="68">
        <f>$J$3/$J$1</f>
        <v>30.326086956521738</v>
      </c>
      <c r="C53" s="54">
        <v>-1558535</v>
      </c>
      <c r="D53" s="69">
        <f t="shared" si="0"/>
        <v>-51392.551971326167</v>
      </c>
      <c r="F53" s="58">
        <v>66</v>
      </c>
      <c r="G53" s="68">
        <f>$J$3/$J$2</f>
        <v>33.41317365269461</v>
      </c>
      <c r="H53" s="54">
        <v>-1541082</v>
      </c>
      <c r="I53" s="69">
        <f t="shared" si="1"/>
        <v>-46121.988172043013</v>
      </c>
      <c r="K53" s="58">
        <v>77</v>
      </c>
      <c r="L53" s="68">
        <f>$J$3/$J$1</f>
        <v>30.326086956521738</v>
      </c>
      <c r="M53" s="54">
        <v>-1136517</v>
      </c>
      <c r="N53" s="69">
        <f t="shared" si="2"/>
        <v>-37476.546236559137</v>
      </c>
      <c r="P53" s="58">
        <v>37</v>
      </c>
      <c r="Q53" s="68">
        <f>$J$3/$J$2</f>
        <v>33.41317365269461</v>
      </c>
      <c r="R53" s="54">
        <v>-1231599</v>
      </c>
      <c r="S53" s="69">
        <f t="shared" si="3"/>
        <v>-36859.683333333334</v>
      </c>
    </row>
    <row r="54" spans="1:19" x14ac:dyDescent="0.25">
      <c r="A54" s="58">
        <v>93</v>
      </c>
      <c r="B54" s="68">
        <f>$J$3/$J$1</f>
        <v>30.326086956521738</v>
      </c>
      <c r="C54" s="54">
        <v>-1560391</v>
      </c>
      <c r="D54" s="69">
        <f t="shared" si="0"/>
        <v>-51453.753405017924</v>
      </c>
      <c r="F54" s="58">
        <v>13</v>
      </c>
      <c r="G54" s="68">
        <f>$J$3/$J$2</f>
        <v>33.41317365269461</v>
      </c>
      <c r="H54" s="54">
        <v>-1570807</v>
      </c>
      <c r="I54" s="69">
        <f t="shared" si="1"/>
        <v>-47011.607347670251</v>
      </c>
      <c r="K54" s="58">
        <v>94</v>
      </c>
      <c r="L54" s="68">
        <f>$J$3/$J$1</f>
        <v>30.326086956521738</v>
      </c>
      <c r="M54" s="54">
        <v>-1189690</v>
      </c>
      <c r="N54" s="69">
        <f t="shared" si="2"/>
        <v>-39229.921146953406</v>
      </c>
      <c r="P54" s="58">
        <v>80</v>
      </c>
      <c r="Q54" s="68">
        <f>$J$3/$J$2</f>
        <v>33.41317365269461</v>
      </c>
      <c r="R54" s="54">
        <v>-1261366</v>
      </c>
      <c r="S54" s="69">
        <f t="shared" si="3"/>
        <v>-37750.559498207884</v>
      </c>
    </row>
    <row r="55" spans="1:19" x14ac:dyDescent="0.25">
      <c r="A55" s="58"/>
      <c r="B55" s="59"/>
      <c r="C55" s="54"/>
      <c r="D55" s="55"/>
      <c r="F55" s="58"/>
      <c r="G55" s="59"/>
      <c r="H55" s="54"/>
      <c r="I55" s="55"/>
      <c r="K55" s="58">
        <v>32</v>
      </c>
      <c r="L55" s="68">
        <f>$J$3/$J$1</f>
        <v>30.326086956521738</v>
      </c>
      <c r="M55" s="54">
        <v>-1238968</v>
      </c>
      <c r="N55" s="69">
        <f t="shared" si="2"/>
        <v>-40854.858781362011</v>
      </c>
      <c r="P55" s="58">
        <v>52</v>
      </c>
      <c r="Q55" s="68">
        <f>$J$3/$J$2</f>
        <v>33.41317365269461</v>
      </c>
      <c r="R55" s="54">
        <v>-1306284</v>
      </c>
      <c r="S55" s="69">
        <f t="shared" si="3"/>
        <v>-39094.879569892473</v>
      </c>
    </row>
    <row r="56" spans="1:19" x14ac:dyDescent="0.25">
      <c r="A56" s="58"/>
      <c r="B56" s="59"/>
      <c r="C56" s="54"/>
      <c r="D56" s="55"/>
      <c r="F56" s="58"/>
      <c r="G56" s="59"/>
      <c r="H56" s="54"/>
      <c r="I56" s="55"/>
      <c r="K56" s="58">
        <v>36</v>
      </c>
      <c r="L56" s="68">
        <f>$J$3/$J$1</f>
        <v>30.326086956521738</v>
      </c>
      <c r="M56" s="54">
        <v>-1281241</v>
      </c>
      <c r="N56" s="69">
        <f t="shared" si="2"/>
        <v>-42248.807168458785</v>
      </c>
      <c r="P56" s="58">
        <v>38</v>
      </c>
      <c r="Q56" s="68">
        <f>$J$3/$J$2</f>
        <v>33.41317365269461</v>
      </c>
      <c r="R56" s="54">
        <v>-1308829</v>
      </c>
      <c r="S56" s="69">
        <f t="shared" si="3"/>
        <v>-39171.047132616492</v>
      </c>
    </row>
    <row r="57" spans="1:19" x14ac:dyDescent="0.25">
      <c r="A57" s="58"/>
      <c r="B57" s="59"/>
      <c r="C57" s="54"/>
      <c r="D57" s="55"/>
      <c r="F57" s="58"/>
      <c r="G57" s="59"/>
      <c r="H57" s="54"/>
      <c r="I57" s="55"/>
      <c r="K57" s="58">
        <v>29</v>
      </c>
      <c r="L57" s="68">
        <f>$J$3/$J$1</f>
        <v>30.326086956521738</v>
      </c>
      <c r="M57" s="54">
        <v>-1329121</v>
      </c>
      <c r="N57" s="69">
        <f t="shared" si="2"/>
        <v>-43827.645878136202</v>
      </c>
      <c r="P57" s="58">
        <v>46</v>
      </c>
      <c r="Q57" s="68">
        <f>$J$3/$J$2</f>
        <v>33.41317365269461</v>
      </c>
      <c r="R57" s="54">
        <v>-1311822</v>
      </c>
      <c r="S57" s="69">
        <f t="shared" si="3"/>
        <v>-39260.622580645162</v>
      </c>
    </row>
    <row r="58" spans="1:19" x14ac:dyDescent="0.25">
      <c r="A58" s="58"/>
      <c r="B58" s="59"/>
      <c r="C58" s="54"/>
      <c r="D58" s="55"/>
      <c r="F58" s="58"/>
      <c r="G58" s="59"/>
      <c r="H58" s="54"/>
      <c r="I58" s="55"/>
      <c r="K58" s="58">
        <v>80</v>
      </c>
      <c r="L58" s="68">
        <f>$J$3/$J$1</f>
        <v>30.326086956521738</v>
      </c>
      <c r="M58" s="54">
        <v>-1382584</v>
      </c>
      <c r="N58" s="69">
        <f t="shared" si="2"/>
        <v>-45590.583512544807</v>
      </c>
      <c r="P58" s="58">
        <v>53</v>
      </c>
      <c r="Q58" s="68">
        <f>$J$3/$J$2</f>
        <v>33.41317365269461</v>
      </c>
      <c r="R58" s="54">
        <v>-1316172</v>
      </c>
      <c r="S58" s="69">
        <f t="shared" si="3"/>
        <v>-39390.810752688172</v>
      </c>
    </row>
    <row r="59" spans="1:19" x14ac:dyDescent="0.25">
      <c r="A59" s="58"/>
      <c r="B59" s="59"/>
      <c r="C59" s="54"/>
      <c r="D59" s="55"/>
      <c r="F59" s="58"/>
      <c r="G59" s="59"/>
      <c r="H59" s="54"/>
      <c r="I59" s="55"/>
      <c r="K59" s="58">
        <v>38</v>
      </c>
      <c r="L59" s="68">
        <f>$J$3/$J$1</f>
        <v>30.326086956521738</v>
      </c>
      <c r="M59" s="54">
        <v>-1454904</v>
      </c>
      <c r="N59" s="69">
        <f t="shared" si="2"/>
        <v>-47975.329032258065</v>
      </c>
      <c r="P59" s="58">
        <v>87</v>
      </c>
      <c r="Q59" s="68">
        <f>$J$3/$J$2</f>
        <v>33.41317365269461</v>
      </c>
      <c r="R59" s="54">
        <v>-1394051</v>
      </c>
      <c r="S59" s="69">
        <f t="shared" si="3"/>
        <v>-41721.598028673834</v>
      </c>
    </row>
    <row r="60" spans="1:19" x14ac:dyDescent="0.25">
      <c r="A60" s="58"/>
      <c r="B60" s="59"/>
      <c r="C60" s="54"/>
      <c r="D60" s="55"/>
      <c r="F60" s="58"/>
      <c r="G60" s="59"/>
      <c r="H60" s="54"/>
      <c r="I60" s="55"/>
      <c r="K60" s="58">
        <v>96</v>
      </c>
      <c r="L60" s="68">
        <f>$J$3/$J$1</f>
        <v>30.326086956521738</v>
      </c>
      <c r="M60" s="54">
        <v>-1495940</v>
      </c>
      <c r="N60" s="69">
        <f t="shared" si="2"/>
        <v>-49328.487455197137</v>
      </c>
      <c r="P60" s="58">
        <v>36</v>
      </c>
      <c r="Q60" s="68">
        <f>$J$3/$J$2</f>
        <v>33.41317365269461</v>
      </c>
      <c r="R60" s="54">
        <v>-1395762</v>
      </c>
      <c r="S60" s="69">
        <f t="shared" si="3"/>
        <v>-41772.805376344084</v>
      </c>
    </row>
    <row r="61" spans="1:19" x14ac:dyDescent="0.25">
      <c r="A61" s="58"/>
      <c r="B61" s="59"/>
      <c r="C61" s="54"/>
      <c r="D61" s="55"/>
      <c r="F61" s="58"/>
      <c r="G61" s="59"/>
      <c r="H61" s="54"/>
      <c r="I61" s="55"/>
      <c r="K61" s="58">
        <v>76</v>
      </c>
      <c r="L61" s="68">
        <f>$J$3/$J$1</f>
        <v>30.326086956521738</v>
      </c>
      <c r="M61" s="54">
        <v>-1505954</v>
      </c>
      <c r="N61" s="69">
        <f t="shared" si="2"/>
        <v>-49658.698207885303</v>
      </c>
      <c r="P61" s="58">
        <v>42</v>
      </c>
      <c r="Q61" s="68">
        <f>$J$3/$J$2</f>
        <v>33.41317365269461</v>
      </c>
      <c r="R61" s="54">
        <v>-1449513</v>
      </c>
      <c r="S61" s="69">
        <f t="shared" si="3"/>
        <v>-43381.48225806452</v>
      </c>
    </row>
    <row r="62" spans="1:19" x14ac:dyDescent="0.25">
      <c r="A62" s="58"/>
      <c r="B62" s="59"/>
      <c r="C62" s="54"/>
      <c r="D62" s="55"/>
      <c r="F62" s="58"/>
      <c r="G62" s="59"/>
      <c r="H62" s="54"/>
      <c r="I62" s="55"/>
      <c r="K62" s="58">
        <v>52</v>
      </c>
      <c r="L62" s="68">
        <f>$J$3/$J$1</f>
        <v>30.326086956521738</v>
      </c>
      <c r="M62" s="54">
        <v>-1572435</v>
      </c>
      <c r="N62" s="69">
        <f t="shared" si="2"/>
        <v>-51850.903225806454</v>
      </c>
      <c r="P62" s="58">
        <v>28</v>
      </c>
      <c r="Q62" s="68">
        <f>$J$3/$J$2</f>
        <v>33.41317365269461</v>
      </c>
      <c r="R62" s="54">
        <v>-1475625</v>
      </c>
      <c r="S62" s="69">
        <f t="shared" si="3"/>
        <v>-44162.970430107525</v>
      </c>
    </row>
    <row r="63" spans="1:19" x14ac:dyDescent="0.25">
      <c r="A63" s="58"/>
      <c r="B63" s="59"/>
      <c r="C63" s="54"/>
      <c r="D63" s="55"/>
      <c r="F63" s="58"/>
      <c r="G63" s="59"/>
      <c r="H63" s="54"/>
      <c r="I63" s="55"/>
      <c r="K63" s="58">
        <v>100</v>
      </c>
      <c r="L63" s="68">
        <f>$J$3/$J$1</f>
        <v>30.326086956521738</v>
      </c>
      <c r="M63" s="54">
        <v>-1597710</v>
      </c>
      <c r="N63" s="69">
        <f t="shared" si="2"/>
        <v>-52684.344086021505</v>
      </c>
      <c r="P63" s="58">
        <v>83</v>
      </c>
      <c r="Q63" s="68">
        <f>$J$3/$J$2</f>
        <v>33.41317365269461</v>
      </c>
      <c r="R63" s="54">
        <v>-1533913</v>
      </c>
      <c r="S63" s="69">
        <f t="shared" si="3"/>
        <v>-45907.432078853046</v>
      </c>
    </row>
    <row r="64" spans="1:19" x14ac:dyDescent="0.25">
      <c r="A64" s="58"/>
      <c r="B64" s="59"/>
      <c r="C64" s="54"/>
      <c r="D64" s="55"/>
      <c r="F64" s="58"/>
      <c r="G64" s="59"/>
      <c r="H64" s="54"/>
      <c r="I64" s="55"/>
      <c r="K64" s="58">
        <v>51</v>
      </c>
      <c r="L64" s="68">
        <f>$J$3/$J$1</f>
        <v>30.326086956521738</v>
      </c>
      <c r="M64" s="54">
        <v>-1602000</v>
      </c>
      <c r="N64" s="69">
        <f t="shared" si="2"/>
        <v>-52825.806451612902</v>
      </c>
      <c r="P64" s="58">
        <v>77</v>
      </c>
      <c r="Q64" s="68">
        <f>$J$3/$J$2</f>
        <v>33.41317365269461</v>
      </c>
      <c r="R64" s="54">
        <v>-1545855</v>
      </c>
      <c r="S64" s="69">
        <f t="shared" si="3"/>
        <v>-46264.836021505376</v>
      </c>
    </row>
    <row r="65" spans="1:19" x14ac:dyDescent="0.25">
      <c r="A65" s="58"/>
      <c r="B65" s="59"/>
      <c r="C65" s="54"/>
      <c r="D65" s="55"/>
      <c r="F65" s="58"/>
      <c r="G65" s="59"/>
      <c r="H65" s="54"/>
      <c r="I65" s="55"/>
      <c r="K65" s="58"/>
      <c r="L65" s="59"/>
      <c r="M65" s="54"/>
      <c r="N65" s="55"/>
      <c r="P65" s="58"/>
      <c r="Q65" s="59"/>
      <c r="R65" s="54"/>
      <c r="S65" s="55"/>
    </row>
    <row r="66" spans="1:19" x14ac:dyDescent="0.25">
      <c r="A66" s="58"/>
      <c r="B66" s="59"/>
      <c r="C66" s="54"/>
      <c r="D66" s="55"/>
      <c r="F66" s="58"/>
      <c r="G66" s="59"/>
      <c r="H66" s="54"/>
      <c r="I66" s="55"/>
      <c r="K66" s="58"/>
      <c r="L66" s="59"/>
      <c r="M66" s="54"/>
      <c r="N66" s="55"/>
      <c r="P66" s="58"/>
      <c r="Q66" s="59"/>
      <c r="R66" s="54"/>
      <c r="S66" s="55"/>
    </row>
    <row r="67" spans="1:19" x14ac:dyDescent="0.25">
      <c r="A67" s="58"/>
      <c r="B67" s="59"/>
      <c r="C67" s="54"/>
      <c r="D67" s="55"/>
      <c r="F67" s="58"/>
      <c r="G67" s="59"/>
      <c r="H67" s="54"/>
      <c r="I67" s="55"/>
      <c r="K67" s="58"/>
      <c r="L67" s="59"/>
      <c r="M67" s="54"/>
      <c r="N67" s="55"/>
      <c r="P67" s="58"/>
      <c r="Q67" s="59"/>
      <c r="R67" s="54"/>
      <c r="S67" s="55"/>
    </row>
    <row r="68" spans="1:19" x14ac:dyDescent="0.25">
      <c r="A68" s="58"/>
      <c r="B68" s="59"/>
      <c r="C68" s="54"/>
      <c r="D68" s="55"/>
      <c r="F68" s="58"/>
      <c r="G68" s="59"/>
      <c r="H68" s="54"/>
      <c r="I68" s="55"/>
      <c r="K68" s="58"/>
      <c r="L68" s="59"/>
      <c r="M68" s="54"/>
      <c r="N68" s="55"/>
      <c r="P68" s="58"/>
      <c r="Q68" s="59"/>
      <c r="R68" s="54"/>
      <c r="S68" s="55"/>
    </row>
    <row r="69" spans="1:19" x14ac:dyDescent="0.25">
      <c r="A69" s="58"/>
      <c r="B69" s="59"/>
      <c r="C69" s="54"/>
      <c r="D69" s="55"/>
      <c r="F69" s="58"/>
      <c r="G69" s="59"/>
      <c r="H69" s="54"/>
      <c r="I69" s="55"/>
      <c r="K69" s="58"/>
      <c r="L69" s="59"/>
      <c r="M69" s="54"/>
      <c r="N69" s="55"/>
      <c r="P69" s="58"/>
      <c r="Q69" s="59"/>
      <c r="R69" s="54"/>
      <c r="S69" s="55"/>
    </row>
    <row r="70" spans="1:19" x14ac:dyDescent="0.25">
      <c r="A70" s="58"/>
      <c r="B70" s="59"/>
      <c r="C70" s="54"/>
      <c r="D70" s="55"/>
      <c r="F70" s="58"/>
      <c r="G70" s="59"/>
      <c r="H70" s="54"/>
      <c r="I70" s="55"/>
      <c r="K70" s="58"/>
      <c r="L70" s="59"/>
      <c r="M70" s="54"/>
      <c r="N70" s="55"/>
      <c r="P70" s="58"/>
      <c r="Q70" s="59"/>
      <c r="R70" s="54"/>
      <c r="S70" s="55"/>
    </row>
    <row r="71" spans="1:19" x14ac:dyDescent="0.25">
      <c r="A71" s="58"/>
      <c r="B71" s="59"/>
      <c r="C71" s="54"/>
      <c r="D71" s="55"/>
      <c r="F71" s="58"/>
      <c r="G71" s="59"/>
      <c r="H71" s="54"/>
      <c r="I71" s="55"/>
      <c r="K71" s="58"/>
      <c r="L71" s="59"/>
      <c r="M71" s="54"/>
      <c r="N71" s="55"/>
      <c r="P71" s="58"/>
      <c r="Q71" s="59"/>
      <c r="R71" s="54"/>
      <c r="S71" s="55"/>
    </row>
    <row r="72" spans="1:19" x14ac:dyDescent="0.25">
      <c r="A72" s="58"/>
      <c r="B72" s="59"/>
      <c r="C72" s="54"/>
      <c r="D72" s="55"/>
      <c r="F72" s="58"/>
      <c r="G72" s="59"/>
      <c r="H72" s="54"/>
      <c r="I72" s="55"/>
      <c r="K72" s="58"/>
      <c r="L72" s="59"/>
      <c r="M72" s="54"/>
      <c r="N72" s="55"/>
      <c r="P72" s="58"/>
      <c r="Q72" s="59"/>
      <c r="R72" s="54"/>
      <c r="S72" s="55"/>
    </row>
    <row r="73" spans="1:19" x14ac:dyDescent="0.25">
      <c r="A73" s="58"/>
      <c r="B73" s="59"/>
      <c r="C73" s="54"/>
      <c r="D73" s="55"/>
      <c r="F73" s="58"/>
      <c r="G73" s="59"/>
      <c r="H73" s="54"/>
      <c r="I73" s="55"/>
      <c r="K73" s="58"/>
      <c r="L73" s="59"/>
      <c r="M73" s="54"/>
      <c r="N73" s="55"/>
      <c r="P73" s="58"/>
      <c r="Q73" s="59"/>
      <c r="R73" s="54"/>
      <c r="S73" s="55"/>
    </row>
    <row r="74" spans="1:19" x14ac:dyDescent="0.25">
      <c r="A74" s="58"/>
      <c r="B74" s="59"/>
      <c r="C74" s="54"/>
      <c r="D74" s="55"/>
      <c r="F74" s="58"/>
      <c r="G74" s="59"/>
      <c r="H74" s="54"/>
      <c r="I74" s="55"/>
      <c r="K74" s="58"/>
      <c r="L74" s="59"/>
      <c r="M74" s="54"/>
      <c r="N74" s="55"/>
      <c r="P74" s="58"/>
      <c r="Q74" s="59"/>
      <c r="R74" s="54"/>
      <c r="S74" s="55"/>
    </row>
    <row r="75" spans="1:19" x14ac:dyDescent="0.25">
      <c r="A75" s="58"/>
      <c r="B75" s="59"/>
      <c r="C75" s="54"/>
      <c r="D75" s="55"/>
      <c r="F75" s="58"/>
      <c r="G75" s="59"/>
      <c r="H75" s="54"/>
      <c r="I75" s="55"/>
      <c r="K75" s="58"/>
      <c r="L75" s="59"/>
      <c r="M75" s="54"/>
      <c r="N75" s="55"/>
      <c r="P75" s="58"/>
      <c r="Q75" s="59"/>
      <c r="R75" s="54"/>
      <c r="S75" s="55"/>
    </row>
    <row r="76" spans="1:19" x14ac:dyDescent="0.25">
      <c r="A76" s="58"/>
      <c r="B76" s="59"/>
      <c r="C76" s="54"/>
      <c r="D76" s="55"/>
      <c r="F76" s="58"/>
      <c r="G76" s="59"/>
      <c r="H76" s="54"/>
      <c r="I76" s="55"/>
      <c r="K76" s="58"/>
      <c r="L76" s="59"/>
      <c r="M76" s="54"/>
      <c r="N76" s="55"/>
      <c r="P76" s="58"/>
      <c r="Q76" s="59"/>
      <c r="R76" s="54"/>
      <c r="S76" s="55"/>
    </row>
    <row r="77" spans="1:19" x14ac:dyDescent="0.25">
      <c r="A77" s="58"/>
      <c r="B77" s="59"/>
      <c r="C77" s="54"/>
      <c r="D77" s="55"/>
      <c r="F77" s="58"/>
      <c r="G77" s="59"/>
      <c r="H77" s="54"/>
      <c r="I77" s="55"/>
      <c r="K77" s="58"/>
      <c r="L77" s="59"/>
      <c r="M77" s="54"/>
      <c r="N77" s="55"/>
      <c r="P77" s="58"/>
      <c r="Q77" s="59"/>
      <c r="R77" s="54"/>
      <c r="S77" s="55"/>
    </row>
    <row r="78" spans="1:19" x14ac:dyDescent="0.25">
      <c r="A78" s="58"/>
      <c r="B78" s="59"/>
      <c r="C78" s="54"/>
      <c r="D78" s="55"/>
      <c r="F78" s="58"/>
      <c r="G78" s="59"/>
      <c r="H78" s="54"/>
      <c r="I78" s="55"/>
      <c r="K78" s="58"/>
      <c r="L78" s="59"/>
      <c r="M78" s="54"/>
      <c r="N78" s="55"/>
      <c r="P78" s="58"/>
      <c r="Q78" s="59"/>
      <c r="R78" s="54"/>
      <c r="S78" s="55"/>
    </row>
    <row r="79" spans="1:19" x14ac:dyDescent="0.25">
      <c r="A79" s="58"/>
      <c r="B79" s="59"/>
      <c r="C79" s="54"/>
      <c r="D79" s="55"/>
      <c r="F79" s="58"/>
      <c r="G79" s="59"/>
      <c r="H79" s="54"/>
      <c r="I79" s="55"/>
      <c r="K79" s="58"/>
      <c r="L79" s="59"/>
      <c r="M79" s="54"/>
      <c r="N79" s="55"/>
      <c r="P79" s="58"/>
      <c r="Q79" s="59"/>
      <c r="R79" s="54"/>
      <c r="S79" s="55"/>
    </row>
    <row r="80" spans="1:19" x14ac:dyDescent="0.25">
      <c r="A80" s="58"/>
      <c r="B80" s="59"/>
      <c r="C80" s="54"/>
      <c r="D80" s="55"/>
      <c r="F80" s="58"/>
      <c r="G80" s="59"/>
      <c r="H80" s="54"/>
      <c r="I80" s="55"/>
      <c r="K80" s="58"/>
      <c r="L80" s="59"/>
      <c r="M80" s="54"/>
      <c r="N80" s="55"/>
      <c r="P80" s="58"/>
      <c r="Q80" s="59"/>
      <c r="R80" s="54"/>
      <c r="S80" s="55"/>
    </row>
    <row r="81" spans="1:19" x14ac:dyDescent="0.25">
      <c r="A81" s="58"/>
      <c r="B81" s="59"/>
      <c r="C81" s="54"/>
      <c r="D81" s="55"/>
      <c r="F81" s="58"/>
      <c r="G81" s="59"/>
      <c r="H81" s="54"/>
      <c r="I81" s="55"/>
      <c r="K81" s="58"/>
      <c r="L81" s="59"/>
      <c r="M81" s="54"/>
      <c r="N81" s="55"/>
      <c r="P81" s="58"/>
      <c r="Q81" s="59"/>
      <c r="R81" s="54"/>
      <c r="S81" s="55"/>
    </row>
    <row r="82" spans="1:19" x14ac:dyDescent="0.25">
      <c r="A82" s="58"/>
      <c r="B82" s="59"/>
      <c r="C82" s="54"/>
      <c r="D82" s="55"/>
      <c r="F82" s="58"/>
      <c r="G82" s="59"/>
      <c r="H82" s="54"/>
      <c r="I82" s="55"/>
      <c r="K82" s="58"/>
      <c r="L82" s="59"/>
      <c r="M82" s="54"/>
      <c r="N82" s="55"/>
      <c r="P82" s="58"/>
      <c r="Q82" s="59"/>
      <c r="R82" s="54"/>
      <c r="S82" s="55"/>
    </row>
    <row r="83" spans="1:19" x14ac:dyDescent="0.25">
      <c r="A83" s="58"/>
      <c r="B83" s="59"/>
      <c r="C83" s="54"/>
      <c r="D83" s="55"/>
      <c r="F83" s="58"/>
      <c r="G83" s="59"/>
      <c r="H83" s="54"/>
      <c r="I83" s="55"/>
      <c r="K83" s="58"/>
      <c r="L83" s="59"/>
      <c r="M83" s="54"/>
      <c r="N83" s="55"/>
      <c r="P83" s="58"/>
      <c r="Q83" s="59"/>
      <c r="R83" s="54"/>
      <c r="S83" s="55"/>
    </row>
    <row r="84" spans="1:19" x14ac:dyDescent="0.25">
      <c r="A84" s="58"/>
      <c r="B84" s="59"/>
      <c r="C84" s="54"/>
      <c r="D84" s="55"/>
      <c r="F84" s="58"/>
      <c r="G84" s="59"/>
      <c r="H84" s="54"/>
      <c r="I84" s="55"/>
      <c r="K84" s="58"/>
      <c r="L84" s="59"/>
      <c r="M84" s="54"/>
      <c r="N84" s="55"/>
      <c r="P84" s="58"/>
      <c r="Q84" s="59"/>
      <c r="R84" s="54"/>
      <c r="S84" s="55"/>
    </row>
    <row r="85" spans="1:19" x14ac:dyDescent="0.25">
      <c r="A85" s="58"/>
      <c r="B85" s="59"/>
      <c r="C85" s="54"/>
      <c r="D85" s="55"/>
      <c r="F85" s="58"/>
      <c r="G85" s="59"/>
      <c r="H85" s="54"/>
      <c r="I85" s="55"/>
      <c r="K85" s="58"/>
      <c r="L85" s="59"/>
      <c r="M85" s="54"/>
      <c r="N85" s="55"/>
      <c r="P85" s="58"/>
      <c r="Q85" s="59"/>
      <c r="R85" s="54"/>
      <c r="S85" s="55"/>
    </row>
    <row r="86" spans="1:19" x14ac:dyDescent="0.25">
      <c r="A86" s="58"/>
      <c r="B86" s="59"/>
      <c r="C86" s="54"/>
      <c r="D86" s="55"/>
      <c r="F86" s="58"/>
      <c r="G86" s="59"/>
      <c r="H86" s="54"/>
      <c r="I86" s="55"/>
      <c r="K86" s="58"/>
      <c r="L86" s="59"/>
      <c r="M86" s="54"/>
      <c r="N86" s="55"/>
      <c r="P86" s="58"/>
      <c r="Q86" s="59"/>
      <c r="R86" s="54"/>
      <c r="S86" s="55"/>
    </row>
    <row r="87" spans="1:19" x14ac:dyDescent="0.25">
      <c r="A87" s="58"/>
      <c r="B87" s="59"/>
      <c r="C87" s="54"/>
      <c r="D87" s="55"/>
      <c r="F87" s="58"/>
      <c r="G87" s="59"/>
      <c r="H87" s="54"/>
      <c r="I87" s="55"/>
      <c r="K87" s="58"/>
      <c r="L87" s="59"/>
      <c r="M87" s="54"/>
      <c r="N87" s="55"/>
      <c r="P87" s="58"/>
      <c r="Q87" s="59"/>
      <c r="R87" s="54"/>
      <c r="S87" s="55"/>
    </row>
    <row r="88" spans="1:19" x14ac:dyDescent="0.25">
      <c r="A88" s="58"/>
      <c r="B88" s="59"/>
      <c r="C88" s="54"/>
      <c r="D88" s="55"/>
      <c r="F88" s="58"/>
      <c r="G88" s="59"/>
      <c r="H88" s="54"/>
      <c r="I88" s="55"/>
      <c r="K88" s="58"/>
      <c r="L88" s="59"/>
      <c r="M88" s="54"/>
      <c r="N88" s="55"/>
      <c r="P88" s="58"/>
      <c r="Q88" s="59"/>
      <c r="R88" s="54"/>
      <c r="S88" s="55"/>
    </row>
    <row r="89" spans="1:19" x14ac:dyDescent="0.25">
      <c r="A89" s="58"/>
      <c r="B89" s="59"/>
      <c r="C89" s="54"/>
      <c r="D89" s="55"/>
      <c r="F89" s="58"/>
      <c r="G89" s="59"/>
      <c r="H89" s="54"/>
      <c r="I89" s="55"/>
      <c r="K89" s="58"/>
      <c r="L89" s="59"/>
      <c r="M89" s="54"/>
      <c r="N89" s="55"/>
      <c r="P89" s="58"/>
      <c r="Q89" s="59"/>
      <c r="R89" s="54"/>
      <c r="S89" s="55"/>
    </row>
    <row r="90" spans="1:19" x14ac:dyDescent="0.25">
      <c r="A90" s="58"/>
      <c r="B90" s="59"/>
      <c r="C90" s="54"/>
      <c r="D90" s="55"/>
      <c r="F90" s="58"/>
      <c r="G90" s="59"/>
      <c r="H90" s="54"/>
      <c r="I90" s="55"/>
      <c r="K90" s="58"/>
      <c r="L90" s="59"/>
      <c r="M90" s="54"/>
      <c r="N90" s="55"/>
      <c r="P90" s="58"/>
      <c r="Q90" s="59"/>
      <c r="R90" s="54"/>
      <c r="S90" s="55"/>
    </row>
    <row r="91" spans="1:19" x14ac:dyDescent="0.25">
      <c r="A91" s="58"/>
      <c r="B91" s="59"/>
      <c r="C91" s="54"/>
      <c r="D91" s="55"/>
      <c r="F91" s="58"/>
      <c r="G91" s="59"/>
      <c r="H91" s="54"/>
      <c r="I91" s="55"/>
      <c r="K91" s="58"/>
      <c r="L91" s="59"/>
      <c r="M91" s="54"/>
      <c r="N91" s="55"/>
      <c r="P91" s="58"/>
      <c r="Q91" s="59"/>
      <c r="R91" s="54"/>
      <c r="S91" s="55"/>
    </row>
    <row r="92" spans="1:19" x14ac:dyDescent="0.25">
      <c r="A92" s="58"/>
      <c r="B92" s="59"/>
      <c r="C92" s="54"/>
      <c r="D92" s="55"/>
      <c r="F92" s="58"/>
      <c r="G92" s="59"/>
      <c r="H92" s="54"/>
      <c r="I92" s="55"/>
      <c r="K92" s="58"/>
      <c r="L92" s="59"/>
      <c r="M92" s="54"/>
      <c r="N92" s="55"/>
      <c r="P92" s="58"/>
      <c r="Q92" s="59"/>
      <c r="R92" s="54"/>
      <c r="S92" s="55"/>
    </row>
    <row r="93" spans="1:19" x14ac:dyDescent="0.25">
      <c r="A93" s="58"/>
      <c r="B93" s="59"/>
      <c r="C93" s="54"/>
      <c r="D93" s="55"/>
      <c r="F93" s="58"/>
      <c r="G93" s="59"/>
      <c r="H93" s="54"/>
      <c r="I93" s="55"/>
      <c r="K93" s="58"/>
      <c r="L93" s="59"/>
      <c r="M93" s="54"/>
      <c r="N93" s="55"/>
      <c r="P93" s="58"/>
      <c r="Q93" s="59"/>
      <c r="R93" s="54"/>
      <c r="S93" s="55"/>
    </row>
    <row r="94" spans="1:19" x14ac:dyDescent="0.25">
      <c r="A94" s="58"/>
      <c r="B94" s="59"/>
      <c r="C94" s="54"/>
      <c r="D94" s="55"/>
      <c r="F94" s="58"/>
      <c r="G94" s="59"/>
      <c r="H94" s="54"/>
      <c r="I94" s="55"/>
      <c r="K94" s="58"/>
      <c r="L94" s="59"/>
      <c r="M94" s="54"/>
      <c r="N94" s="55"/>
      <c r="P94" s="58"/>
      <c r="Q94" s="59"/>
      <c r="R94" s="54"/>
      <c r="S94" s="55"/>
    </row>
    <row r="95" spans="1:19" x14ac:dyDescent="0.25">
      <c r="A95" s="58"/>
      <c r="B95" s="59"/>
      <c r="C95" s="54"/>
      <c r="D95" s="55"/>
      <c r="F95" s="58"/>
      <c r="G95" s="59"/>
      <c r="H95" s="54"/>
      <c r="I95" s="55"/>
      <c r="K95" s="58"/>
      <c r="L95" s="59"/>
      <c r="M95" s="54"/>
      <c r="N95" s="55"/>
      <c r="P95" s="58"/>
      <c r="Q95" s="59"/>
      <c r="R95" s="54"/>
      <c r="S95" s="55"/>
    </row>
    <row r="96" spans="1:19" x14ac:dyDescent="0.25">
      <c r="A96" s="58"/>
      <c r="B96" s="59"/>
      <c r="C96" s="54"/>
      <c r="D96" s="55"/>
      <c r="F96" s="58"/>
      <c r="G96" s="59"/>
      <c r="H96" s="54"/>
      <c r="I96" s="55"/>
      <c r="K96" s="58"/>
      <c r="L96" s="59"/>
      <c r="M96" s="54"/>
      <c r="N96" s="55"/>
      <c r="P96" s="58"/>
      <c r="Q96" s="59"/>
      <c r="R96" s="54"/>
      <c r="S96" s="55"/>
    </row>
    <row r="97" spans="1:19" x14ac:dyDescent="0.25">
      <c r="A97" s="58"/>
      <c r="B97" s="59"/>
      <c r="C97" s="54"/>
      <c r="D97" s="55"/>
      <c r="F97" s="58"/>
      <c r="G97" s="59"/>
      <c r="H97" s="54"/>
      <c r="I97" s="55"/>
      <c r="K97" s="58"/>
      <c r="L97" s="59"/>
      <c r="M97" s="54"/>
      <c r="N97" s="55"/>
      <c r="P97" s="58"/>
      <c r="Q97" s="59"/>
      <c r="R97" s="54"/>
      <c r="S97" s="55"/>
    </row>
    <row r="98" spans="1:19" x14ac:dyDescent="0.25">
      <c r="A98" s="58"/>
      <c r="B98" s="59"/>
      <c r="C98" s="54"/>
      <c r="D98" s="55"/>
      <c r="F98" s="58"/>
      <c r="G98" s="59"/>
      <c r="H98" s="54"/>
      <c r="I98" s="55"/>
      <c r="K98" s="58"/>
      <c r="L98" s="59"/>
      <c r="M98" s="54"/>
      <c r="N98" s="55"/>
      <c r="P98" s="58"/>
      <c r="Q98" s="59"/>
      <c r="R98" s="54"/>
      <c r="S98" s="55"/>
    </row>
    <row r="99" spans="1:19" x14ac:dyDescent="0.25">
      <c r="A99" s="58"/>
      <c r="B99" s="59"/>
      <c r="C99" s="54"/>
      <c r="D99" s="55"/>
      <c r="F99" s="58"/>
      <c r="G99" s="59"/>
      <c r="H99" s="54"/>
      <c r="I99" s="55"/>
      <c r="K99" s="58"/>
      <c r="L99" s="59"/>
      <c r="M99" s="54"/>
      <c r="N99" s="55"/>
      <c r="P99" s="58"/>
      <c r="Q99" s="59"/>
      <c r="R99" s="54"/>
      <c r="S99" s="55"/>
    </row>
    <row r="100" spans="1:19" x14ac:dyDescent="0.25">
      <c r="A100" s="58"/>
      <c r="B100" s="59"/>
      <c r="C100" s="54"/>
      <c r="D100" s="55"/>
      <c r="F100" s="58"/>
      <c r="G100" s="59"/>
      <c r="H100" s="54"/>
      <c r="I100" s="55"/>
      <c r="K100" s="58"/>
      <c r="L100" s="59"/>
      <c r="M100" s="54"/>
      <c r="N100" s="55"/>
      <c r="P100" s="58"/>
      <c r="Q100" s="59"/>
      <c r="R100" s="54"/>
      <c r="S100" s="55"/>
    </row>
    <row r="101" spans="1:19" x14ac:dyDescent="0.25">
      <c r="A101" s="58"/>
      <c r="B101" s="59"/>
      <c r="C101" s="54"/>
      <c r="D101" s="55"/>
      <c r="F101" s="58"/>
      <c r="G101" s="59"/>
      <c r="H101" s="54"/>
      <c r="I101" s="55"/>
      <c r="K101" s="58"/>
      <c r="L101" s="59"/>
      <c r="M101" s="54"/>
      <c r="N101" s="55"/>
      <c r="P101" s="58"/>
      <c r="Q101" s="59"/>
      <c r="R101" s="54"/>
      <c r="S101" s="55"/>
    </row>
    <row r="102" spans="1:19" x14ac:dyDescent="0.25">
      <c r="A102" s="58"/>
      <c r="B102" s="59"/>
      <c r="C102" s="54"/>
      <c r="D102" s="55"/>
      <c r="F102" s="58"/>
      <c r="G102" s="59"/>
      <c r="H102" s="54"/>
      <c r="I102" s="55"/>
      <c r="K102" s="58"/>
      <c r="L102" s="59"/>
      <c r="M102" s="54"/>
      <c r="N102" s="55"/>
      <c r="P102" s="58"/>
      <c r="Q102" s="59"/>
      <c r="R102" s="54"/>
      <c r="S102" s="55"/>
    </row>
    <row r="103" spans="1:19" x14ac:dyDescent="0.25">
      <c r="A103" s="58"/>
      <c r="B103" s="59"/>
      <c r="C103" s="54"/>
      <c r="D103" s="55"/>
      <c r="F103" s="58"/>
      <c r="G103" s="59"/>
      <c r="H103" s="54"/>
      <c r="I103" s="55"/>
      <c r="K103" s="58"/>
      <c r="L103" s="59"/>
      <c r="M103" s="54"/>
      <c r="N103" s="55"/>
      <c r="P103" s="58"/>
      <c r="Q103" s="59"/>
      <c r="R103" s="54"/>
      <c r="S103" s="55"/>
    </row>
    <row r="104" spans="1:19" x14ac:dyDescent="0.25">
      <c r="A104" s="58"/>
      <c r="B104" s="59"/>
      <c r="C104" s="54"/>
      <c r="D104" s="55"/>
      <c r="F104" s="58"/>
      <c r="G104" s="59"/>
      <c r="H104" s="54"/>
      <c r="I104" s="55"/>
      <c r="K104" s="58"/>
      <c r="L104" s="59"/>
      <c r="M104" s="54"/>
      <c r="N104" s="55"/>
      <c r="P104" s="58"/>
      <c r="Q104" s="59"/>
      <c r="R104" s="54"/>
      <c r="S104" s="55"/>
    </row>
    <row r="105" spans="1:19" x14ac:dyDescent="0.25">
      <c r="A105" s="58"/>
      <c r="B105" s="59"/>
      <c r="C105" s="54"/>
      <c r="D105" s="55"/>
      <c r="F105" s="58"/>
      <c r="G105" s="59"/>
      <c r="H105" s="54"/>
      <c r="I105" s="55"/>
      <c r="K105" s="58"/>
      <c r="L105" s="59"/>
      <c r="M105" s="54"/>
      <c r="N105" s="55"/>
      <c r="P105" s="58"/>
      <c r="Q105" s="59"/>
      <c r="R105" s="54"/>
      <c r="S105" s="55"/>
    </row>
    <row r="106" spans="1:19" x14ac:dyDescent="0.25">
      <c r="A106" s="58"/>
      <c r="B106" s="59"/>
      <c r="C106" s="54"/>
      <c r="D106" s="55"/>
      <c r="F106" s="58"/>
      <c r="G106" s="59"/>
      <c r="H106" s="54"/>
      <c r="I106" s="55"/>
      <c r="K106" s="58"/>
      <c r="L106" s="59"/>
      <c r="M106" s="54"/>
      <c r="N106" s="55"/>
      <c r="P106" s="58"/>
      <c r="Q106" s="59"/>
      <c r="R106" s="54"/>
      <c r="S106" s="55"/>
    </row>
    <row r="107" spans="1:19" x14ac:dyDescent="0.25">
      <c r="A107" s="58"/>
      <c r="B107" s="59"/>
      <c r="C107" s="54"/>
      <c r="D107" s="55"/>
      <c r="F107" s="58"/>
      <c r="G107" s="59"/>
      <c r="H107" s="54"/>
      <c r="I107" s="55"/>
      <c r="K107" s="58"/>
      <c r="L107" s="59"/>
      <c r="M107" s="54"/>
      <c r="N107" s="55"/>
      <c r="P107" s="58"/>
      <c r="Q107" s="59"/>
      <c r="R107" s="54"/>
      <c r="S107" s="55"/>
    </row>
    <row r="108" spans="1:19" x14ac:dyDescent="0.25">
      <c r="A108" s="58"/>
      <c r="B108" s="59"/>
      <c r="C108" s="54"/>
      <c r="D108" s="55"/>
      <c r="F108" s="58"/>
      <c r="G108" s="59"/>
      <c r="H108" s="54"/>
      <c r="I108" s="55"/>
      <c r="K108" s="58"/>
      <c r="L108" s="59"/>
      <c r="M108" s="54"/>
      <c r="N108" s="55"/>
      <c r="P108" s="58"/>
      <c r="Q108" s="59"/>
      <c r="R108" s="54"/>
      <c r="S108" s="55"/>
    </row>
    <row r="109" spans="1:19" x14ac:dyDescent="0.25">
      <c r="A109" s="58"/>
      <c r="B109" s="59"/>
      <c r="C109" s="54"/>
      <c r="D109" s="55"/>
      <c r="F109" s="58"/>
      <c r="G109" s="59"/>
      <c r="H109" s="54"/>
      <c r="I109" s="55"/>
      <c r="K109" s="58"/>
      <c r="L109" s="59"/>
      <c r="M109" s="54"/>
      <c r="N109" s="55"/>
      <c r="P109" s="58"/>
      <c r="Q109" s="59"/>
      <c r="R109" s="54"/>
      <c r="S109" s="55"/>
    </row>
    <row r="110" spans="1:19" x14ac:dyDescent="0.25">
      <c r="A110" s="58"/>
      <c r="B110" s="59"/>
      <c r="C110" s="54"/>
      <c r="D110" s="55"/>
      <c r="F110" s="58"/>
      <c r="G110" s="59"/>
      <c r="H110" s="54"/>
      <c r="I110" s="55"/>
      <c r="K110" s="58"/>
      <c r="L110" s="59"/>
      <c r="M110" s="54"/>
      <c r="N110" s="55"/>
      <c r="P110" s="58"/>
      <c r="Q110" s="59"/>
      <c r="R110" s="54"/>
      <c r="S110" s="55"/>
    </row>
    <row r="111" spans="1:19" x14ac:dyDescent="0.25">
      <c r="A111" s="58"/>
      <c r="B111" s="59"/>
      <c r="C111" s="54"/>
      <c r="D111" s="55"/>
      <c r="F111" s="58"/>
      <c r="G111" s="59"/>
      <c r="H111" s="54"/>
      <c r="I111" s="55"/>
      <c r="K111" s="58"/>
      <c r="L111" s="59"/>
      <c r="M111" s="54"/>
      <c r="N111" s="55"/>
      <c r="P111" s="58"/>
      <c r="Q111" s="59"/>
      <c r="R111" s="54"/>
      <c r="S111" s="55"/>
    </row>
    <row r="112" spans="1:19" x14ac:dyDescent="0.25">
      <c r="A112" s="58"/>
      <c r="B112" s="59"/>
      <c r="C112" s="54"/>
      <c r="D112" s="55"/>
      <c r="F112" s="58"/>
      <c r="G112" s="59"/>
      <c r="H112" s="54"/>
      <c r="I112" s="55"/>
      <c r="K112" s="58"/>
      <c r="L112" s="59"/>
      <c r="M112" s="54"/>
      <c r="N112" s="55"/>
      <c r="P112" s="58"/>
      <c r="Q112" s="59"/>
      <c r="R112" s="54"/>
      <c r="S112" s="55"/>
    </row>
    <row r="113" spans="1:19" x14ac:dyDescent="0.25">
      <c r="A113" s="58"/>
      <c r="B113" s="59"/>
      <c r="C113" s="54"/>
      <c r="D113" s="55"/>
      <c r="F113" s="58"/>
      <c r="G113" s="59"/>
      <c r="H113" s="54"/>
      <c r="I113" s="55"/>
      <c r="K113" s="58"/>
      <c r="L113" s="59"/>
      <c r="M113" s="54"/>
      <c r="N113" s="55"/>
      <c r="P113" s="58"/>
      <c r="Q113" s="59"/>
      <c r="R113" s="54"/>
      <c r="S113" s="55"/>
    </row>
    <row r="114" spans="1:19" x14ac:dyDescent="0.25">
      <c r="A114" s="58"/>
      <c r="B114" s="59"/>
      <c r="C114" s="54"/>
      <c r="D114" s="55"/>
      <c r="F114" s="58"/>
      <c r="G114" s="59"/>
      <c r="H114" s="54"/>
      <c r="I114" s="55"/>
      <c r="K114" s="58"/>
      <c r="L114" s="59"/>
      <c r="M114" s="54"/>
      <c r="N114" s="55"/>
      <c r="P114" s="58"/>
      <c r="Q114" s="59"/>
      <c r="R114" s="54"/>
      <c r="S114" s="55"/>
    </row>
    <row r="115" spans="1:19" x14ac:dyDescent="0.25">
      <c r="A115" s="58"/>
      <c r="B115" s="59"/>
      <c r="C115" s="54"/>
      <c r="D115" s="55"/>
      <c r="F115" s="58"/>
      <c r="G115" s="59"/>
      <c r="H115" s="54"/>
      <c r="I115" s="55"/>
      <c r="K115" s="58"/>
      <c r="L115" s="59"/>
      <c r="M115" s="54"/>
      <c r="N115" s="55"/>
      <c r="P115" s="58"/>
      <c r="Q115" s="59"/>
      <c r="R115" s="54"/>
      <c r="S115" s="55"/>
    </row>
    <row r="116" spans="1:19" x14ac:dyDescent="0.25">
      <c r="A116" s="58"/>
      <c r="B116" s="59"/>
      <c r="C116" s="54"/>
      <c r="D116" s="55"/>
      <c r="F116" s="58"/>
      <c r="G116" s="59"/>
      <c r="H116" s="54"/>
      <c r="I116" s="55"/>
      <c r="K116" s="58"/>
      <c r="L116" s="59"/>
      <c r="M116" s="54"/>
      <c r="N116" s="55"/>
      <c r="P116" s="58"/>
      <c r="Q116" s="59"/>
      <c r="R116" s="54"/>
      <c r="S116" s="55"/>
    </row>
    <row r="117" spans="1:19" x14ac:dyDescent="0.25">
      <c r="A117" s="58"/>
      <c r="B117" s="59"/>
      <c r="C117" s="54"/>
      <c r="D117" s="55"/>
      <c r="F117" s="58"/>
      <c r="G117" s="59"/>
      <c r="H117" s="54"/>
      <c r="I117" s="55"/>
      <c r="K117" s="58"/>
      <c r="L117" s="59"/>
      <c r="M117" s="54"/>
      <c r="N117" s="55"/>
      <c r="P117" s="58"/>
      <c r="Q117" s="59"/>
      <c r="R117" s="54"/>
      <c r="S117" s="55"/>
    </row>
    <row r="118" spans="1:19" ht="15.75" thickBot="1" x14ac:dyDescent="0.3">
      <c r="A118" s="60"/>
      <c r="B118" s="61"/>
      <c r="C118" s="56"/>
      <c r="D118" s="57"/>
      <c r="F118" s="60"/>
      <c r="G118" s="61"/>
      <c r="H118" s="56"/>
      <c r="I118" s="57"/>
      <c r="K118" s="58"/>
      <c r="L118" s="59"/>
      <c r="M118" s="54"/>
      <c r="N118" s="55"/>
      <c r="P118" s="58"/>
      <c r="Q118" s="59"/>
      <c r="R118" s="54"/>
      <c r="S118" s="55"/>
    </row>
    <row r="119" spans="1:19" x14ac:dyDescent="0.25">
      <c r="K119" s="58"/>
      <c r="L119" s="59"/>
      <c r="M119" s="54"/>
      <c r="N119" s="55"/>
      <c r="P119" s="58"/>
      <c r="Q119" s="59"/>
      <c r="R119" s="54"/>
      <c r="S119" s="55"/>
    </row>
    <row r="120" spans="1:19" x14ac:dyDescent="0.25">
      <c r="K120" s="58"/>
      <c r="L120" s="59"/>
      <c r="M120" s="54"/>
      <c r="N120" s="55"/>
      <c r="P120" s="58"/>
      <c r="Q120" s="59"/>
      <c r="R120" s="54"/>
      <c r="S120" s="55"/>
    </row>
    <row r="121" spans="1:19" x14ac:dyDescent="0.25">
      <c r="K121" s="58"/>
      <c r="L121" s="59"/>
      <c r="M121" s="54"/>
      <c r="N121" s="55"/>
      <c r="P121" s="58"/>
      <c r="Q121" s="59"/>
      <c r="R121" s="54"/>
      <c r="S121" s="55"/>
    </row>
    <row r="122" spans="1:19" x14ac:dyDescent="0.25">
      <c r="K122" s="58"/>
      <c r="L122" s="59"/>
      <c r="M122" s="54"/>
      <c r="N122" s="55"/>
      <c r="P122" s="58"/>
      <c r="Q122" s="59"/>
      <c r="R122" s="54"/>
      <c r="S122" s="55"/>
    </row>
    <row r="123" spans="1:19" x14ac:dyDescent="0.25">
      <c r="K123" s="58"/>
      <c r="L123" s="59"/>
      <c r="M123" s="54"/>
      <c r="N123" s="55"/>
      <c r="P123" s="58"/>
      <c r="Q123" s="59"/>
      <c r="R123" s="54"/>
      <c r="S123" s="55"/>
    </row>
    <row r="124" spans="1:19" x14ac:dyDescent="0.25">
      <c r="K124" s="58"/>
      <c r="L124" s="59"/>
      <c r="M124" s="54"/>
      <c r="N124" s="55"/>
      <c r="P124" s="58"/>
      <c r="Q124" s="59"/>
      <c r="R124" s="54"/>
      <c r="S124" s="55"/>
    </row>
    <row r="125" spans="1:19" x14ac:dyDescent="0.25">
      <c r="K125" s="58"/>
      <c r="L125" s="59"/>
      <c r="M125" s="54"/>
      <c r="N125" s="55"/>
      <c r="P125" s="58"/>
      <c r="Q125" s="59"/>
      <c r="R125" s="54"/>
      <c r="S125" s="55"/>
    </row>
    <row r="126" spans="1:19" x14ac:dyDescent="0.25">
      <c r="K126" s="58"/>
      <c r="L126" s="59"/>
      <c r="M126" s="54"/>
      <c r="N126" s="55"/>
      <c r="P126" s="58"/>
      <c r="Q126" s="59"/>
      <c r="R126" s="54"/>
      <c r="S126" s="55"/>
    </row>
    <row r="127" spans="1:19" x14ac:dyDescent="0.25">
      <c r="K127" s="58"/>
      <c r="L127" s="59"/>
      <c r="M127" s="54"/>
      <c r="N127" s="55"/>
      <c r="P127" s="58"/>
      <c r="Q127" s="59"/>
      <c r="R127" s="54"/>
      <c r="S127" s="55"/>
    </row>
    <row r="128" spans="1:19" x14ac:dyDescent="0.25">
      <c r="K128" s="58"/>
      <c r="L128" s="59"/>
      <c r="M128" s="54"/>
      <c r="N128" s="55"/>
      <c r="P128" s="58"/>
      <c r="Q128" s="59"/>
      <c r="R128" s="54"/>
      <c r="S128" s="55"/>
    </row>
    <row r="129" spans="11:19" x14ac:dyDescent="0.25">
      <c r="K129" s="58"/>
      <c r="L129" s="59"/>
      <c r="M129" s="54"/>
      <c r="N129" s="55"/>
      <c r="P129" s="58"/>
      <c r="Q129" s="59"/>
      <c r="R129" s="54"/>
      <c r="S129" s="55"/>
    </row>
    <row r="130" spans="11:19" x14ac:dyDescent="0.25">
      <c r="K130" s="58"/>
      <c r="L130" s="59"/>
      <c r="M130" s="54"/>
      <c r="N130" s="55"/>
      <c r="P130" s="58"/>
      <c r="Q130" s="59"/>
      <c r="R130" s="54"/>
      <c r="S130" s="55"/>
    </row>
    <row r="131" spans="11:19" x14ac:dyDescent="0.25">
      <c r="K131" s="58"/>
      <c r="L131" s="59"/>
      <c r="M131" s="54"/>
      <c r="N131" s="55"/>
      <c r="P131" s="58"/>
      <c r="Q131" s="59"/>
      <c r="R131" s="54"/>
      <c r="S131" s="55"/>
    </row>
    <row r="132" spans="11:19" x14ac:dyDescent="0.25">
      <c r="K132" s="58"/>
      <c r="L132" s="59"/>
      <c r="M132" s="54"/>
      <c r="N132" s="55"/>
      <c r="P132" s="58"/>
      <c r="Q132" s="59"/>
      <c r="R132" s="54"/>
      <c r="S132" s="55"/>
    </row>
    <row r="133" spans="11:19" x14ac:dyDescent="0.25">
      <c r="K133" s="58"/>
      <c r="L133" s="59"/>
      <c r="M133" s="54"/>
      <c r="N133" s="55"/>
      <c r="P133" s="58"/>
      <c r="Q133" s="59"/>
      <c r="R133" s="54"/>
      <c r="S133" s="55"/>
    </row>
    <row r="134" spans="11:19" x14ac:dyDescent="0.25">
      <c r="K134" s="58"/>
      <c r="L134" s="59"/>
      <c r="M134" s="54"/>
      <c r="N134" s="55"/>
      <c r="P134" s="58"/>
      <c r="Q134" s="59"/>
      <c r="R134" s="54"/>
      <c r="S134" s="55"/>
    </row>
    <row r="135" spans="11:19" x14ac:dyDescent="0.25">
      <c r="K135" s="58"/>
      <c r="L135" s="59"/>
      <c r="M135" s="54"/>
      <c r="N135" s="55"/>
      <c r="P135" s="58"/>
      <c r="Q135" s="59"/>
      <c r="R135" s="54"/>
      <c r="S135" s="55"/>
    </row>
    <row r="136" spans="11:19" x14ac:dyDescent="0.25">
      <c r="K136" s="58"/>
      <c r="L136" s="59"/>
      <c r="M136" s="54"/>
      <c r="N136" s="55"/>
      <c r="P136" s="58"/>
      <c r="Q136" s="59"/>
      <c r="R136" s="54"/>
      <c r="S136" s="55"/>
    </row>
    <row r="137" spans="11:19" x14ac:dyDescent="0.25">
      <c r="K137" s="58"/>
      <c r="L137" s="59"/>
      <c r="M137" s="54"/>
      <c r="N137" s="55"/>
      <c r="P137" s="58"/>
      <c r="Q137" s="59"/>
      <c r="R137" s="54"/>
      <c r="S137" s="55"/>
    </row>
    <row r="138" spans="11:19" x14ac:dyDescent="0.25">
      <c r="K138" s="58"/>
      <c r="L138" s="59"/>
      <c r="M138" s="54"/>
      <c r="N138" s="55"/>
      <c r="P138" s="58"/>
      <c r="Q138" s="59"/>
      <c r="R138" s="54"/>
      <c r="S138" s="55"/>
    </row>
    <row r="139" spans="11:19" x14ac:dyDescent="0.25">
      <c r="K139" s="58"/>
      <c r="L139" s="59"/>
      <c r="M139" s="54"/>
      <c r="N139" s="55"/>
      <c r="P139" s="58"/>
      <c r="Q139" s="59"/>
      <c r="R139" s="54"/>
      <c r="S139" s="55"/>
    </row>
    <row r="140" spans="11:19" x14ac:dyDescent="0.25">
      <c r="K140" s="58"/>
      <c r="L140" s="59"/>
      <c r="M140" s="54"/>
      <c r="N140" s="55"/>
      <c r="P140" s="58"/>
      <c r="Q140" s="59"/>
      <c r="R140" s="54"/>
      <c r="S140" s="55"/>
    </row>
    <row r="141" spans="11:19" x14ac:dyDescent="0.25">
      <c r="K141" s="58"/>
      <c r="L141" s="59"/>
      <c r="M141" s="54"/>
      <c r="N141" s="55"/>
      <c r="P141" s="58"/>
      <c r="Q141" s="59"/>
      <c r="R141" s="54"/>
      <c r="S141" s="55"/>
    </row>
    <row r="142" spans="11:19" x14ac:dyDescent="0.25">
      <c r="K142" s="58"/>
      <c r="L142" s="59"/>
      <c r="M142" s="54"/>
      <c r="N142" s="55"/>
      <c r="P142" s="58"/>
      <c r="Q142" s="59"/>
      <c r="R142" s="54"/>
      <c r="S142" s="55"/>
    </row>
    <row r="143" spans="11:19" x14ac:dyDescent="0.25">
      <c r="K143" s="58"/>
      <c r="L143" s="59"/>
      <c r="M143" s="54"/>
      <c r="N143" s="55"/>
      <c r="P143" s="58"/>
      <c r="Q143" s="59"/>
      <c r="R143" s="54"/>
      <c r="S143" s="55"/>
    </row>
    <row r="144" spans="11:19" x14ac:dyDescent="0.25">
      <c r="K144" s="58"/>
      <c r="L144" s="59"/>
      <c r="M144" s="54"/>
      <c r="N144" s="55"/>
      <c r="P144" s="58"/>
      <c r="Q144" s="59"/>
      <c r="R144" s="54"/>
      <c r="S144" s="55"/>
    </row>
    <row r="145" spans="11:19" x14ac:dyDescent="0.25">
      <c r="K145" s="58"/>
      <c r="L145" s="59"/>
      <c r="M145" s="54"/>
      <c r="N145" s="55"/>
      <c r="P145" s="58"/>
      <c r="Q145" s="59"/>
      <c r="R145" s="54"/>
      <c r="S145" s="55"/>
    </row>
    <row r="146" spans="11:19" x14ac:dyDescent="0.25">
      <c r="K146" s="58"/>
      <c r="L146" s="59"/>
      <c r="M146" s="54"/>
      <c r="N146" s="55"/>
      <c r="P146" s="58"/>
      <c r="Q146" s="59"/>
      <c r="R146" s="54"/>
      <c r="S146" s="55"/>
    </row>
    <row r="147" spans="11:19" x14ac:dyDescent="0.25">
      <c r="K147" s="58"/>
      <c r="L147" s="59"/>
      <c r="M147" s="54"/>
      <c r="N147" s="55"/>
      <c r="P147" s="58"/>
      <c r="Q147" s="59"/>
      <c r="R147" s="54"/>
      <c r="S147" s="55"/>
    </row>
    <row r="148" spans="11:19" x14ac:dyDescent="0.25">
      <c r="K148" s="58"/>
      <c r="L148" s="59"/>
      <c r="M148" s="54"/>
      <c r="N148" s="55"/>
      <c r="P148" s="58"/>
      <c r="Q148" s="59"/>
      <c r="R148" s="54"/>
      <c r="S148" s="55"/>
    </row>
    <row r="149" spans="11:19" x14ac:dyDescent="0.25">
      <c r="K149" s="58"/>
      <c r="L149" s="59"/>
      <c r="M149" s="54"/>
      <c r="N149" s="55"/>
      <c r="P149" s="58"/>
      <c r="Q149" s="59"/>
      <c r="R149" s="54"/>
      <c r="S149" s="55"/>
    </row>
    <row r="150" spans="11:19" x14ac:dyDescent="0.25">
      <c r="K150" s="58"/>
      <c r="L150" s="59"/>
      <c r="M150" s="54"/>
      <c r="N150" s="55"/>
      <c r="P150" s="58"/>
      <c r="Q150" s="59"/>
      <c r="R150" s="54"/>
      <c r="S150" s="55"/>
    </row>
    <row r="151" spans="11:19" x14ac:dyDescent="0.25">
      <c r="K151" s="58"/>
      <c r="L151" s="59"/>
      <c r="M151" s="54"/>
      <c r="N151" s="55"/>
      <c r="P151" s="58"/>
      <c r="Q151" s="59"/>
      <c r="R151" s="54"/>
      <c r="S151" s="55"/>
    </row>
    <row r="152" spans="11:19" x14ac:dyDescent="0.25">
      <c r="K152" s="58"/>
      <c r="L152" s="59"/>
      <c r="M152" s="54"/>
      <c r="N152" s="55"/>
      <c r="P152" s="58"/>
      <c r="Q152" s="59"/>
      <c r="R152" s="54"/>
      <c r="S152" s="55"/>
    </row>
    <row r="153" spans="11:19" x14ac:dyDescent="0.25">
      <c r="K153" s="58"/>
      <c r="L153" s="59"/>
      <c r="M153" s="54"/>
      <c r="N153" s="55"/>
      <c r="P153" s="58"/>
      <c r="Q153" s="59"/>
      <c r="R153" s="54"/>
      <c r="S153" s="55"/>
    </row>
    <row r="154" spans="11:19" x14ac:dyDescent="0.25">
      <c r="K154" s="58"/>
      <c r="L154" s="59"/>
      <c r="M154" s="54"/>
      <c r="N154" s="55"/>
      <c r="P154" s="58"/>
      <c r="Q154" s="59"/>
      <c r="R154" s="54"/>
      <c r="S154" s="55"/>
    </row>
    <row r="155" spans="11:19" x14ac:dyDescent="0.25">
      <c r="K155" s="58"/>
      <c r="L155" s="59"/>
      <c r="M155" s="54"/>
      <c r="N155" s="55"/>
      <c r="P155" s="58"/>
      <c r="Q155" s="59"/>
      <c r="R155" s="54"/>
      <c r="S155" s="55"/>
    </row>
    <row r="156" spans="11:19" x14ac:dyDescent="0.25">
      <c r="K156" s="58"/>
      <c r="L156" s="59"/>
      <c r="M156" s="54"/>
      <c r="N156" s="55"/>
      <c r="P156" s="58"/>
      <c r="Q156" s="59"/>
      <c r="R156" s="54"/>
      <c r="S156" s="55"/>
    </row>
    <row r="157" spans="11:19" x14ac:dyDescent="0.25">
      <c r="K157" s="58"/>
      <c r="L157" s="59"/>
      <c r="M157" s="54"/>
      <c r="N157" s="55"/>
      <c r="P157" s="58"/>
      <c r="Q157" s="59"/>
      <c r="R157" s="54"/>
      <c r="S157" s="55"/>
    </row>
    <row r="158" spans="11:19" x14ac:dyDescent="0.25">
      <c r="K158" s="58"/>
      <c r="L158" s="59"/>
      <c r="M158" s="54"/>
      <c r="N158" s="55"/>
      <c r="P158" s="58"/>
      <c r="Q158" s="59"/>
      <c r="R158" s="54"/>
      <c r="S158" s="55"/>
    </row>
    <row r="159" spans="11:19" x14ac:dyDescent="0.25">
      <c r="K159" s="58"/>
      <c r="L159" s="59"/>
      <c r="M159" s="54"/>
      <c r="N159" s="55"/>
      <c r="P159" s="58"/>
      <c r="Q159" s="59"/>
      <c r="R159" s="54"/>
      <c r="S159" s="55"/>
    </row>
    <row r="160" spans="11:19" x14ac:dyDescent="0.25">
      <c r="K160" s="58"/>
      <c r="L160" s="59"/>
      <c r="M160" s="54"/>
      <c r="N160" s="55"/>
      <c r="P160" s="58"/>
      <c r="Q160" s="59"/>
      <c r="R160" s="54"/>
      <c r="S160" s="55"/>
    </row>
    <row r="161" spans="11:19" x14ac:dyDescent="0.25">
      <c r="K161" s="58"/>
      <c r="L161" s="59"/>
      <c r="M161" s="54"/>
      <c r="N161" s="55"/>
      <c r="P161" s="58"/>
      <c r="Q161" s="59"/>
      <c r="R161" s="54"/>
      <c r="S161" s="55"/>
    </row>
    <row r="162" spans="11:19" x14ac:dyDescent="0.25">
      <c r="K162" s="58"/>
      <c r="L162" s="59"/>
      <c r="M162" s="54"/>
      <c r="N162" s="55"/>
      <c r="P162" s="58"/>
      <c r="Q162" s="59"/>
      <c r="R162" s="54"/>
      <c r="S162" s="55"/>
    </row>
    <row r="163" spans="11:19" x14ac:dyDescent="0.25">
      <c r="K163" s="58"/>
      <c r="L163" s="59"/>
      <c r="M163" s="54"/>
      <c r="N163" s="55"/>
      <c r="P163" s="58"/>
      <c r="Q163" s="59"/>
      <c r="R163" s="54"/>
      <c r="S163" s="55"/>
    </row>
    <row r="164" spans="11:19" x14ac:dyDescent="0.25">
      <c r="K164" s="58"/>
      <c r="L164" s="59"/>
      <c r="M164" s="54"/>
      <c r="N164" s="55"/>
      <c r="P164" s="58"/>
      <c r="Q164" s="59"/>
      <c r="R164" s="54"/>
      <c r="S164" s="55"/>
    </row>
    <row r="165" spans="11:19" x14ac:dyDescent="0.25">
      <c r="K165" s="58"/>
      <c r="L165" s="59"/>
      <c r="M165" s="54"/>
      <c r="N165" s="55"/>
      <c r="P165" s="58"/>
      <c r="Q165" s="59"/>
      <c r="R165" s="54"/>
      <c r="S165" s="55"/>
    </row>
    <row r="166" spans="11:19" x14ac:dyDescent="0.25">
      <c r="K166" s="58"/>
      <c r="L166" s="59"/>
      <c r="M166" s="54"/>
      <c r="N166" s="55"/>
      <c r="P166" s="58"/>
      <c r="Q166" s="59"/>
      <c r="R166" s="54"/>
      <c r="S166" s="55"/>
    </row>
    <row r="167" spans="11:19" x14ac:dyDescent="0.25">
      <c r="K167" s="58"/>
      <c r="L167" s="59"/>
      <c r="M167" s="54"/>
      <c r="N167" s="55"/>
      <c r="P167" s="58"/>
      <c r="Q167" s="59"/>
      <c r="R167" s="54"/>
      <c r="S167" s="55"/>
    </row>
    <row r="168" spans="11:19" x14ac:dyDescent="0.25">
      <c r="K168" s="58"/>
      <c r="L168" s="59"/>
      <c r="M168" s="54"/>
      <c r="N168" s="55"/>
      <c r="P168" s="58"/>
      <c r="Q168" s="59"/>
      <c r="R168" s="54"/>
      <c r="S168" s="55"/>
    </row>
    <row r="169" spans="11:19" x14ac:dyDescent="0.25">
      <c r="K169" s="58"/>
      <c r="L169" s="59"/>
      <c r="M169" s="54"/>
      <c r="N169" s="55"/>
      <c r="P169" s="58"/>
      <c r="Q169" s="59"/>
      <c r="R169" s="54"/>
      <c r="S169" s="55"/>
    </row>
    <row r="170" spans="11:19" x14ac:dyDescent="0.25">
      <c r="K170" s="58"/>
      <c r="L170" s="59"/>
      <c r="M170" s="54"/>
      <c r="N170" s="55"/>
      <c r="P170" s="58"/>
      <c r="Q170" s="59"/>
      <c r="R170" s="54"/>
      <c r="S170" s="55"/>
    </row>
    <row r="171" spans="11:19" x14ac:dyDescent="0.25">
      <c r="K171" s="58"/>
      <c r="L171" s="59"/>
      <c r="M171" s="54"/>
      <c r="N171" s="55"/>
      <c r="P171" s="58"/>
      <c r="Q171" s="59"/>
      <c r="R171" s="54"/>
      <c r="S171" s="55"/>
    </row>
    <row r="172" spans="11:19" x14ac:dyDescent="0.25">
      <c r="K172" s="58"/>
      <c r="L172" s="59"/>
      <c r="M172" s="54"/>
      <c r="N172" s="55"/>
      <c r="P172" s="58"/>
      <c r="Q172" s="59"/>
      <c r="R172" s="54"/>
      <c r="S172" s="55"/>
    </row>
    <row r="173" spans="11:19" x14ac:dyDescent="0.25">
      <c r="K173" s="58"/>
      <c r="L173" s="59"/>
      <c r="M173" s="54"/>
      <c r="N173" s="55"/>
      <c r="P173" s="58"/>
      <c r="Q173" s="59"/>
      <c r="R173" s="54"/>
      <c r="S173" s="55"/>
    </row>
    <row r="174" spans="11:19" x14ac:dyDescent="0.25">
      <c r="K174" s="58"/>
      <c r="L174" s="59"/>
      <c r="M174" s="54"/>
      <c r="N174" s="55"/>
      <c r="P174" s="58"/>
      <c r="Q174" s="59"/>
      <c r="R174" s="54"/>
      <c r="S174" s="55"/>
    </row>
    <row r="175" spans="11:19" x14ac:dyDescent="0.25">
      <c r="K175" s="58"/>
      <c r="L175" s="59"/>
      <c r="M175" s="54"/>
      <c r="N175" s="55"/>
      <c r="P175" s="58"/>
      <c r="Q175" s="59"/>
      <c r="R175" s="54"/>
      <c r="S175" s="55"/>
    </row>
    <row r="176" spans="11:19" x14ac:dyDescent="0.25">
      <c r="K176" s="58"/>
      <c r="L176" s="59"/>
      <c r="M176" s="54"/>
      <c r="N176" s="55"/>
      <c r="P176" s="58"/>
      <c r="Q176" s="59"/>
      <c r="R176" s="54"/>
      <c r="S176" s="55"/>
    </row>
    <row r="177" spans="11:19" x14ac:dyDescent="0.25">
      <c r="K177" s="58"/>
      <c r="L177" s="59"/>
      <c r="M177" s="54"/>
      <c r="N177" s="55"/>
      <c r="P177" s="58"/>
      <c r="Q177" s="59"/>
      <c r="R177" s="54"/>
      <c r="S177" s="55"/>
    </row>
    <row r="178" spans="11:19" x14ac:dyDescent="0.25">
      <c r="K178" s="58"/>
      <c r="L178" s="59"/>
      <c r="M178" s="54"/>
      <c r="N178" s="55"/>
      <c r="P178" s="58"/>
      <c r="Q178" s="59"/>
      <c r="R178" s="54"/>
      <c r="S178" s="55"/>
    </row>
    <row r="179" spans="11:19" x14ac:dyDescent="0.25">
      <c r="K179" s="58"/>
      <c r="L179" s="59"/>
      <c r="M179" s="54"/>
      <c r="N179" s="55"/>
      <c r="P179" s="58"/>
      <c r="Q179" s="59"/>
      <c r="R179" s="54"/>
      <c r="S179" s="55"/>
    </row>
    <row r="180" spans="11:19" x14ac:dyDescent="0.25">
      <c r="K180" s="58"/>
      <c r="L180" s="59"/>
      <c r="M180" s="54"/>
      <c r="N180" s="55"/>
      <c r="P180" s="58"/>
      <c r="Q180" s="59"/>
      <c r="R180" s="54"/>
      <c r="S180" s="55"/>
    </row>
    <row r="181" spans="11:19" x14ac:dyDescent="0.25">
      <c r="K181" s="58"/>
      <c r="L181" s="59"/>
      <c r="M181" s="54"/>
      <c r="N181" s="55"/>
      <c r="P181" s="58"/>
      <c r="Q181" s="59"/>
      <c r="R181" s="54"/>
      <c r="S181" s="55"/>
    </row>
    <row r="182" spans="11:19" x14ac:dyDescent="0.25">
      <c r="K182" s="58"/>
      <c r="L182" s="59"/>
      <c r="M182" s="54"/>
      <c r="N182" s="55"/>
      <c r="P182" s="58"/>
      <c r="Q182" s="59"/>
      <c r="R182" s="54"/>
      <c r="S182" s="55"/>
    </row>
    <row r="183" spans="11:19" x14ac:dyDescent="0.25">
      <c r="K183" s="58"/>
      <c r="L183" s="59"/>
      <c r="M183" s="54"/>
      <c r="N183" s="55"/>
      <c r="P183" s="58"/>
      <c r="Q183" s="59"/>
      <c r="R183" s="54"/>
      <c r="S183" s="55"/>
    </row>
    <row r="184" spans="11:19" x14ac:dyDescent="0.25">
      <c r="K184" s="58"/>
      <c r="L184" s="59"/>
      <c r="M184" s="54"/>
      <c r="N184" s="55"/>
      <c r="P184" s="58"/>
      <c r="Q184" s="59"/>
      <c r="R184" s="54"/>
      <c r="S184" s="55"/>
    </row>
    <row r="185" spans="11:19" x14ac:dyDescent="0.25">
      <c r="K185" s="58"/>
      <c r="L185" s="59"/>
      <c r="M185" s="54"/>
      <c r="N185" s="55"/>
      <c r="P185" s="58"/>
      <c r="Q185" s="59"/>
      <c r="R185" s="54"/>
      <c r="S185" s="55"/>
    </row>
    <row r="186" spans="11:19" x14ac:dyDescent="0.25">
      <c r="K186" s="58"/>
      <c r="L186" s="59"/>
      <c r="M186" s="54"/>
      <c r="N186" s="55"/>
      <c r="P186" s="58"/>
      <c r="Q186" s="59"/>
      <c r="R186" s="54"/>
      <c r="S186" s="55"/>
    </row>
    <row r="187" spans="11:19" x14ac:dyDescent="0.25">
      <c r="K187" s="58"/>
      <c r="L187" s="59"/>
      <c r="M187" s="54"/>
      <c r="N187" s="55"/>
      <c r="P187" s="58"/>
      <c r="Q187" s="59"/>
      <c r="R187" s="54"/>
      <c r="S187" s="55"/>
    </row>
    <row r="188" spans="11:19" x14ac:dyDescent="0.25">
      <c r="K188" s="58"/>
      <c r="L188" s="59"/>
      <c r="M188" s="54"/>
      <c r="N188" s="55"/>
      <c r="P188" s="58"/>
      <c r="Q188" s="59"/>
      <c r="R188" s="54"/>
      <c r="S188" s="55"/>
    </row>
    <row r="189" spans="11:19" x14ac:dyDescent="0.25">
      <c r="K189" s="58"/>
      <c r="L189" s="59"/>
      <c r="M189" s="54"/>
      <c r="N189" s="55"/>
      <c r="P189" s="58"/>
      <c r="Q189" s="59"/>
      <c r="R189" s="54"/>
      <c r="S189" s="55"/>
    </row>
    <row r="190" spans="11:19" x14ac:dyDescent="0.25">
      <c r="K190" s="58"/>
      <c r="L190" s="59"/>
      <c r="M190" s="54"/>
      <c r="N190" s="55"/>
      <c r="P190" s="58"/>
      <c r="Q190" s="59"/>
      <c r="R190" s="54"/>
      <c r="S190" s="55"/>
    </row>
    <row r="191" spans="11:19" x14ac:dyDescent="0.25">
      <c r="K191" s="58"/>
      <c r="L191" s="59"/>
      <c r="M191" s="54"/>
      <c r="N191" s="55"/>
      <c r="P191" s="58"/>
      <c r="Q191" s="59"/>
      <c r="R191" s="54"/>
      <c r="S191" s="55"/>
    </row>
    <row r="192" spans="11:19" x14ac:dyDescent="0.25">
      <c r="K192" s="58"/>
      <c r="L192" s="59"/>
      <c r="M192" s="54"/>
      <c r="N192" s="55"/>
      <c r="P192" s="58"/>
      <c r="Q192" s="59"/>
      <c r="R192" s="54"/>
      <c r="S192" s="55"/>
    </row>
    <row r="193" spans="11:19" x14ac:dyDescent="0.25">
      <c r="K193" s="58"/>
      <c r="L193" s="59"/>
      <c r="M193" s="54"/>
      <c r="N193" s="55"/>
      <c r="P193" s="58"/>
      <c r="Q193" s="59"/>
      <c r="R193" s="54"/>
      <c r="S193" s="55"/>
    </row>
    <row r="194" spans="11:19" x14ac:dyDescent="0.25">
      <c r="K194" s="58"/>
      <c r="L194" s="59"/>
      <c r="M194" s="54"/>
      <c r="N194" s="55"/>
      <c r="P194" s="58"/>
      <c r="Q194" s="59"/>
      <c r="R194" s="54"/>
      <c r="S194" s="55"/>
    </row>
    <row r="195" spans="11:19" x14ac:dyDescent="0.25">
      <c r="K195" s="58"/>
      <c r="L195" s="59"/>
      <c r="M195" s="54"/>
      <c r="N195" s="55"/>
      <c r="P195" s="58"/>
      <c r="Q195" s="59"/>
      <c r="R195" s="54"/>
      <c r="S195" s="55"/>
    </row>
    <row r="196" spans="11:19" x14ac:dyDescent="0.25">
      <c r="K196" s="58"/>
      <c r="L196" s="59"/>
      <c r="M196" s="54"/>
      <c r="N196" s="55"/>
      <c r="P196" s="58"/>
      <c r="Q196" s="59"/>
      <c r="R196" s="54"/>
      <c r="S196" s="55"/>
    </row>
    <row r="197" spans="11:19" x14ac:dyDescent="0.25">
      <c r="K197" s="58"/>
      <c r="L197" s="59"/>
      <c r="M197" s="54"/>
      <c r="N197" s="55"/>
      <c r="P197" s="58"/>
      <c r="Q197" s="59"/>
      <c r="R197" s="54"/>
      <c r="S197" s="55"/>
    </row>
    <row r="198" spans="11:19" x14ac:dyDescent="0.25">
      <c r="K198" s="58"/>
      <c r="L198" s="59"/>
      <c r="M198" s="54"/>
      <c r="N198" s="55"/>
      <c r="P198" s="58"/>
      <c r="Q198" s="59"/>
      <c r="R198" s="54"/>
      <c r="S198" s="55"/>
    </row>
    <row r="199" spans="11:19" x14ac:dyDescent="0.25">
      <c r="K199" s="58"/>
      <c r="L199" s="59"/>
      <c r="M199" s="54"/>
      <c r="N199" s="55"/>
      <c r="P199" s="58"/>
      <c r="Q199" s="59"/>
      <c r="R199" s="54"/>
      <c r="S199" s="55"/>
    </row>
    <row r="200" spans="11:19" x14ac:dyDescent="0.25">
      <c r="K200" s="58"/>
      <c r="L200" s="59"/>
      <c r="M200" s="54"/>
      <c r="N200" s="55"/>
      <c r="P200" s="58"/>
      <c r="Q200" s="59"/>
      <c r="R200" s="54"/>
      <c r="S200" s="55"/>
    </row>
    <row r="201" spans="11:19" x14ac:dyDescent="0.25">
      <c r="K201" s="58"/>
      <c r="L201" s="59"/>
      <c r="M201" s="54"/>
      <c r="N201" s="55"/>
      <c r="P201" s="58"/>
      <c r="Q201" s="59"/>
      <c r="R201" s="54"/>
      <c r="S201" s="55"/>
    </row>
    <row r="202" spans="11:19" x14ac:dyDescent="0.25">
      <c r="K202" s="58"/>
      <c r="L202" s="59"/>
      <c r="M202" s="54"/>
      <c r="N202" s="55"/>
      <c r="P202" s="58"/>
      <c r="Q202" s="59"/>
      <c r="R202" s="54"/>
      <c r="S202" s="55"/>
    </row>
    <row r="203" spans="11:19" x14ac:dyDescent="0.25">
      <c r="K203" s="58"/>
      <c r="L203" s="59"/>
      <c r="M203" s="54"/>
      <c r="N203" s="55"/>
      <c r="P203" s="58"/>
      <c r="Q203" s="59"/>
      <c r="R203" s="54"/>
      <c r="S203" s="55"/>
    </row>
    <row r="204" spans="11:19" x14ac:dyDescent="0.25">
      <c r="K204" s="58"/>
      <c r="L204" s="59"/>
      <c r="M204" s="54"/>
      <c r="N204" s="55"/>
      <c r="P204" s="58"/>
      <c r="Q204" s="59"/>
      <c r="R204" s="54"/>
      <c r="S204" s="55"/>
    </row>
    <row r="205" spans="11:19" x14ac:dyDescent="0.25">
      <c r="K205" s="58"/>
      <c r="L205" s="59"/>
      <c r="M205" s="54"/>
      <c r="N205" s="55"/>
      <c r="P205" s="58"/>
      <c r="Q205" s="59"/>
      <c r="R205" s="54"/>
      <c r="S205" s="55"/>
    </row>
    <row r="206" spans="11:19" x14ac:dyDescent="0.25">
      <c r="K206" s="58"/>
      <c r="L206" s="59"/>
      <c r="M206" s="54"/>
      <c r="N206" s="55"/>
      <c r="P206" s="58"/>
      <c r="Q206" s="59"/>
      <c r="R206" s="54"/>
      <c r="S206" s="55"/>
    </row>
    <row r="207" spans="11:19" x14ac:dyDescent="0.25">
      <c r="K207" s="58"/>
      <c r="L207" s="59"/>
      <c r="M207" s="54"/>
      <c r="N207" s="55"/>
      <c r="P207" s="58"/>
      <c r="Q207" s="59"/>
      <c r="R207" s="54"/>
      <c r="S207" s="55"/>
    </row>
    <row r="208" spans="11:19" x14ac:dyDescent="0.25">
      <c r="K208" s="58"/>
      <c r="L208" s="59"/>
      <c r="M208" s="54"/>
      <c r="N208" s="55"/>
      <c r="P208" s="58"/>
      <c r="Q208" s="59"/>
      <c r="R208" s="54"/>
      <c r="S208" s="55"/>
    </row>
    <row r="209" spans="11:19" x14ac:dyDescent="0.25">
      <c r="K209" s="58"/>
      <c r="L209" s="59"/>
      <c r="M209" s="54"/>
      <c r="N209" s="55"/>
      <c r="P209" s="58"/>
      <c r="Q209" s="59"/>
      <c r="R209" s="54"/>
      <c r="S209" s="55"/>
    </row>
    <row r="210" spans="11:19" x14ac:dyDescent="0.25">
      <c r="K210" s="58"/>
      <c r="L210" s="59"/>
      <c r="M210" s="54"/>
      <c r="N210" s="55"/>
      <c r="P210" s="58"/>
      <c r="Q210" s="59"/>
      <c r="R210" s="54"/>
      <c r="S210" s="55"/>
    </row>
    <row r="211" spans="11:19" x14ac:dyDescent="0.25">
      <c r="K211" s="58"/>
      <c r="L211" s="59"/>
      <c r="M211" s="54"/>
      <c r="N211" s="55"/>
      <c r="P211" s="58"/>
      <c r="Q211" s="59"/>
      <c r="R211" s="54"/>
      <c r="S211" s="55"/>
    </row>
    <row r="212" spans="11:19" x14ac:dyDescent="0.25">
      <c r="K212" s="58"/>
      <c r="L212" s="59"/>
      <c r="M212" s="54"/>
      <c r="N212" s="55"/>
      <c r="P212" s="58"/>
      <c r="Q212" s="59"/>
      <c r="R212" s="54"/>
      <c r="S212" s="55"/>
    </row>
    <row r="213" spans="11:19" x14ac:dyDescent="0.25">
      <c r="K213" s="58"/>
      <c r="L213" s="59"/>
      <c r="M213" s="54"/>
      <c r="N213" s="55"/>
      <c r="P213" s="58"/>
      <c r="Q213" s="59"/>
      <c r="R213" s="54"/>
      <c r="S213" s="55"/>
    </row>
    <row r="214" spans="11:19" x14ac:dyDescent="0.25">
      <c r="K214" s="58"/>
      <c r="L214" s="59"/>
      <c r="M214" s="54"/>
      <c r="N214" s="55"/>
      <c r="P214" s="58"/>
      <c r="Q214" s="59"/>
      <c r="R214" s="54"/>
      <c r="S214" s="55"/>
    </row>
    <row r="215" spans="11:19" x14ac:dyDescent="0.25">
      <c r="K215" s="58"/>
      <c r="L215" s="59"/>
      <c r="M215" s="54"/>
      <c r="N215" s="55"/>
      <c r="P215" s="58"/>
      <c r="Q215" s="59"/>
      <c r="R215" s="54"/>
      <c r="S215" s="55"/>
    </row>
    <row r="216" spans="11:19" x14ac:dyDescent="0.25">
      <c r="K216" s="58"/>
      <c r="L216" s="59"/>
      <c r="M216" s="54"/>
      <c r="N216" s="55"/>
      <c r="P216" s="58"/>
      <c r="Q216" s="59"/>
      <c r="R216" s="54"/>
      <c r="S216" s="55"/>
    </row>
    <row r="217" spans="11:19" x14ac:dyDescent="0.25">
      <c r="K217" s="58"/>
      <c r="L217" s="59"/>
      <c r="M217" s="54"/>
      <c r="N217" s="55"/>
      <c r="P217" s="58"/>
      <c r="Q217" s="59"/>
      <c r="R217" s="54"/>
      <c r="S217" s="55"/>
    </row>
    <row r="218" spans="11:19" x14ac:dyDescent="0.25">
      <c r="K218" s="58"/>
      <c r="L218" s="59"/>
      <c r="M218" s="54"/>
      <c r="N218" s="55"/>
      <c r="P218" s="58"/>
      <c r="Q218" s="59"/>
      <c r="R218" s="54"/>
      <c r="S218" s="55"/>
    </row>
    <row r="219" spans="11:19" x14ac:dyDescent="0.25">
      <c r="K219" s="58"/>
      <c r="L219" s="59"/>
      <c r="M219" s="54"/>
      <c r="N219" s="55"/>
      <c r="P219" s="58"/>
      <c r="Q219" s="59"/>
      <c r="R219" s="54"/>
      <c r="S219" s="55"/>
    </row>
    <row r="220" spans="11:19" x14ac:dyDescent="0.25">
      <c r="K220" s="58"/>
      <c r="L220" s="59"/>
      <c r="M220" s="54"/>
      <c r="N220" s="55"/>
      <c r="P220" s="58"/>
      <c r="Q220" s="59"/>
      <c r="R220" s="54"/>
      <c r="S220" s="55"/>
    </row>
    <row r="221" spans="11:19" x14ac:dyDescent="0.25">
      <c r="K221" s="58"/>
      <c r="L221" s="59"/>
      <c r="M221" s="54"/>
      <c r="N221" s="55"/>
      <c r="P221" s="58"/>
      <c r="Q221" s="59"/>
      <c r="R221" s="54"/>
      <c r="S221" s="55"/>
    </row>
    <row r="222" spans="11:19" x14ac:dyDescent="0.25">
      <c r="K222" s="58"/>
      <c r="L222" s="59"/>
      <c r="M222" s="54"/>
      <c r="N222" s="55"/>
      <c r="P222" s="58"/>
      <c r="Q222" s="59"/>
      <c r="R222" s="54"/>
      <c r="S222" s="55"/>
    </row>
    <row r="223" spans="11:19" x14ac:dyDescent="0.25">
      <c r="K223" s="58"/>
      <c r="L223" s="59"/>
      <c r="M223" s="54"/>
      <c r="N223" s="55"/>
      <c r="P223" s="58"/>
      <c r="Q223" s="59"/>
      <c r="R223" s="54"/>
      <c r="S223" s="55"/>
    </row>
    <row r="224" spans="11:19" x14ac:dyDescent="0.25">
      <c r="K224" s="58"/>
      <c r="L224" s="59"/>
      <c r="M224" s="54"/>
      <c r="N224" s="55"/>
      <c r="P224" s="58"/>
      <c r="Q224" s="59"/>
      <c r="R224" s="54"/>
      <c r="S224" s="55"/>
    </row>
    <row r="225" spans="11:19" x14ac:dyDescent="0.25">
      <c r="K225" s="58"/>
      <c r="L225" s="59"/>
      <c r="M225" s="54"/>
      <c r="N225" s="55"/>
      <c r="P225" s="58"/>
      <c r="Q225" s="59"/>
      <c r="R225" s="54"/>
      <c r="S225" s="55"/>
    </row>
    <row r="226" spans="11:19" x14ac:dyDescent="0.25">
      <c r="K226" s="58"/>
      <c r="L226" s="59"/>
      <c r="M226" s="54"/>
      <c r="N226" s="55"/>
      <c r="P226" s="58"/>
      <c r="Q226" s="59"/>
      <c r="R226" s="54"/>
      <c r="S226" s="55"/>
    </row>
    <row r="227" spans="11:19" x14ac:dyDescent="0.25">
      <c r="K227" s="58"/>
      <c r="L227" s="59"/>
      <c r="M227" s="54"/>
      <c r="N227" s="55"/>
      <c r="P227" s="58"/>
      <c r="Q227" s="59"/>
      <c r="R227" s="54"/>
      <c r="S227" s="55"/>
    </row>
    <row r="228" spans="11:19" x14ac:dyDescent="0.25">
      <c r="K228" s="58"/>
      <c r="L228" s="59"/>
      <c r="M228" s="54"/>
      <c r="N228" s="55"/>
      <c r="P228" s="58"/>
      <c r="Q228" s="59"/>
      <c r="R228" s="54"/>
      <c r="S228" s="55"/>
    </row>
    <row r="229" spans="11:19" x14ac:dyDescent="0.25">
      <c r="K229" s="58"/>
      <c r="L229" s="59"/>
      <c r="M229" s="54"/>
      <c r="N229" s="55"/>
      <c r="P229" s="58"/>
      <c r="Q229" s="59"/>
      <c r="R229" s="54"/>
      <c r="S229" s="55"/>
    </row>
    <row r="230" spans="11:19" x14ac:dyDescent="0.25">
      <c r="K230" s="58"/>
      <c r="L230" s="59"/>
      <c r="M230" s="54"/>
      <c r="N230" s="55"/>
      <c r="P230" s="58"/>
      <c r="Q230" s="59"/>
      <c r="R230" s="54"/>
      <c r="S230" s="55"/>
    </row>
    <row r="231" spans="11:19" x14ac:dyDescent="0.25">
      <c r="K231" s="58"/>
      <c r="L231" s="59"/>
      <c r="M231" s="54"/>
      <c r="N231" s="55"/>
      <c r="P231" s="58"/>
      <c r="Q231" s="59"/>
      <c r="R231" s="54"/>
      <c r="S231" s="55"/>
    </row>
    <row r="232" spans="11:19" x14ac:dyDescent="0.25">
      <c r="K232" s="58"/>
      <c r="L232" s="59"/>
      <c r="M232" s="54"/>
      <c r="N232" s="55"/>
      <c r="P232" s="58"/>
      <c r="Q232" s="59"/>
      <c r="R232" s="54"/>
      <c r="S232" s="55"/>
    </row>
    <row r="233" spans="11:19" x14ac:dyDescent="0.25">
      <c r="K233" s="58"/>
      <c r="L233" s="59"/>
      <c r="M233" s="54"/>
      <c r="N233" s="55"/>
      <c r="P233" s="58"/>
      <c r="Q233" s="59"/>
      <c r="R233" s="54"/>
      <c r="S233" s="55"/>
    </row>
    <row r="234" spans="11:19" x14ac:dyDescent="0.25">
      <c r="K234" s="58"/>
      <c r="L234" s="59"/>
      <c r="M234" s="54"/>
      <c r="N234" s="55"/>
      <c r="P234" s="58"/>
      <c r="Q234" s="59"/>
      <c r="R234" s="54"/>
      <c r="S234" s="55"/>
    </row>
    <row r="235" spans="11:19" x14ac:dyDescent="0.25">
      <c r="K235" s="58"/>
      <c r="L235" s="59"/>
      <c r="M235" s="54"/>
      <c r="N235" s="55"/>
      <c r="P235" s="58"/>
      <c r="Q235" s="59"/>
      <c r="R235" s="54"/>
      <c r="S235" s="55"/>
    </row>
    <row r="236" spans="11:19" x14ac:dyDescent="0.25">
      <c r="K236" s="58"/>
      <c r="L236" s="59"/>
      <c r="M236" s="54"/>
      <c r="N236" s="55"/>
      <c r="P236" s="58"/>
      <c r="Q236" s="59"/>
      <c r="R236" s="54"/>
      <c r="S236" s="55"/>
    </row>
    <row r="237" spans="11:19" x14ac:dyDescent="0.25">
      <c r="K237" s="58"/>
      <c r="L237" s="59"/>
      <c r="M237" s="54"/>
      <c r="N237" s="55"/>
      <c r="P237" s="58"/>
      <c r="Q237" s="59"/>
      <c r="R237" s="54"/>
      <c r="S237" s="55"/>
    </row>
    <row r="238" spans="11:19" x14ac:dyDescent="0.25">
      <c r="K238" s="58"/>
      <c r="L238" s="59"/>
      <c r="M238" s="54"/>
      <c r="N238" s="55"/>
      <c r="P238" s="58"/>
      <c r="Q238" s="59"/>
      <c r="R238" s="54"/>
      <c r="S238" s="55"/>
    </row>
    <row r="239" spans="11:19" x14ac:dyDescent="0.25">
      <c r="K239" s="58"/>
      <c r="L239" s="59"/>
      <c r="M239" s="54"/>
      <c r="N239" s="55"/>
      <c r="P239" s="58"/>
      <c r="Q239" s="59"/>
      <c r="R239" s="54"/>
      <c r="S239" s="55"/>
    </row>
    <row r="240" spans="11:19" x14ac:dyDescent="0.25">
      <c r="K240" s="58"/>
      <c r="L240" s="59"/>
      <c r="M240" s="54"/>
      <c r="N240" s="55"/>
      <c r="P240" s="58"/>
      <c r="Q240" s="59"/>
      <c r="R240" s="54"/>
      <c r="S240" s="55"/>
    </row>
    <row r="241" spans="11:19" x14ac:dyDescent="0.25">
      <c r="K241" s="58"/>
      <c r="L241" s="59"/>
      <c r="M241" s="54"/>
      <c r="N241" s="55"/>
      <c r="P241" s="58"/>
      <c r="Q241" s="59"/>
      <c r="R241" s="54"/>
      <c r="S241" s="55"/>
    </row>
    <row r="242" spans="11:19" x14ac:dyDescent="0.25">
      <c r="K242" s="58"/>
      <c r="L242" s="59"/>
      <c r="M242" s="54"/>
      <c r="N242" s="55"/>
      <c r="P242" s="58"/>
      <c r="Q242" s="59"/>
      <c r="R242" s="54"/>
      <c r="S242" s="55"/>
    </row>
    <row r="243" spans="11:19" x14ac:dyDescent="0.25">
      <c r="K243" s="58"/>
      <c r="L243" s="59"/>
      <c r="M243" s="54"/>
      <c r="N243" s="55"/>
      <c r="P243" s="58"/>
      <c r="Q243" s="59"/>
      <c r="R243" s="54"/>
      <c r="S243" s="55"/>
    </row>
    <row r="244" spans="11:19" x14ac:dyDescent="0.25">
      <c r="K244" s="58"/>
      <c r="L244" s="59"/>
      <c r="M244" s="54"/>
      <c r="N244" s="55"/>
      <c r="P244" s="58"/>
      <c r="Q244" s="59"/>
      <c r="R244" s="54"/>
      <c r="S244" s="55"/>
    </row>
    <row r="245" spans="11:19" x14ac:dyDescent="0.25">
      <c r="K245" s="58"/>
      <c r="L245" s="59"/>
      <c r="M245" s="54"/>
      <c r="N245" s="55"/>
      <c r="P245" s="58"/>
      <c r="Q245" s="59"/>
      <c r="R245" s="54"/>
      <c r="S245" s="55"/>
    </row>
    <row r="246" spans="11:19" x14ac:dyDescent="0.25">
      <c r="K246" s="58"/>
      <c r="L246" s="59"/>
      <c r="M246" s="54"/>
      <c r="N246" s="55"/>
      <c r="P246" s="58"/>
      <c r="Q246" s="59"/>
      <c r="R246" s="54"/>
      <c r="S246" s="55"/>
    </row>
    <row r="247" spans="11:19" x14ac:dyDescent="0.25">
      <c r="K247" s="58"/>
      <c r="L247" s="59"/>
      <c r="M247" s="54"/>
      <c r="N247" s="55"/>
      <c r="P247" s="58"/>
      <c r="Q247" s="59"/>
      <c r="R247" s="54"/>
      <c r="S247" s="55"/>
    </row>
    <row r="248" spans="11:19" x14ac:dyDescent="0.25">
      <c r="K248" s="58"/>
      <c r="L248" s="59"/>
      <c r="M248" s="54"/>
      <c r="N248" s="55"/>
      <c r="P248" s="58"/>
      <c r="Q248" s="59"/>
      <c r="R248" s="54"/>
      <c r="S248" s="55"/>
    </row>
    <row r="249" spans="11:19" x14ac:dyDescent="0.25">
      <c r="K249" s="58"/>
      <c r="L249" s="59"/>
      <c r="M249" s="54"/>
      <c r="N249" s="55"/>
      <c r="P249" s="58"/>
      <c r="Q249" s="59"/>
      <c r="R249" s="54"/>
      <c r="S249" s="55"/>
    </row>
    <row r="250" spans="11:19" x14ac:dyDescent="0.25">
      <c r="K250" s="58"/>
      <c r="L250" s="59"/>
      <c r="M250" s="54"/>
      <c r="N250" s="55"/>
      <c r="P250" s="58"/>
      <c r="Q250" s="59"/>
      <c r="R250" s="54"/>
      <c r="S250" s="55"/>
    </row>
    <row r="251" spans="11:19" x14ac:dyDescent="0.25">
      <c r="K251" s="58"/>
      <c r="L251" s="59"/>
      <c r="M251" s="54"/>
      <c r="N251" s="55"/>
      <c r="P251" s="58"/>
      <c r="Q251" s="59"/>
      <c r="R251" s="54"/>
      <c r="S251" s="55"/>
    </row>
    <row r="252" spans="11:19" x14ac:dyDescent="0.25">
      <c r="K252" s="58"/>
      <c r="L252" s="59"/>
      <c r="M252" s="54"/>
      <c r="N252" s="55"/>
      <c r="P252" s="58"/>
      <c r="Q252" s="59"/>
      <c r="R252" s="54"/>
      <c r="S252" s="55"/>
    </row>
    <row r="253" spans="11:19" x14ac:dyDescent="0.25">
      <c r="K253" s="58"/>
      <c r="L253" s="59"/>
      <c r="M253" s="54"/>
      <c r="N253" s="55"/>
      <c r="P253" s="58"/>
      <c r="Q253" s="59"/>
      <c r="R253" s="54"/>
      <c r="S253" s="55"/>
    </row>
    <row r="254" spans="11:19" x14ac:dyDescent="0.25">
      <c r="K254" s="58"/>
      <c r="L254" s="59"/>
      <c r="M254" s="54"/>
      <c r="N254" s="55"/>
      <c r="P254" s="58"/>
      <c r="Q254" s="59"/>
      <c r="R254" s="54"/>
      <c r="S254" s="55"/>
    </row>
    <row r="255" spans="11:19" x14ac:dyDescent="0.25">
      <c r="K255" s="58"/>
      <c r="L255" s="59"/>
      <c r="M255" s="54"/>
      <c r="N255" s="55"/>
      <c r="P255" s="58"/>
      <c r="Q255" s="59"/>
      <c r="R255" s="54"/>
      <c r="S255" s="55"/>
    </row>
    <row r="256" spans="11:19" x14ac:dyDescent="0.25">
      <c r="K256" s="58"/>
      <c r="L256" s="59"/>
      <c r="M256" s="54"/>
      <c r="N256" s="55"/>
      <c r="P256" s="58"/>
      <c r="Q256" s="59"/>
      <c r="R256" s="54"/>
      <c r="S256" s="55"/>
    </row>
    <row r="257" spans="11:19" x14ac:dyDescent="0.25">
      <c r="K257" s="58"/>
      <c r="L257" s="59"/>
      <c r="M257" s="54"/>
      <c r="N257" s="55"/>
      <c r="P257" s="58"/>
      <c r="Q257" s="59"/>
      <c r="R257" s="54"/>
      <c r="S257" s="55"/>
    </row>
    <row r="258" spans="11:19" x14ac:dyDescent="0.25">
      <c r="K258" s="58"/>
      <c r="L258" s="59"/>
      <c r="M258" s="54"/>
      <c r="N258" s="55"/>
      <c r="P258" s="58"/>
      <c r="Q258" s="59"/>
      <c r="R258" s="54"/>
      <c r="S258" s="55"/>
    </row>
    <row r="259" spans="11:19" x14ac:dyDescent="0.25">
      <c r="K259" s="58"/>
      <c r="L259" s="59"/>
      <c r="M259" s="54"/>
      <c r="N259" s="55"/>
      <c r="P259" s="58"/>
      <c r="Q259" s="59"/>
      <c r="R259" s="54"/>
      <c r="S259" s="55"/>
    </row>
    <row r="260" spans="11:19" x14ac:dyDescent="0.25">
      <c r="K260" s="58"/>
      <c r="L260" s="59"/>
      <c r="M260" s="54"/>
      <c r="N260" s="55"/>
      <c r="P260" s="58"/>
      <c r="Q260" s="59"/>
      <c r="R260" s="54"/>
      <c r="S260" s="55"/>
    </row>
    <row r="261" spans="11:19" x14ac:dyDescent="0.25">
      <c r="K261" s="58"/>
      <c r="L261" s="59"/>
      <c r="M261" s="54"/>
      <c r="N261" s="55"/>
      <c r="P261" s="58"/>
      <c r="Q261" s="59"/>
      <c r="R261" s="54"/>
      <c r="S261" s="55"/>
    </row>
    <row r="262" spans="11:19" x14ac:dyDescent="0.25">
      <c r="K262" s="58"/>
      <c r="L262" s="59"/>
      <c r="M262" s="54"/>
      <c r="N262" s="55"/>
      <c r="P262" s="58"/>
      <c r="Q262" s="59"/>
      <c r="R262" s="54"/>
      <c r="S262" s="55"/>
    </row>
    <row r="263" spans="11:19" x14ac:dyDescent="0.25">
      <c r="K263" s="58"/>
      <c r="L263" s="59"/>
      <c r="M263" s="54"/>
      <c r="N263" s="55"/>
      <c r="P263" s="58"/>
      <c r="Q263" s="59"/>
      <c r="R263" s="54"/>
      <c r="S263" s="55"/>
    </row>
    <row r="264" spans="11:19" x14ac:dyDescent="0.25">
      <c r="K264" s="58"/>
      <c r="L264" s="59"/>
      <c r="M264" s="54"/>
      <c r="N264" s="55"/>
      <c r="P264" s="58"/>
      <c r="Q264" s="59"/>
      <c r="R264" s="54"/>
      <c r="S264" s="55"/>
    </row>
    <row r="265" spans="11:19" x14ac:dyDescent="0.25">
      <c r="K265" s="58"/>
      <c r="L265" s="59"/>
      <c r="M265" s="54"/>
      <c r="N265" s="55"/>
      <c r="P265" s="58"/>
      <c r="Q265" s="59"/>
      <c r="R265" s="54"/>
      <c r="S265" s="55"/>
    </row>
    <row r="266" spans="11:19" x14ac:dyDescent="0.25">
      <c r="K266" s="58"/>
      <c r="L266" s="59"/>
      <c r="M266" s="54"/>
      <c r="N266" s="55"/>
      <c r="P266" s="58"/>
      <c r="Q266" s="59"/>
      <c r="R266" s="54"/>
      <c r="S266" s="55"/>
    </row>
    <row r="267" spans="11:19" x14ac:dyDescent="0.25">
      <c r="K267" s="58"/>
      <c r="L267" s="59"/>
      <c r="M267" s="54"/>
      <c r="N267" s="55"/>
      <c r="P267" s="58"/>
      <c r="Q267" s="59"/>
      <c r="R267" s="54"/>
      <c r="S267" s="55"/>
    </row>
    <row r="268" spans="11:19" x14ac:dyDescent="0.25">
      <c r="K268" s="58"/>
      <c r="L268" s="59"/>
      <c r="M268" s="54"/>
      <c r="N268" s="55"/>
      <c r="P268" s="58"/>
      <c r="Q268" s="59"/>
      <c r="R268" s="54"/>
      <c r="S268" s="55"/>
    </row>
    <row r="269" spans="11:19" x14ac:dyDescent="0.25">
      <c r="K269" s="58"/>
      <c r="L269" s="59"/>
      <c r="M269" s="54"/>
      <c r="N269" s="55"/>
      <c r="P269" s="58"/>
      <c r="Q269" s="59"/>
      <c r="R269" s="54"/>
      <c r="S269" s="55"/>
    </row>
    <row r="270" spans="11:19" x14ac:dyDescent="0.25">
      <c r="K270" s="58"/>
      <c r="L270" s="59"/>
      <c r="M270" s="54"/>
      <c r="N270" s="55"/>
      <c r="P270" s="58"/>
      <c r="Q270" s="59"/>
      <c r="R270" s="54"/>
      <c r="S270" s="55"/>
    </row>
    <row r="271" spans="11:19" x14ac:dyDescent="0.25">
      <c r="K271" s="58"/>
      <c r="L271" s="59"/>
      <c r="M271" s="54"/>
      <c r="N271" s="55"/>
      <c r="P271" s="58"/>
      <c r="Q271" s="59"/>
      <c r="R271" s="54"/>
      <c r="S271" s="55"/>
    </row>
    <row r="272" spans="11:19" x14ac:dyDescent="0.25">
      <c r="K272" s="58"/>
      <c r="L272" s="59"/>
      <c r="M272" s="54"/>
      <c r="N272" s="55"/>
      <c r="P272" s="58"/>
      <c r="Q272" s="59"/>
      <c r="R272" s="54"/>
      <c r="S272" s="55"/>
    </row>
    <row r="273" spans="11:19" x14ac:dyDescent="0.25">
      <c r="K273" s="58"/>
      <c r="L273" s="59"/>
      <c r="M273" s="54"/>
      <c r="N273" s="55"/>
      <c r="P273" s="58"/>
      <c r="Q273" s="59"/>
      <c r="R273" s="54"/>
      <c r="S273" s="55"/>
    </row>
    <row r="274" spans="11:19" x14ac:dyDescent="0.25">
      <c r="K274" s="58"/>
      <c r="L274" s="59"/>
      <c r="M274" s="54"/>
      <c r="N274" s="55"/>
      <c r="P274" s="58"/>
      <c r="Q274" s="59"/>
      <c r="R274" s="54"/>
      <c r="S274" s="55"/>
    </row>
    <row r="275" spans="11:19" x14ac:dyDescent="0.25">
      <c r="K275" s="58"/>
      <c r="L275" s="59"/>
      <c r="M275" s="54"/>
      <c r="N275" s="55"/>
      <c r="P275" s="58"/>
      <c r="Q275" s="59"/>
      <c r="R275" s="54"/>
      <c r="S275" s="55"/>
    </row>
    <row r="276" spans="11:19" x14ac:dyDescent="0.25">
      <c r="K276" s="58"/>
      <c r="L276" s="59"/>
      <c r="M276" s="54"/>
      <c r="N276" s="55"/>
      <c r="P276" s="58"/>
      <c r="Q276" s="59"/>
      <c r="R276" s="54"/>
      <c r="S276" s="55"/>
    </row>
    <row r="277" spans="11:19" x14ac:dyDescent="0.25">
      <c r="K277" s="58"/>
      <c r="L277" s="59"/>
      <c r="M277" s="54"/>
      <c r="N277" s="55"/>
      <c r="P277" s="58"/>
      <c r="Q277" s="59"/>
      <c r="R277" s="54"/>
      <c r="S277" s="55"/>
    </row>
    <row r="278" spans="11:19" x14ac:dyDescent="0.25">
      <c r="K278" s="58"/>
      <c r="L278" s="59"/>
      <c r="M278" s="54"/>
      <c r="N278" s="55"/>
      <c r="P278" s="58"/>
      <c r="Q278" s="59"/>
      <c r="R278" s="54"/>
      <c r="S278" s="55"/>
    </row>
    <row r="279" spans="11:19" x14ac:dyDescent="0.25">
      <c r="K279" s="58"/>
      <c r="L279" s="59"/>
      <c r="M279" s="54"/>
      <c r="N279" s="55"/>
      <c r="P279" s="58"/>
      <c r="Q279" s="59"/>
      <c r="R279" s="54"/>
      <c r="S279" s="55"/>
    </row>
    <row r="280" spans="11:19" x14ac:dyDescent="0.25">
      <c r="K280" s="58"/>
      <c r="L280" s="59"/>
      <c r="M280" s="54"/>
      <c r="N280" s="55"/>
      <c r="P280" s="58"/>
      <c r="Q280" s="59"/>
      <c r="R280" s="54"/>
      <c r="S280" s="55"/>
    </row>
    <row r="281" spans="11:19" x14ac:dyDescent="0.25">
      <c r="K281" s="58"/>
      <c r="L281" s="59"/>
      <c r="M281" s="54"/>
      <c r="N281" s="55"/>
      <c r="P281" s="58"/>
      <c r="Q281" s="59"/>
      <c r="R281" s="54"/>
      <c r="S281" s="55"/>
    </row>
    <row r="282" spans="11:19" x14ac:dyDescent="0.25">
      <c r="K282" s="58"/>
      <c r="L282" s="59"/>
      <c r="M282" s="54"/>
      <c r="N282" s="55"/>
      <c r="P282" s="58"/>
      <c r="Q282" s="59"/>
      <c r="R282" s="54"/>
      <c r="S282" s="55"/>
    </row>
    <row r="283" spans="11:19" x14ac:dyDescent="0.25">
      <c r="K283" s="58"/>
      <c r="L283" s="59"/>
      <c r="M283" s="54"/>
      <c r="N283" s="55"/>
      <c r="P283" s="58"/>
      <c r="Q283" s="59"/>
      <c r="R283" s="54"/>
      <c r="S283" s="55"/>
    </row>
    <row r="284" spans="11:19" x14ac:dyDescent="0.25">
      <c r="K284" s="58"/>
      <c r="L284" s="59"/>
      <c r="M284" s="54"/>
      <c r="N284" s="55"/>
      <c r="P284" s="58"/>
      <c r="Q284" s="59"/>
      <c r="R284" s="54"/>
      <c r="S284" s="55"/>
    </row>
    <row r="285" spans="11:19" x14ac:dyDescent="0.25">
      <c r="K285" s="58"/>
      <c r="L285" s="59"/>
      <c r="M285" s="54"/>
      <c r="N285" s="55"/>
      <c r="P285" s="58"/>
      <c r="Q285" s="59"/>
      <c r="R285" s="54"/>
      <c r="S285" s="55"/>
    </row>
    <row r="286" spans="11:19" x14ac:dyDescent="0.25">
      <c r="K286" s="58"/>
      <c r="L286" s="59"/>
      <c r="M286" s="54"/>
      <c r="N286" s="55"/>
      <c r="P286" s="58"/>
      <c r="Q286" s="59"/>
      <c r="R286" s="54"/>
      <c r="S286" s="55"/>
    </row>
    <row r="287" spans="11:19" x14ac:dyDescent="0.25">
      <c r="K287" s="58"/>
      <c r="L287" s="59"/>
      <c r="M287" s="54"/>
      <c r="N287" s="55"/>
      <c r="P287" s="58"/>
      <c r="Q287" s="59"/>
      <c r="R287" s="54"/>
      <c r="S287" s="55"/>
    </row>
    <row r="288" spans="11:19" x14ac:dyDescent="0.25">
      <c r="K288" s="58"/>
      <c r="L288" s="59"/>
      <c r="M288" s="54"/>
      <c r="N288" s="55"/>
      <c r="P288" s="58"/>
      <c r="Q288" s="59"/>
      <c r="R288" s="54"/>
      <c r="S288" s="55"/>
    </row>
    <row r="289" spans="11:19" x14ac:dyDescent="0.25">
      <c r="K289" s="58"/>
      <c r="L289" s="59"/>
      <c r="M289" s="54"/>
      <c r="N289" s="55"/>
      <c r="P289" s="58"/>
      <c r="Q289" s="59"/>
      <c r="R289" s="54"/>
      <c r="S289" s="55"/>
    </row>
    <row r="290" spans="11:19" x14ac:dyDescent="0.25">
      <c r="K290" s="58"/>
      <c r="L290" s="59"/>
      <c r="M290" s="54"/>
      <c r="N290" s="55"/>
      <c r="P290" s="58"/>
      <c r="Q290" s="59"/>
      <c r="R290" s="54"/>
      <c r="S290" s="55"/>
    </row>
    <row r="291" spans="11:19" x14ac:dyDescent="0.25">
      <c r="K291" s="58"/>
      <c r="L291" s="59"/>
      <c r="M291" s="54"/>
      <c r="N291" s="55"/>
      <c r="P291" s="58"/>
      <c r="Q291" s="59"/>
      <c r="R291" s="54"/>
      <c r="S291" s="55"/>
    </row>
    <row r="292" spans="11:19" x14ac:dyDescent="0.25">
      <c r="K292" s="58"/>
      <c r="L292" s="59"/>
      <c r="M292" s="54"/>
      <c r="N292" s="55"/>
      <c r="P292" s="58"/>
      <c r="Q292" s="59"/>
      <c r="R292" s="54"/>
      <c r="S292" s="55"/>
    </row>
    <row r="293" spans="11:19" x14ac:dyDescent="0.25">
      <c r="K293" s="58"/>
      <c r="L293" s="59"/>
      <c r="M293" s="54"/>
      <c r="N293" s="55"/>
      <c r="P293" s="58"/>
      <c r="Q293" s="59"/>
      <c r="R293" s="54"/>
      <c r="S293" s="55"/>
    </row>
    <row r="294" spans="11:19" x14ac:dyDescent="0.25">
      <c r="K294" s="58"/>
      <c r="L294" s="59"/>
      <c r="M294" s="54"/>
      <c r="N294" s="55"/>
      <c r="P294" s="58"/>
      <c r="Q294" s="59"/>
      <c r="R294" s="54"/>
      <c r="S294" s="55"/>
    </row>
    <row r="295" spans="11:19" x14ac:dyDescent="0.25">
      <c r="K295" s="58"/>
      <c r="L295" s="59"/>
      <c r="M295" s="54"/>
      <c r="N295" s="55"/>
      <c r="P295" s="58"/>
      <c r="Q295" s="59"/>
      <c r="R295" s="54"/>
      <c r="S295" s="55"/>
    </row>
    <row r="296" spans="11:19" x14ac:dyDescent="0.25">
      <c r="K296" s="58"/>
      <c r="L296" s="59"/>
      <c r="M296" s="54"/>
      <c r="N296" s="55"/>
      <c r="P296" s="58"/>
      <c r="Q296" s="59"/>
      <c r="R296" s="54"/>
      <c r="S296" s="55"/>
    </row>
    <row r="297" spans="11:19" x14ac:dyDescent="0.25">
      <c r="K297" s="58"/>
      <c r="L297" s="59"/>
      <c r="M297" s="54"/>
      <c r="N297" s="55"/>
      <c r="P297" s="58"/>
      <c r="Q297" s="59"/>
      <c r="R297" s="54"/>
      <c r="S297" s="55"/>
    </row>
    <row r="298" spans="11:19" x14ac:dyDescent="0.25">
      <c r="K298" s="58"/>
      <c r="L298" s="59"/>
      <c r="M298" s="54"/>
      <c r="N298" s="55"/>
      <c r="P298" s="58"/>
      <c r="Q298" s="59"/>
      <c r="R298" s="54"/>
      <c r="S298" s="55"/>
    </row>
    <row r="299" spans="11:19" x14ac:dyDescent="0.25">
      <c r="K299" s="58"/>
      <c r="L299" s="59"/>
      <c r="M299" s="54"/>
      <c r="N299" s="55"/>
      <c r="P299" s="58"/>
      <c r="Q299" s="59"/>
      <c r="R299" s="54"/>
      <c r="S299" s="55"/>
    </row>
    <row r="300" spans="11:19" x14ac:dyDescent="0.25">
      <c r="K300" s="58"/>
      <c r="L300" s="59"/>
      <c r="M300" s="54"/>
      <c r="N300" s="55"/>
      <c r="P300" s="58"/>
      <c r="Q300" s="59"/>
      <c r="R300" s="54"/>
      <c r="S300" s="55"/>
    </row>
    <row r="301" spans="11:19" x14ac:dyDescent="0.25">
      <c r="K301" s="58"/>
      <c r="L301" s="59"/>
      <c r="M301" s="54"/>
      <c r="N301" s="55"/>
      <c r="P301" s="58"/>
      <c r="Q301" s="59"/>
      <c r="R301" s="54"/>
      <c r="S301" s="55"/>
    </row>
    <row r="302" spans="11:19" x14ac:dyDescent="0.25">
      <c r="K302" s="58"/>
      <c r="L302" s="59"/>
      <c r="M302" s="54"/>
      <c r="N302" s="55"/>
      <c r="P302" s="58"/>
      <c r="Q302" s="59"/>
      <c r="R302" s="54"/>
      <c r="S302" s="55"/>
    </row>
    <row r="303" spans="11:19" x14ac:dyDescent="0.25">
      <c r="K303" s="58"/>
      <c r="L303" s="59"/>
      <c r="M303" s="54"/>
      <c r="N303" s="55"/>
      <c r="P303" s="58"/>
      <c r="Q303" s="59"/>
      <c r="R303" s="54"/>
      <c r="S303" s="55"/>
    </row>
    <row r="304" spans="11:19" x14ac:dyDescent="0.25">
      <c r="K304" s="58"/>
      <c r="L304" s="59"/>
      <c r="M304" s="54"/>
      <c r="N304" s="55"/>
      <c r="P304" s="58"/>
      <c r="Q304" s="59"/>
      <c r="R304" s="54"/>
      <c r="S304" s="55"/>
    </row>
    <row r="305" spans="11:19" x14ac:dyDescent="0.25">
      <c r="K305" s="58"/>
      <c r="L305" s="59"/>
      <c r="M305" s="54"/>
      <c r="N305" s="55"/>
      <c r="P305" s="58"/>
      <c r="Q305" s="59"/>
      <c r="R305" s="54"/>
      <c r="S305" s="55"/>
    </row>
    <row r="306" spans="11:19" x14ac:dyDescent="0.25">
      <c r="K306" s="58"/>
      <c r="L306" s="59"/>
      <c r="M306" s="54"/>
      <c r="N306" s="55"/>
      <c r="P306" s="58"/>
      <c r="Q306" s="59"/>
      <c r="R306" s="54"/>
      <c r="S306" s="55"/>
    </row>
    <row r="307" spans="11:19" x14ac:dyDescent="0.25">
      <c r="K307" s="58"/>
      <c r="L307" s="59"/>
      <c r="M307" s="54"/>
      <c r="N307" s="55"/>
      <c r="P307" s="58"/>
      <c r="Q307" s="59"/>
      <c r="R307" s="54"/>
      <c r="S307" s="55"/>
    </row>
    <row r="308" spans="11:19" x14ac:dyDescent="0.25">
      <c r="K308" s="58"/>
      <c r="L308" s="59"/>
      <c r="M308" s="54"/>
      <c r="N308" s="55"/>
      <c r="P308" s="58"/>
      <c r="Q308" s="59"/>
      <c r="R308" s="54"/>
      <c r="S308" s="55"/>
    </row>
    <row r="309" spans="11:19" x14ac:dyDescent="0.25">
      <c r="K309" s="58"/>
      <c r="L309" s="59"/>
      <c r="M309" s="54"/>
      <c r="N309" s="55"/>
      <c r="P309" s="58"/>
      <c r="Q309" s="59"/>
      <c r="R309" s="54"/>
      <c r="S309" s="55"/>
    </row>
    <row r="310" spans="11:19" x14ac:dyDescent="0.25">
      <c r="K310" s="58"/>
      <c r="L310" s="59"/>
      <c r="M310" s="54"/>
      <c r="N310" s="55"/>
      <c r="P310" s="58"/>
      <c r="Q310" s="59"/>
      <c r="R310" s="54"/>
      <c r="S310" s="55"/>
    </row>
    <row r="311" spans="11:19" x14ac:dyDescent="0.25">
      <c r="K311" s="58"/>
      <c r="L311" s="59"/>
      <c r="M311" s="54"/>
      <c r="N311" s="55"/>
      <c r="P311" s="58"/>
      <c r="Q311" s="59"/>
      <c r="R311" s="54"/>
      <c r="S311" s="55"/>
    </row>
    <row r="312" spans="11:19" x14ac:dyDescent="0.25">
      <c r="K312" s="58"/>
      <c r="L312" s="59"/>
      <c r="M312" s="54"/>
      <c r="N312" s="55"/>
      <c r="P312" s="58"/>
      <c r="Q312" s="59"/>
      <c r="R312" s="54"/>
      <c r="S312" s="55"/>
    </row>
    <row r="313" spans="11:19" x14ac:dyDescent="0.25">
      <c r="K313" s="58"/>
      <c r="L313" s="59"/>
      <c r="M313" s="54"/>
      <c r="N313" s="55"/>
      <c r="P313" s="58"/>
      <c r="Q313" s="59"/>
      <c r="R313" s="54"/>
      <c r="S313" s="55"/>
    </row>
    <row r="314" spans="11:19" x14ac:dyDescent="0.25">
      <c r="K314" s="58"/>
      <c r="L314" s="59"/>
      <c r="M314" s="54"/>
      <c r="N314" s="55"/>
      <c r="P314" s="58"/>
      <c r="Q314" s="59"/>
      <c r="R314" s="54"/>
      <c r="S314" s="55"/>
    </row>
    <row r="315" spans="11:19" x14ac:dyDescent="0.25">
      <c r="K315" s="58"/>
      <c r="L315" s="59"/>
      <c r="M315" s="54"/>
      <c r="N315" s="55"/>
      <c r="P315" s="58"/>
      <c r="Q315" s="59"/>
      <c r="R315" s="54"/>
      <c r="S315" s="55"/>
    </row>
    <row r="316" spans="11:19" x14ac:dyDescent="0.25">
      <c r="K316" s="58"/>
      <c r="L316" s="59"/>
      <c r="M316" s="54"/>
      <c r="N316" s="55"/>
      <c r="P316" s="58"/>
      <c r="Q316" s="59"/>
      <c r="R316" s="54"/>
      <c r="S316" s="55"/>
    </row>
    <row r="317" spans="11:19" x14ac:dyDescent="0.25">
      <c r="K317" s="58"/>
      <c r="L317" s="59"/>
      <c r="M317" s="54"/>
      <c r="N317" s="55"/>
      <c r="P317" s="58"/>
      <c r="Q317" s="59"/>
      <c r="R317" s="54"/>
      <c r="S317" s="55"/>
    </row>
    <row r="318" spans="11:19" x14ac:dyDescent="0.25">
      <c r="K318" s="58"/>
      <c r="L318" s="59"/>
      <c r="M318" s="54"/>
      <c r="N318" s="55"/>
      <c r="P318" s="58"/>
      <c r="Q318" s="59"/>
      <c r="R318" s="54"/>
      <c r="S318" s="55"/>
    </row>
    <row r="319" spans="11:19" x14ac:dyDescent="0.25">
      <c r="K319" s="58"/>
      <c r="L319" s="59"/>
      <c r="M319" s="54"/>
      <c r="N319" s="55"/>
      <c r="P319" s="58"/>
      <c r="Q319" s="59"/>
      <c r="R319" s="54"/>
      <c r="S319" s="55"/>
    </row>
    <row r="320" spans="11:19" x14ac:dyDescent="0.25">
      <c r="K320" s="58"/>
      <c r="L320" s="59"/>
      <c r="M320" s="54"/>
      <c r="N320" s="55"/>
      <c r="P320" s="58"/>
      <c r="Q320" s="59"/>
      <c r="R320" s="54"/>
      <c r="S320" s="55"/>
    </row>
    <row r="321" spans="11:19" x14ac:dyDescent="0.25">
      <c r="K321" s="58"/>
      <c r="L321" s="59"/>
      <c r="M321" s="54"/>
      <c r="N321" s="55"/>
      <c r="P321" s="58"/>
      <c r="Q321" s="59"/>
      <c r="R321" s="54"/>
      <c r="S321" s="55"/>
    </row>
    <row r="322" spans="11:19" x14ac:dyDescent="0.25">
      <c r="K322" s="58"/>
      <c r="L322" s="59"/>
      <c r="M322" s="54"/>
      <c r="N322" s="55"/>
      <c r="P322" s="58"/>
      <c r="Q322" s="59"/>
      <c r="R322" s="54"/>
      <c r="S322" s="55"/>
    </row>
    <row r="323" spans="11:19" x14ac:dyDescent="0.25">
      <c r="K323" s="58"/>
      <c r="L323" s="59"/>
      <c r="M323" s="54"/>
      <c r="N323" s="55"/>
      <c r="P323" s="58"/>
      <c r="Q323" s="59"/>
      <c r="R323" s="54"/>
      <c r="S323" s="55"/>
    </row>
    <row r="324" spans="11:19" x14ac:dyDescent="0.25">
      <c r="K324" s="58"/>
      <c r="L324" s="59"/>
      <c r="M324" s="54"/>
      <c r="N324" s="55"/>
      <c r="P324" s="58"/>
      <c r="Q324" s="59"/>
      <c r="R324" s="54"/>
      <c r="S324" s="55"/>
    </row>
    <row r="325" spans="11:19" x14ac:dyDescent="0.25">
      <c r="K325" s="58"/>
      <c r="L325" s="59"/>
      <c r="M325" s="54"/>
      <c r="N325" s="55"/>
      <c r="P325" s="58"/>
      <c r="Q325" s="59"/>
      <c r="R325" s="54"/>
      <c r="S325" s="55"/>
    </row>
    <row r="326" spans="11:19" x14ac:dyDescent="0.25">
      <c r="K326" s="58"/>
      <c r="L326" s="59"/>
      <c r="M326" s="54"/>
      <c r="N326" s="55"/>
      <c r="P326" s="58"/>
      <c r="Q326" s="59"/>
      <c r="R326" s="54"/>
      <c r="S326" s="55"/>
    </row>
    <row r="327" spans="11:19" x14ac:dyDescent="0.25">
      <c r="K327" s="58"/>
      <c r="L327" s="59"/>
      <c r="M327" s="54"/>
      <c r="N327" s="55"/>
      <c r="P327" s="58"/>
      <c r="Q327" s="59"/>
      <c r="R327" s="54"/>
      <c r="S327" s="55"/>
    </row>
    <row r="328" spans="11:19" x14ac:dyDescent="0.25">
      <c r="K328" s="58"/>
      <c r="L328" s="59"/>
      <c r="M328" s="54"/>
      <c r="N328" s="55"/>
      <c r="P328" s="58"/>
      <c r="Q328" s="59"/>
      <c r="R328" s="54"/>
      <c r="S328" s="55"/>
    </row>
    <row r="329" spans="11:19" x14ac:dyDescent="0.25">
      <c r="K329" s="58"/>
      <c r="L329" s="59"/>
      <c r="M329" s="54"/>
      <c r="N329" s="55"/>
      <c r="P329" s="58"/>
      <c r="Q329" s="59"/>
      <c r="R329" s="54"/>
      <c r="S329" s="55"/>
    </row>
    <row r="330" spans="11:19" x14ac:dyDescent="0.25">
      <c r="K330" s="58"/>
      <c r="L330" s="59"/>
      <c r="M330" s="54"/>
      <c r="N330" s="55"/>
      <c r="P330" s="58"/>
      <c r="Q330" s="59"/>
      <c r="R330" s="54"/>
      <c r="S330" s="55"/>
    </row>
    <row r="331" spans="11:19" x14ac:dyDescent="0.25">
      <c r="K331" s="58"/>
      <c r="L331" s="59"/>
      <c r="M331" s="54"/>
      <c r="N331" s="55"/>
      <c r="P331" s="58"/>
      <c r="Q331" s="59"/>
      <c r="R331" s="54"/>
      <c r="S331" s="55"/>
    </row>
    <row r="332" spans="11:19" x14ac:dyDescent="0.25">
      <c r="K332" s="58"/>
      <c r="L332" s="59"/>
      <c r="M332" s="54"/>
      <c r="N332" s="55"/>
      <c r="P332" s="58"/>
      <c r="Q332" s="59"/>
      <c r="R332" s="54"/>
      <c r="S332" s="55"/>
    </row>
    <row r="333" spans="11:19" x14ac:dyDescent="0.25">
      <c r="K333" s="58"/>
      <c r="L333" s="59"/>
      <c r="M333" s="54"/>
      <c r="N333" s="55"/>
      <c r="P333" s="58"/>
      <c r="Q333" s="59"/>
      <c r="R333" s="54"/>
      <c r="S333" s="55"/>
    </row>
    <row r="334" spans="11:19" x14ac:dyDescent="0.25">
      <c r="K334" s="58"/>
      <c r="L334" s="59"/>
      <c r="M334" s="54"/>
      <c r="N334" s="55"/>
      <c r="P334" s="58"/>
      <c r="Q334" s="59"/>
      <c r="R334" s="54"/>
      <c r="S334" s="55"/>
    </row>
    <row r="335" spans="11:19" x14ac:dyDescent="0.25">
      <c r="K335" s="58"/>
      <c r="L335" s="59"/>
      <c r="M335" s="54"/>
      <c r="N335" s="55"/>
      <c r="P335" s="58"/>
      <c r="Q335" s="59"/>
      <c r="R335" s="54"/>
      <c r="S335" s="55"/>
    </row>
    <row r="336" spans="11:19" x14ac:dyDescent="0.25">
      <c r="K336" s="58"/>
      <c r="L336" s="59"/>
      <c r="M336" s="54"/>
      <c r="N336" s="55"/>
      <c r="P336" s="58"/>
      <c r="Q336" s="59"/>
      <c r="R336" s="54"/>
      <c r="S336" s="55"/>
    </row>
    <row r="337" spans="11:19" x14ac:dyDescent="0.25">
      <c r="K337" s="58"/>
      <c r="L337" s="59"/>
      <c r="M337" s="54"/>
      <c r="N337" s="55"/>
      <c r="P337" s="58"/>
      <c r="Q337" s="59"/>
      <c r="R337" s="54"/>
      <c r="S337" s="55"/>
    </row>
    <row r="338" spans="11:19" x14ac:dyDescent="0.25">
      <c r="K338" s="58"/>
      <c r="L338" s="59"/>
      <c r="M338" s="54"/>
      <c r="N338" s="55"/>
      <c r="P338" s="58"/>
      <c r="Q338" s="59"/>
      <c r="R338" s="54"/>
      <c r="S338" s="55"/>
    </row>
    <row r="339" spans="11:19" x14ac:dyDescent="0.25">
      <c r="K339" s="58"/>
      <c r="L339" s="59"/>
      <c r="M339" s="54"/>
      <c r="N339" s="55"/>
      <c r="P339" s="58"/>
      <c r="Q339" s="59"/>
      <c r="R339" s="54"/>
      <c r="S339" s="55"/>
    </row>
    <row r="340" spans="11:19" x14ac:dyDescent="0.25">
      <c r="K340" s="58"/>
      <c r="L340" s="59"/>
      <c r="M340" s="54"/>
      <c r="N340" s="55"/>
      <c r="P340" s="58"/>
      <c r="Q340" s="59"/>
      <c r="R340" s="54"/>
      <c r="S340" s="55"/>
    </row>
    <row r="341" spans="11:19" x14ac:dyDescent="0.25">
      <c r="K341" s="58"/>
      <c r="L341" s="59"/>
      <c r="M341" s="54"/>
      <c r="N341" s="55"/>
      <c r="P341" s="58"/>
      <c r="Q341" s="59"/>
      <c r="R341" s="54"/>
      <c r="S341" s="55"/>
    </row>
    <row r="342" spans="11:19" x14ac:dyDescent="0.25">
      <c r="K342" s="58"/>
      <c r="L342" s="59"/>
      <c r="M342" s="54"/>
      <c r="N342" s="55"/>
      <c r="P342" s="58"/>
      <c r="Q342" s="59"/>
      <c r="R342" s="54"/>
      <c r="S342" s="55"/>
    </row>
    <row r="343" spans="11:19" x14ac:dyDescent="0.25">
      <c r="K343" s="58"/>
      <c r="L343" s="59"/>
      <c r="M343" s="54"/>
      <c r="N343" s="55"/>
      <c r="P343" s="58"/>
      <c r="Q343" s="59"/>
      <c r="R343" s="54"/>
      <c r="S343" s="55"/>
    </row>
    <row r="344" spans="11:19" x14ac:dyDescent="0.25">
      <c r="K344" s="58"/>
      <c r="L344" s="59"/>
      <c r="M344" s="54"/>
      <c r="N344" s="55"/>
      <c r="P344" s="58"/>
      <c r="Q344" s="59"/>
      <c r="R344" s="54"/>
      <c r="S344" s="55"/>
    </row>
    <row r="345" spans="11:19" x14ac:dyDescent="0.25">
      <c r="K345" s="58"/>
      <c r="L345" s="59"/>
      <c r="M345" s="54"/>
      <c r="N345" s="55"/>
      <c r="P345" s="58"/>
      <c r="Q345" s="59"/>
      <c r="R345" s="54"/>
      <c r="S345" s="55"/>
    </row>
    <row r="346" spans="11:19" x14ac:dyDescent="0.25">
      <c r="K346" s="58"/>
      <c r="L346" s="59"/>
      <c r="M346" s="54"/>
      <c r="N346" s="55"/>
      <c r="P346" s="58"/>
      <c r="Q346" s="59"/>
      <c r="R346" s="54"/>
      <c r="S346" s="55"/>
    </row>
    <row r="347" spans="11:19" x14ac:dyDescent="0.25">
      <c r="K347" s="58"/>
      <c r="L347" s="59"/>
      <c r="M347" s="54"/>
      <c r="N347" s="55"/>
      <c r="P347" s="58"/>
      <c r="Q347" s="59"/>
      <c r="R347" s="54"/>
      <c r="S347" s="55"/>
    </row>
    <row r="348" spans="11:19" ht="15.75" thickBot="1" x14ac:dyDescent="0.3">
      <c r="K348" s="60"/>
      <c r="L348" s="61"/>
      <c r="M348" s="56"/>
      <c r="N348" s="57"/>
      <c r="P348" s="60"/>
      <c r="Q348" s="61"/>
      <c r="R348" s="56"/>
      <c r="S348" s="57"/>
    </row>
  </sheetData>
  <mergeCells count="4">
    <mergeCell ref="A8:D8"/>
    <mergeCell ref="F8:I8"/>
    <mergeCell ref="K8:N8"/>
    <mergeCell ref="P8:S8"/>
  </mergeCells>
  <conditionalFormatting sqref="G3">
    <cfRule type="cellIs" dxfId="14" priority="5" operator="greaterThan">
      <formula>$J$4</formula>
    </cfRule>
  </conditionalFormatting>
  <conditionalFormatting sqref="T5">
    <cfRule type="cellIs" dxfId="13" priority="1" operator="greaterThan">
      <formula>$T$6</formula>
    </cfRule>
    <cfRule type="cellIs" dxfId="12" priority="4" operator="lessThan">
      <formula>$T$6</formula>
    </cfRule>
  </conditionalFormatting>
  <conditionalFormatting sqref="T6">
    <cfRule type="cellIs" dxfId="11" priority="2" operator="greaterThan">
      <formula>$T$5</formula>
    </cfRule>
    <cfRule type="cellIs" dxfId="10" priority="3" operator="lessThan">
      <formula>$T$5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4A8B8-E62D-42A0-A615-9AD17F6DDC7D}">
  <sheetPr codeName="Sheet43"/>
  <dimension ref="A1:T348"/>
  <sheetViews>
    <sheetView zoomScale="90" zoomScaleNormal="90" workbookViewId="0">
      <pane ySplit="9" topLeftCell="A10" activePane="bottomLeft" state="frozen"/>
      <selection pane="bottomLeft" activeCell="G21" sqref="G21"/>
    </sheetView>
  </sheetViews>
  <sheetFormatPr baseColWidth="10" defaultColWidth="9.140625" defaultRowHeight="15" x14ac:dyDescent="0.25"/>
  <cols>
    <col min="2" max="2" width="11.85546875" bestFit="1" customWidth="1"/>
    <col min="3" max="3" width="17.140625" bestFit="1" customWidth="1"/>
    <col min="4" max="4" width="14.5703125" customWidth="1"/>
    <col min="5" max="7" width="14.5703125" bestFit="1" customWidth="1"/>
    <col min="8" max="8" width="18.7109375" bestFit="1" customWidth="1"/>
    <col min="9" max="9" width="16.28515625" bestFit="1" customWidth="1"/>
    <col min="10" max="10" width="14" bestFit="1" customWidth="1"/>
    <col min="12" max="12" width="11.85546875" bestFit="1" customWidth="1"/>
    <col min="13" max="13" width="17.140625" bestFit="1" customWidth="1"/>
    <col min="14" max="14" width="14.42578125" bestFit="1" customWidth="1"/>
    <col min="15" max="15" width="8.7109375" customWidth="1"/>
    <col min="17" max="17" width="14.85546875" bestFit="1" customWidth="1"/>
    <col min="18" max="18" width="17.140625" bestFit="1" customWidth="1"/>
    <col min="19" max="19" width="14.85546875" bestFit="1" customWidth="1"/>
    <col min="20" max="20" width="12.42578125" bestFit="1" customWidth="1"/>
    <col min="22" max="23" width="14.5703125" bestFit="1" customWidth="1"/>
    <col min="24" max="24" width="15.85546875" bestFit="1" customWidth="1"/>
    <col min="26" max="26" width="15.85546875" bestFit="1" customWidth="1"/>
  </cols>
  <sheetData>
    <row r="1" spans="1:20" ht="15.75" thickBot="1" x14ac:dyDescent="0.3">
      <c r="C1" s="1" t="s">
        <v>0</v>
      </c>
      <c r="D1" s="2" t="s">
        <v>1</v>
      </c>
      <c r="E1" s="1" t="s">
        <v>2</v>
      </c>
      <c r="F1" s="2" t="s">
        <v>3</v>
      </c>
      <c r="G1" s="63" t="s">
        <v>4</v>
      </c>
      <c r="H1" s="81" t="s">
        <v>24</v>
      </c>
      <c r="I1" s="66" t="s">
        <v>5</v>
      </c>
      <c r="J1" s="3">
        <v>368</v>
      </c>
      <c r="M1" s="1" t="s">
        <v>5</v>
      </c>
      <c r="N1" s="4" t="s">
        <v>6</v>
      </c>
      <c r="P1" t="s">
        <v>0</v>
      </c>
      <c r="Q1">
        <f>SUM(E10:E54)</f>
        <v>0</v>
      </c>
      <c r="R1" t="s">
        <v>2</v>
      </c>
      <c r="S1">
        <f>(M3/M2)*Q1</f>
        <v>0</v>
      </c>
    </row>
    <row r="2" spans="1:20" ht="15.75" thickBot="1" x14ac:dyDescent="0.3">
      <c r="B2" s="5" t="s">
        <v>7</v>
      </c>
      <c r="C2" s="6">
        <f>SUMPRODUCT(C10:C118,E10:E118)</f>
        <v>0</v>
      </c>
      <c r="D2" s="7">
        <f>SUMPRODUCT(H10:H118,J10:J118)</f>
        <v>0</v>
      </c>
      <c r="E2" s="6">
        <f>SUMPRODUCT(M10:M348,O10:O348)</f>
        <v>0</v>
      </c>
      <c r="F2" s="7">
        <f>SUMPRODUCT(R10:R348,T10:T348)</f>
        <v>0</v>
      </c>
      <c r="G2" s="64">
        <f>C2+D2+E2+F2</f>
        <v>0</v>
      </c>
      <c r="H2" s="82">
        <v>24786935</v>
      </c>
      <c r="I2" s="67" t="s">
        <v>6</v>
      </c>
      <c r="J2" s="8">
        <v>334</v>
      </c>
      <c r="L2" s="5" t="s">
        <v>8</v>
      </c>
      <c r="M2" s="9">
        <v>0.6</v>
      </c>
      <c r="N2" s="10">
        <v>0.25</v>
      </c>
      <c r="P2" t="s">
        <v>3</v>
      </c>
      <c r="Q2">
        <f>SUM(T10:T64)</f>
        <v>0</v>
      </c>
      <c r="R2" t="s">
        <v>1</v>
      </c>
      <c r="S2">
        <f>(N2/N3)*Q2</f>
        <v>0</v>
      </c>
    </row>
    <row r="3" spans="1:20" ht="15.75" thickBot="1" x14ac:dyDescent="0.3">
      <c r="B3" s="11" t="s">
        <v>9</v>
      </c>
      <c r="C3" s="12">
        <f>SUMPRODUCT(B10:B118,E10:E118)</f>
        <v>0</v>
      </c>
      <c r="D3" s="13">
        <f>SUMPRODUCT(G10:G118,J10:J118)</f>
        <v>0</v>
      </c>
      <c r="E3" s="12">
        <f>SUMPRODUCT(L10:L348,O10:O348)</f>
        <v>0</v>
      </c>
      <c r="F3" s="13">
        <f>SUMPRODUCT(Q10:Q348,T10:T348)</f>
        <v>0</v>
      </c>
      <c r="G3" s="65">
        <f>SUM(C3:F3)</f>
        <v>0</v>
      </c>
      <c r="H3" s="80" t="e">
        <f>(H2-G2)/G2</f>
        <v>#DIV/0!</v>
      </c>
      <c r="I3" s="67" t="s">
        <v>10</v>
      </c>
      <c r="J3" s="8">
        <f>11160</f>
        <v>11160</v>
      </c>
      <c r="L3" s="14" t="s">
        <v>11</v>
      </c>
      <c r="M3" s="15">
        <v>0.4</v>
      </c>
      <c r="N3" s="16">
        <v>0.75</v>
      </c>
      <c r="P3" t="s">
        <v>0</v>
      </c>
      <c r="Q3">
        <v>1</v>
      </c>
      <c r="R3" t="s">
        <v>2</v>
      </c>
      <c r="S3">
        <f>(M3/M2)*Q3</f>
        <v>0.66666666666666674</v>
      </c>
    </row>
    <row r="4" spans="1:20" ht="15.75" thickBot="1" x14ac:dyDescent="0.3">
      <c r="B4" s="14" t="s">
        <v>12</v>
      </c>
      <c r="C4" s="17">
        <f>SUM(E10:E118)*J3</f>
        <v>0</v>
      </c>
      <c r="D4" s="18">
        <f>SUM(J10:J118)*J3</f>
        <v>0</v>
      </c>
      <c r="E4" s="17">
        <f>SUM(O10:O348)*J3</f>
        <v>0</v>
      </c>
      <c r="F4" s="18">
        <f>SUM(T10:T348)*J3</f>
        <v>0</v>
      </c>
      <c r="G4" s="19">
        <f>SUM(C4:F4)</f>
        <v>0</v>
      </c>
      <c r="H4" s="20"/>
      <c r="I4" s="21" t="s">
        <v>13</v>
      </c>
      <c r="J4" s="22">
        <v>100000</v>
      </c>
      <c r="L4" s="5" t="s">
        <v>14</v>
      </c>
      <c r="M4" s="76" t="e">
        <f>C4/(C4+E4)</f>
        <v>#DIV/0!</v>
      </c>
      <c r="N4" s="77" t="e">
        <f>D4/(D4+F4)</f>
        <v>#DIV/0!</v>
      </c>
      <c r="O4" s="23"/>
      <c r="P4" t="s">
        <v>3</v>
      </c>
      <c r="Q4">
        <v>1</v>
      </c>
      <c r="R4" t="s">
        <v>1</v>
      </c>
      <c r="S4">
        <f>(N2/N3)*Q4</f>
        <v>0.33333333333333331</v>
      </c>
    </row>
    <row r="5" spans="1:20" ht="15.75" thickBot="1" x14ac:dyDescent="0.3">
      <c r="B5" s="24" t="s">
        <v>15</v>
      </c>
      <c r="C5" s="25">
        <v>217620</v>
      </c>
      <c r="D5" s="26">
        <v>74400</v>
      </c>
      <c r="E5" s="27">
        <v>145080</v>
      </c>
      <c r="F5" s="26">
        <v>223200</v>
      </c>
      <c r="G5" s="28">
        <f>SUM(C5:F5)</f>
        <v>660300</v>
      </c>
      <c r="H5" s="20"/>
      <c r="I5" s="20"/>
      <c r="L5" s="29" t="s">
        <v>16</v>
      </c>
      <c r="M5" s="78" t="e">
        <f>E4/(C4+E4)</f>
        <v>#DIV/0!</v>
      </c>
      <c r="N5" s="79" t="e">
        <f>F4/(D4+F4)</f>
        <v>#DIV/0!</v>
      </c>
      <c r="O5" s="23"/>
      <c r="P5" t="s">
        <v>0</v>
      </c>
      <c r="Q5" s="88">
        <v>27146.957706093192</v>
      </c>
      <c r="R5" t="s">
        <v>2</v>
      </c>
      <c r="S5" s="88">
        <v>29405.772043010755</v>
      </c>
      <c r="T5">
        <f>Q5*Q3+S5*S3</f>
        <v>46750.805734767026</v>
      </c>
    </row>
    <row r="6" spans="1:20" ht="15.75" thickBot="1" x14ac:dyDescent="0.3">
      <c r="B6" s="24" t="s">
        <v>17</v>
      </c>
      <c r="C6" s="27">
        <f>C5-C4</f>
        <v>217620</v>
      </c>
      <c r="D6" s="30">
        <f>D5-D4</f>
        <v>74400</v>
      </c>
      <c r="E6" s="27">
        <f>E5-E4</f>
        <v>145080</v>
      </c>
      <c r="F6" s="30">
        <f>F5-F4</f>
        <v>223200</v>
      </c>
      <c r="H6" s="20"/>
      <c r="I6" s="20"/>
      <c r="J6" s="62"/>
      <c r="N6" s="23"/>
      <c r="O6" s="23"/>
      <c r="P6" t="s">
        <v>3</v>
      </c>
      <c r="Q6" s="88">
        <v>24785.014695340502</v>
      </c>
      <c r="R6" t="s">
        <v>1</v>
      </c>
      <c r="S6" s="88">
        <v>25114.615232974909</v>
      </c>
      <c r="T6">
        <f>Q6*Q4+S6*S4</f>
        <v>33156.55310633214</v>
      </c>
    </row>
    <row r="7" spans="1:20" ht="15.75" thickBot="1" x14ac:dyDescent="0.3"/>
    <row r="8" spans="1:20" ht="15.75" thickBot="1" x14ac:dyDescent="0.3">
      <c r="A8" s="113" t="s">
        <v>18</v>
      </c>
      <c r="B8" s="114"/>
      <c r="C8" s="114"/>
      <c r="D8" s="115"/>
      <c r="E8" s="31"/>
      <c r="F8" s="113" t="s">
        <v>19</v>
      </c>
      <c r="G8" s="114"/>
      <c r="H8" s="114"/>
      <c r="I8" s="115"/>
      <c r="J8" s="31"/>
      <c r="K8" s="113" t="s">
        <v>20</v>
      </c>
      <c r="L8" s="114"/>
      <c r="M8" s="114"/>
      <c r="N8" s="115"/>
      <c r="O8" s="31"/>
      <c r="P8" s="113" t="s">
        <v>21</v>
      </c>
      <c r="Q8" s="114"/>
      <c r="R8" s="114"/>
      <c r="S8" s="115"/>
    </row>
    <row r="9" spans="1:20" ht="15.75" thickBot="1" x14ac:dyDescent="0.3">
      <c r="A9" s="32" t="s">
        <v>22</v>
      </c>
      <c r="B9" s="33" t="s">
        <v>9</v>
      </c>
      <c r="C9" s="33" t="s">
        <v>7</v>
      </c>
      <c r="D9" s="34" t="s">
        <v>23</v>
      </c>
      <c r="E9" s="31"/>
      <c r="F9" s="32" t="s">
        <v>22</v>
      </c>
      <c r="G9" s="33" t="s">
        <v>9</v>
      </c>
      <c r="H9" s="33" t="s">
        <v>7</v>
      </c>
      <c r="I9" s="34" t="s">
        <v>23</v>
      </c>
      <c r="J9" s="31"/>
      <c r="K9" s="32" t="s">
        <v>22</v>
      </c>
      <c r="L9" s="33" t="s">
        <v>9</v>
      </c>
      <c r="M9" s="33" t="s">
        <v>7</v>
      </c>
      <c r="N9" s="34" t="s">
        <v>23</v>
      </c>
      <c r="O9" s="31"/>
      <c r="P9" s="35" t="s">
        <v>22</v>
      </c>
      <c r="Q9" s="36" t="s">
        <v>9</v>
      </c>
      <c r="R9" s="36" t="s">
        <v>7</v>
      </c>
      <c r="S9" s="37" t="s">
        <v>23</v>
      </c>
    </row>
    <row r="10" spans="1:20" x14ac:dyDescent="0.25">
      <c r="A10" s="86">
        <v>15</v>
      </c>
      <c r="B10" s="68">
        <f>$J$3/$J$1</f>
        <v>30.326086956521738</v>
      </c>
      <c r="C10" s="87">
        <v>823261</v>
      </c>
      <c r="D10" s="69">
        <f>C10/B10</f>
        <v>27146.957706093192</v>
      </c>
      <c r="F10" s="86">
        <v>9</v>
      </c>
      <c r="G10" s="68">
        <f>$J$3/$J$2</f>
        <v>33.41317365269461</v>
      </c>
      <c r="H10" s="87">
        <v>839159</v>
      </c>
      <c r="I10" s="69">
        <f>H10/G10</f>
        <v>25114.615232974909</v>
      </c>
      <c r="K10" s="86">
        <v>99</v>
      </c>
      <c r="L10" s="68">
        <f>$J$3/$J$1</f>
        <v>30.326086956521738</v>
      </c>
      <c r="M10" s="87">
        <v>891762</v>
      </c>
      <c r="N10" s="69">
        <f>M10/L10</f>
        <v>29405.772043010755</v>
      </c>
      <c r="P10" s="86">
        <v>31</v>
      </c>
      <c r="Q10" s="68">
        <f>$J$3/$J$2</f>
        <v>33.41317365269461</v>
      </c>
      <c r="R10" s="87">
        <v>828146</v>
      </c>
      <c r="S10" s="69">
        <f>R10/Q10</f>
        <v>24785.014695340502</v>
      </c>
    </row>
    <row r="11" spans="1:20" x14ac:dyDescent="0.25">
      <c r="A11" s="58">
        <v>4</v>
      </c>
      <c r="B11" s="68">
        <f>$J$3/$J$1</f>
        <v>30.326086956521738</v>
      </c>
      <c r="C11" s="54">
        <v>748702</v>
      </c>
      <c r="D11" s="69">
        <f t="shared" ref="D11:D54" si="0">C11/B11</f>
        <v>24688.381362007171</v>
      </c>
      <c r="F11" s="58">
        <v>1</v>
      </c>
      <c r="G11" s="68">
        <f>$J$3/$J$2</f>
        <v>33.41317365269461</v>
      </c>
      <c r="H11" s="54">
        <v>816679</v>
      </c>
      <c r="I11" s="69">
        <f t="shared" ref="I11:I54" si="1">H11/G11</f>
        <v>24441.826702508963</v>
      </c>
      <c r="K11" s="58">
        <v>22</v>
      </c>
      <c r="L11" s="68">
        <f>$J$3/$J$1</f>
        <v>30.326086956521738</v>
      </c>
      <c r="M11" s="54">
        <v>787867</v>
      </c>
      <c r="N11" s="69">
        <f t="shared" ref="N11:N64" si="2">M11/L11</f>
        <v>25979.843727598567</v>
      </c>
      <c r="P11" s="58">
        <v>95</v>
      </c>
      <c r="Q11" s="68">
        <f>$J$3/$J$2</f>
        <v>33.41317365269461</v>
      </c>
      <c r="R11" s="54">
        <v>778683</v>
      </c>
      <c r="S11" s="69">
        <f t="shared" ref="S11:S64" si="3">R11/Q11</f>
        <v>23304.670430107526</v>
      </c>
    </row>
    <row r="12" spans="1:20" x14ac:dyDescent="0.25">
      <c r="A12" s="58">
        <v>75</v>
      </c>
      <c r="B12" s="68">
        <f>$J$3/$J$1</f>
        <v>30.326086956521738</v>
      </c>
      <c r="C12" s="54">
        <v>700923</v>
      </c>
      <c r="D12" s="69">
        <f t="shared" si="0"/>
        <v>23112.873118279571</v>
      </c>
      <c r="F12" s="58">
        <v>3</v>
      </c>
      <c r="G12" s="68">
        <f>$J$3/$J$2</f>
        <v>33.41317365269461</v>
      </c>
      <c r="H12" s="54">
        <v>637399</v>
      </c>
      <c r="I12" s="69">
        <f t="shared" si="1"/>
        <v>19076.278315412186</v>
      </c>
      <c r="K12" s="58">
        <v>83</v>
      </c>
      <c r="L12" s="68">
        <f>$J$3/$J$1</f>
        <v>30.326086956521738</v>
      </c>
      <c r="M12" s="54">
        <v>776669</v>
      </c>
      <c r="N12" s="69">
        <f t="shared" si="2"/>
        <v>25610.590681003585</v>
      </c>
      <c r="P12" s="58">
        <v>32</v>
      </c>
      <c r="Q12" s="68">
        <f>$J$3/$J$2</f>
        <v>33.41317365269461</v>
      </c>
      <c r="R12" s="54">
        <v>742165</v>
      </c>
      <c r="S12" s="69">
        <f t="shared" si="3"/>
        <v>22211.748207885306</v>
      </c>
    </row>
    <row r="13" spans="1:20" x14ac:dyDescent="0.25">
      <c r="A13" s="58">
        <v>61</v>
      </c>
      <c r="B13" s="68">
        <f>$J$3/$J$1</f>
        <v>30.326086956521738</v>
      </c>
      <c r="C13" s="54">
        <v>594344</v>
      </c>
      <c r="D13" s="69">
        <f t="shared" si="0"/>
        <v>19598.440143369175</v>
      </c>
      <c r="F13" s="58">
        <v>89</v>
      </c>
      <c r="G13" s="68">
        <f>$J$3/$J$2</f>
        <v>33.41317365269461</v>
      </c>
      <c r="H13" s="54">
        <v>626952</v>
      </c>
      <c r="I13" s="69">
        <f t="shared" si="1"/>
        <v>18763.617204301077</v>
      </c>
      <c r="K13" s="58">
        <v>57</v>
      </c>
      <c r="L13" s="68">
        <f>$J$3/$J$1</f>
        <v>30.326086956521738</v>
      </c>
      <c r="M13" s="54">
        <v>764937</v>
      </c>
      <c r="N13" s="69">
        <f t="shared" si="2"/>
        <v>25223.729032258067</v>
      </c>
      <c r="P13" s="58">
        <v>86</v>
      </c>
      <c r="Q13" s="68">
        <f>$J$3/$J$2</f>
        <v>33.41317365269461</v>
      </c>
      <c r="R13" s="54">
        <v>708838</v>
      </c>
      <c r="S13" s="69">
        <f t="shared" si="3"/>
        <v>21214.327240143371</v>
      </c>
    </row>
    <row r="14" spans="1:20" x14ac:dyDescent="0.25">
      <c r="A14" s="58">
        <v>2</v>
      </c>
      <c r="B14" s="68">
        <f>$J$3/$J$1</f>
        <v>30.326086956521738</v>
      </c>
      <c r="C14" s="54">
        <v>573963</v>
      </c>
      <c r="D14" s="69">
        <f t="shared" si="0"/>
        <v>18926.378494623656</v>
      </c>
      <c r="F14" s="58">
        <v>74</v>
      </c>
      <c r="G14" s="68">
        <f>$J$3/$J$2</f>
        <v>33.41317365269461</v>
      </c>
      <c r="H14" s="54">
        <v>528188</v>
      </c>
      <c r="I14" s="69">
        <f t="shared" si="1"/>
        <v>15807.7770609319</v>
      </c>
      <c r="K14" s="58">
        <v>33</v>
      </c>
      <c r="L14" s="68">
        <f>$J$3/$J$1</f>
        <v>30.326086956521738</v>
      </c>
      <c r="M14" s="54">
        <v>739492</v>
      </c>
      <c r="N14" s="69">
        <f t="shared" si="2"/>
        <v>24384.682437275987</v>
      </c>
      <c r="P14" s="58">
        <v>44</v>
      </c>
      <c r="Q14" s="68">
        <f>$J$3/$J$2</f>
        <v>33.41317365269461</v>
      </c>
      <c r="R14" s="54">
        <v>644475</v>
      </c>
      <c r="S14" s="69">
        <f t="shared" si="3"/>
        <v>19288.051075268817</v>
      </c>
    </row>
    <row r="15" spans="1:20" x14ac:dyDescent="0.25">
      <c r="A15" s="58">
        <v>66</v>
      </c>
      <c r="B15" s="68">
        <f>$J$3/$J$1</f>
        <v>30.326086956521738</v>
      </c>
      <c r="C15" s="54">
        <v>543888</v>
      </c>
      <c r="D15" s="69">
        <f t="shared" si="0"/>
        <v>17934.65806451613</v>
      </c>
      <c r="F15" s="58">
        <v>7</v>
      </c>
      <c r="G15" s="68">
        <f>$J$3/$J$2</f>
        <v>33.41317365269461</v>
      </c>
      <c r="H15" s="54">
        <v>517706</v>
      </c>
      <c r="I15" s="69">
        <f t="shared" si="1"/>
        <v>15494.068458781363</v>
      </c>
      <c r="K15" s="58">
        <v>34</v>
      </c>
      <c r="L15" s="68">
        <f>$J$3/$J$1</f>
        <v>30.326086956521738</v>
      </c>
      <c r="M15" s="54">
        <v>706466</v>
      </c>
      <c r="N15" s="69">
        <f t="shared" si="2"/>
        <v>23295.653046594984</v>
      </c>
      <c r="P15" s="58">
        <v>43</v>
      </c>
      <c r="Q15" s="68">
        <f>$J$3/$J$2</f>
        <v>33.41317365269461</v>
      </c>
      <c r="R15" s="54">
        <v>600711</v>
      </c>
      <c r="S15" s="69">
        <f t="shared" si="3"/>
        <v>17978.268279569893</v>
      </c>
    </row>
    <row r="16" spans="1:20" x14ac:dyDescent="0.25">
      <c r="A16" s="58">
        <v>9</v>
      </c>
      <c r="B16" s="68">
        <f>$J$3/$J$1</f>
        <v>30.326086956521738</v>
      </c>
      <c r="C16" s="54">
        <v>458407</v>
      </c>
      <c r="D16" s="69">
        <f t="shared" si="0"/>
        <v>15115.929749103943</v>
      </c>
      <c r="F16" s="58">
        <v>16</v>
      </c>
      <c r="G16" s="68">
        <f>$J$3/$J$2</f>
        <v>33.41317365269461</v>
      </c>
      <c r="H16" s="54">
        <v>471825</v>
      </c>
      <c r="I16" s="69">
        <f t="shared" si="1"/>
        <v>14120.927419354839</v>
      </c>
      <c r="K16" s="58">
        <v>54</v>
      </c>
      <c r="L16" s="68">
        <f>$J$3/$J$1</f>
        <v>30.326086956521738</v>
      </c>
      <c r="M16" s="54">
        <v>704680</v>
      </c>
      <c r="N16" s="69">
        <f t="shared" si="2"/>
        <v>23236.759856630826</v>
      </c>
      <c r="P16" s="58">
        <v>54</v>
      </c>
      <c r="Q16" s="68">
        <f>$J$3/$J$2</f>
        <v>33.41317365269461</v>
      </c>
      <c r="R16" s="54">
        <v>600526</v>
      </c>
      <c r="S16" s="69">
        <f t="shared" si="3"/>
        <v>17972.73154121864</v>
      </c>
    </row>
    <row r="17" spans="1:19" x14ac:dyDescent="0.25">
      <c r="A17" s="58">
        <v>6</v>
      </c>
      <c r="B17" s="68">
        <f>$J$3/$J$1</f>
        <v>30.326086956521738</v>
      </c>
      <c r="C17" s="54">
        <v>413342</v>
      </c>
      <c r="D17" s="69">
        <f t="shared" si="0"/>
        <v>13629.915412186379</v>
      </c>
      <c r="F17" s="58">
        <v>20</v>
      </c>
      <c r="G17" s="68">
        <f>$J$3/$J$2</f>
        <v>33.41317365269461</v>
      </c>
      <c r="H17" s="54">
        <v>465526</v>
      </c>
      <c r="I17" s="69">
        <f t="shared" si="1"/>
        <v>13932.408960573477</v>
      </c>
      <c r="K17" s="58">
        <v>46</v>
      </c>
      <c r="L17" s="68">
        <f>$J$3/$J$1</f>
        <v>30.326086956521738</v>
      </c>
      <c r="M17" s="54">
        <v>647685</v>
      </c>
      <c r="N17" s="69">
        <f t="shared" si="2"/>
        <v>21357.354838709678</v>
      </c>
      <c r="P17" s="58">
        <v>33</v>
      </c>
      <c r="Q17" s="68">
        <f>$J$3/$J$2</f>
        <v>33.41317365269461</v>
      </c>
      <c r="R17" s="54">
        <v>533105</v>
      </c>
      <c r="S17" s="69">
        <f t="shared" si="3"/>
        <v>15954.934587813621</v>
      </c>
    </row>
    <row r="18" spans="1:19" x14ac:dyDescent="0.25">
      <c r="A18" s="58">
        <v>90</v>
      </c>
      <c r="B18" s="68">
        <f>$J$3/$J$1</f>
        <v>30.326086956521738</v>
      </c>
      <c r="C18" s="54">
        <v>390167</v>
      </c>
      <c r="D18" s="69">
        <f t="shared" si="0"/>
        <v>12865.721863799283</v>
      </c>
      <c r="F18" s="58">
        <v>71</v>
      </c>
      <c r="G18" s="68">
        <f>$J$3/$J$2</f>
        <v>33.41317365269461</v>
      </c>
      <c r="H18" s="54">
        <v>459240</v>
      </c>
      <c r="I18" s="69">
        <f t="shared" si="1"/>
        <v>13744.279569892473</v>
      </c>
      <c r="K18" s="58">
        <v>35</v>
      </c>
      <c r="L18" s="68">
        <f>$J$3/$J$1</f>
        <v>30.326086956521738</v>
      </c>
      <c r="M18" s="54">
        <v>520964</v>
      </c>
      <c r="N18" s="69">
        <f t="shared" si="2"/>
        <v>17178.741218637992</v>
      </c>
      <c r="P18" s="58">
        <v>29</v>
      </c>
      <c r="Q18" s="68">
        <f>$J$3/$J$2</f>
        <v>33.41317365269461</v>
      </c>
      <c r="R18" s="54">
        <v>466819</v>
      </c>
      <c r="S18" s="69">
        <f t="shared" si="3"/>
        <v>13971.106272401434</v>
      </c>
    </row>
    <row r="19" spans="1:19" x14ac:dyDescent="0.25">
      <c r="A19" s="58">
        <v>10</v>
      </c>
      <c r="B19" s="68">
        <f>$J$3/$J$1</f>
        <v>30.326086956521738</v>
      </c>
      <c r="C19" s="54">
        <v>374487</v>
      </c>
      <c r="D19" s="69">
        <f t="shared" si="0"/>
        <v>12348.675268817206</v>
      </c>
      <c r="F19" s="58">
        <v>73</v>
      </c>
      <c r="G19" s="68">
        <f>$J$3/$J$2</f>
        <v>33.41317365269461</v>
      </c>
      <c r="H19" s="54">
        <v>435675</v>
      </c>
      <c r="I19" s="69">
        <f t="shared" si="1"/>
        <v>13039.018817204302</v>
      </c>
      <c r="K19" s="58">
        <v>28</v>
      </c>
      <c r="L19" s="68">
        <f>$J$3/$J$1</f>
        <v>30.326086956521738</v>
      </c>
      <c r="M19" s="54">
        <v>485282</v>
      </c>
      <c r="N19" s="69">
        <f t="shared" si="2"/>
        <v>16002.130465949822</v>
      </c>
      <c r="P19" s="58">
        <v>39</v>
      </c>
      <c r="Q19" s="68">
        <f>$J$3/$J$2</f>
        <v>33.41317365269461</v>
      </c>
      <c r="R19" s="54">
        <v>443533</v>
      </c>
      <c r="S19" s="69">
        <f t="shared" si="3"/>
        <v>13274.195519713261</v>
      </c>
    </row>
    <row r="20" spans="1:19" x14ac:dyDescent="0.25">
      <c r="A20" s="58">
        <v>72</v>
      </c>
      <c r="B20" s="68">
        <f>$J$3/$J$1</f>
        <v>30.326086956521738</v>
      </c>
      <c r="C20" s="54">
        <v>339217</v>
      </c>
      <c r="D20" s="69">
        <f t="shared" si="0"/>
        <v>11185.65017921147</v>
      </c>
      <c r="F20" s="58">
        <v>4</v>
      </c>
      <c r="G20" s="68">
        <f>$J$3/$J$2</f>
        <v>33.41317365269461</v>
      </c>
      <c r="H20" s="54">
        <v>435251</v>
      </c>
      <c r="I20" s="69">
        <f t="shared" si="1"/>
        <v>13026.329211469534</v>
      </c>
      <c r="K20" s="58">
        <v>25</v>
      </c>
      <c r="L20" s="68">
        <f>$J$3/$J$1</f>
        <v>30.326086956521738</v>
      </c>
      <c r="M20" s="54">
        <v>428682</v>
      </c>
      <c r="N20" s="69">
        <f t="shared" si="2"/>
        <v>14135.750537634409</v>
      </c>
      <c r="P20" s="58">
        <v>85</v>
      </c>
      <c r="Q20" s="68">
        <f>$J$3/$J$2</f>
        <v>33.41317365269461</v>
      </c>
      <c r="R20" s="54">
        <v>400656</v>
      </c>
      <c r="S20" s="69">
        <f t="shared" si="3"/>
        <v>11990.959139784947</v>
      </c>
    </row>
    <row r="21" spans="1:19" x14ac:dyDescent="0.25">
      <c r="A21" s="58">
        <v>63</v>
      </c>
      <c r="B21" s="68">
        <f>$J$3/$J$1</f>
        <v>30.326086956521738</v>
      </c>
      <c r="C21" s="54">
        <v>148379</v>
      </c>
      <c r="D21" s="69">
        <f t="shared" si="0"/>
        <v>4892.7842293906815</v>
      </c>
      <c r="F21" s="58">
        <v>58</v>
      </c>
      <c r="G21" s="68">
        <f>$J$3/$J$2</f>
        <v>33.41317365269461</v>
      </c>
      <c r="H21" s="54">
        <v>425212</v>
      </c>
      <c r="I21" s="69">
        <f t="shared" si="1"/>
        <v>12725.878853046595</v>
      </c>
      <c r="K21" s="58">
        <v>53</v>
      </c>
      <c r="L21" s="68">
        <f>$J$3/$J$1</f>
        <v>30.326086956521738</v>
      </c>
      <c r="M21" s="54">
        <v>427876</v>
      </c>
      <c r="N21" s="69">
        <f t="shared" si="2"/>
        <v>14109.17275985663</v>
      </c>
      <c r="P21" s="58">
        <v>51</v>
      </c>
      <c r="Q21" s="68">
        <f>$J$3/$J$2</f>
        <v>33.41317365269461</v>
      </c>
      <c r="R21" s="54">
        <v>295735</v>
      </c>
      <c r="S21" s="69">
        <f t="shared" si="3"/>
        <v>8850.8503584229402</v>
      </c>
    </row>
    <row r="22" spans="1:19" x14ac:dyDescent="0.25">
      <c r="A22" s="58">
        <v>5</v>
      </c>
      <c r="B22" s="68">
        <f>$J$3/$J$1</f>
        <v>30.326086956521738</v>
      </c>
      <c r="C22" s="54">
        <v>135603</v>
      </c>
      <c r="D22" s="69">
        <f t="shared" si="0"/>
        <v>4471.4967741935488</v>
      </c>
      <c r="F22" s="58">
        <v>69</v>
      </c>
      <c r="G22" s="68">
        <f>$J$3/$J$2</f>
        <v>33.41317365269461</v>
      </c>
      <c r="H22" s="54">
        <v>301059</v>
      </c>
      <c r="I22" s="69">
        <f t="shared" si="1"/>
        <v>9010.188709677419</v>
      </c>
      <c r="K22" s="58">
        <v>30</v>
      </c>
      <c r="L22" s="68">
        <f>$J$3/$J$1</f>
        <v>30.326086956521738</v>
      </c>
      <c r="M22" s="54">
        <v>412457</v>
      </c>
      <c r="N22" s="69">
        <f t="shared" si="2"/>
        <v>13600.732616487456</v>
      </c>
      <c r="P22" s="58">
        <v>84</v>
      </c>
      <c r="Q22" s="68">
        <f>$J$3/$J$2</f>
        <v>33.41317365269461</v>
      </c>
      <c r="R22" s="54">
        <v>277116</v>
      </c>
      <c r="S22" s="69">
        <f t="shared" si="3"/>
        <v>8293.6150537634403</v>
      </c>
    </row>
    <row r="23" spans="1:19" x14ac:dyDescent="0.25">
      <c r="A23" s="58">
        <v>89</v>
      </c>
      <c r="B23" s="68">
        <f>$J$3/$J$1</f>
        <v>30.326086956521738</v>
      </c>
      <c r="C23" s="54">
        <v>43767</v>
      </c>
      <c r="D23" s="69">
        <f t="shared" si="0"/>
        <v>1443.2129032258065</v>
      </c>
      <c r="F23" s="58">
        <v>91</v>
      </c>
      <c r="G23" s="68">
        <f>$J$3/$J$2</f>
        <v>33.41317365269461</v>
      </c>
      <c r="H23" s="54">
        <v>248437</v>
      </c>
      <c r="I23" s="69">
        <f t="shared" si="1"/>
        <v>7435.3008960573479</v>
      </c>
      <c r="K23" s="58">
        <v>45</v>
      </c>
      <c r="L23" s="68">
        <f>$J$3/$J$1</f>
        <v>30.326086956521738</v>
      </c>
      <c r="M23" s="54">
        <v>411553</v>
      </c>
      <c r="N23" s="69">
        <f t="shared" si="2"/>
        <v>13570.923297491039</v>
      </c>
      <c r="P23" s="58">
        <v>100</v>
      </c>
      <c r="Q23" s="68">
        <f>$J$3/$J$2</f>
        <v>33.41317365269461</v>
      </c>
      <c r="R23" s="54">
        <v>196154</v>
      </c>
      <c r="S23" s="69">
        <f t="shared" si="3"/>
        <v>5870.5587813620077</v>
      </c>
    </row>
    <row r="24" spans="1:19" x14ac:dyDescent="0.25">
      <c r="A24" s="58">
        <v>8</v>
      </c>
      <c r="B24" s="68">
        <f>$J$3/$J$1</f>
        <v>30.326086956521738</v>
      </c>
      <c r="C24" s="54">
        <v>-31569</v>
      </c>
      <c r="D24" s="69">
        <f t="shared" si="0"/>
        <v>-1040.9849462365592</v>
      </c>
      <c r="F24" s="58">
        <v>75</v>
      </c>
      <c r="G24" s="68">
        <f>$J$3/$J$2</f>
        <v>33.41317365269461</v>
      </c>
      <c r="H24" s="54">
        <v>241104</v>
      </c>
      <c r="I24" s="69">
        <f t="shared" si="1"/>
        <v>7215.8365591397851</v>
      </c>
      <c r="K24" s="58">
        <v>43</v>
      </c>
      <c r="L24" s="68">
        <f>$J$3/$J$1</f>
        <v>30.326086956521738</v>
      </c>
      <c r="M24" s="54">
        <v>287718</v>
      </c>
      <c r="N24" s="69">
        <f t="shared" si="2"/>
        <v>9487.4752688172048</v>
      </c>
      <c r="P24" s="58">
        <v>56</v>
      </c>
      <c r="Q24" s="68">
        <f>$J$3/$J$2</f>
        <v>33.41317365269461</v>
      </c>
      <c r="R24" s="54">
        <v>175558</v>
      </c>
      <c r="S24" s="69">
        <f t="shared" si="3"/>
        <v>5254.1551971326162</v>
      </c>
    </row>
    <row r="25" spans="1:19" x14ac:dyDescent="0.25">
      <c r="A25" s="58">
        <v>62</v>
      </c>
      <c r="B25" s="68">
        <f>$J$3/$J$1</f>
        <v>30.326086956521738</v>
      </c>
      <c r="C25" s="54">
        <v>-50310</v>
      </c>
      <c r="D25" s="69">
        <f t="shared" si="0"/>
        <v>-1658.9677419354839</v>
      </c>
      <c r="F25" s="58">
        <v>21</v>
      </c>
      <c r="G25" s="68">
        <f>$J$3/$J$2</f>
        <v>33.41317365269461</v>
      </c>
      <c r="H25" s="54">
        <v>182068</v>
      </c>
      <c r="I25" s="69">
        <f t="shared" si="1"/>
        <v>5448.9885304659501</v>
      </c>
      <c r="K25" s="58">
        <v>47</v>
      </c>
      <c r="L25" s="68">
        <f>$J$3/$J$1</f>
        <v>30.326086956521738</v>
      </c>
      <c r="M25" s="54">
        <v>244892</v>
      </c>
      <c r="N25" s="69">
        <f t="shared" si="2"/>
        <v>8075.2917562724015</v>
      </c>
      <c r="P25" s="58">
        <v>24</v>
      </c>
      <c r="Q25" s="68">
        <f>$J$3/$J$2</f>
        <v>33.41317365269461</v>
      </c>
      <c r="R25" s="54">
        <v>71007</v>
      </c>
      <c r="S25" s="69">
        <f t="shared" si="3"/>
        <v>2125.1198924731184</v>
      </c>
    </row>
    <row r="26" spans="1:19" x14ac:dyDescent="0.25">
      <c r="A26" s="58">
        <v>20</v>
      </c>
      <c r="B26" s="68">
        <f>$J$3/$J$1</f>
        <v>30.326086956521738</v>
      </c>
      <c r="C26" s="54">
        <v>-55320</v>
      </c>
      <c r="D26" s="69">
        <f t="shared" si="0"/>
        <v>-1824.1720430107528</v>
      </c>
      <c r="F26" s="58">
        <v>59</v>
      </c>
      <c r="G26" s="68">
        <f>$J$3/$J$2</f>
        <v>33.41317365269461</v>
      </c>
      <c r="H26" s="54">
        <v>167225</v>
      </c>
      <c r="I26" s="69">
        <f t="shared" si="1"/>
        <v>5004.7625448028675</v>
      </c>
      <c r="K26" s="58">
        <v>27</v>
      </c>
      <c r="L26" s="68">
        <f>$J$3/$J$1</f>
        <v>30.326086956521738</v>
      </c>
      <c r="M26" s="54">
        <v>217246</v>
      </c>
      <c r="N26" s="69">
        <f t="shared" si="2"/>
        <v>7163.6673835125448</v>
      </c>
      <c r="P26" s="58">
        <v>94</v>
      </c>
      <c r="Q26" s="68">
        <f>$J$3/$J$2</f>
        <v>33.41317365269461</v>
      </c>
      <c r="R26" s="54">
        <v>48569</v>
      </c>
      <c r="S26" s="69">
        <f t="shared" si="3"/>
        <v>1453.5883512544804</v>
      </c>
    </row>
    <row r="27" spans="1:19" x14ac:dyDescent="0.25">
      <c r="A27" s="58">
        <v>14</v>
      </c>
      <c r="B27" s="68">
        <f>$J$3/$J$1</f>
        <v>30.326086956521738</v>
      </c>
      <c r="C27" s="54">
        <v>-99929</v>
      </c>
      <c r="D27" s="69">
        <f t="shared" si="0"/>
        <v>-3295.1498207885306</v>
      </c>
      <c r="F27" s="58">
        <v>63</v>
      </c>
      <c r="G27" s="68">
        <f>$J$3/$J$2</f>
        <v>33.41317365269461</v>
      </c>
      <c r="H27" s="54">
        <v>-59023</v>
      </c>
      <c r="I27" s="69">
        <f t="shared" si="1"/>
        <v>-1766.4589605734768</v>
      </c>
      <c r="K27" s="58">
        <v>98</v>
      </c>
      <c r="L27" s="68">
        <f>$J$3/$J$1</f>
        <v>30.326086956521738</v>
      </c>
      <c r="M27" s="54">
        <v>186371</v>
      </c>
      <c r="N27" s="69">
        <f t="shared" si="2"/>
        <v>6145.5670250896055</v>
      </c>
      <c r="P27" s="58">
        <v>98</v>
      </c>
      <c r="Q27" s="68">
        <f>$J$3/$J$2</f>
        <v>33.41317365269461</v>
      </c>
      <c r="R27" s="54">
        <v>42432</v>
      </c>
      <c r="S27" s="69">
        <f t="shared" si="3"/>
        <v>1269.9182795698925</v>
      </c>
    </row>
    <row r="28" spans="1:19" x14ac:dyDescent="0.25">
      <c r="A28" s="58">
        <v>59</v>
      </c>
      <c r="B28" s="68">
        <f>$J$3/$J$1</f>
        <v>30.326086956521738</v>
      </c>
      <c r="C28" s="54">
        <v>-120499</v>
      </c>
      <c r="D28" s="69">
        <f t="shared" si="0"/>
        <v>-3973.4437275985665</v>
      </c>
      <c r="F28" s="58">
        <v>70</v>
      </c>
      <c r="G28" s="68">
        <f>$J$3/$J$2</f>
        <v>33.41317365269461</v>
      </c>
      <c r="H28" s="54">
        <v>-82956</v>
      </c>
      <c r="I28" s="69">
        <f t="shared" si="1"/>
        <v>-2482.7333333333336</v>
      </c>
      <c r="K28" s="58">
        <v>82</v>
      </c>
      <c r="L28" s="68">
        <f>$J$3/$J$1</f>
        <v>30.326086956521738</v>
      </c>
      <c r="M28" s="54">
        <v>157735</v>
      </c>
      <c r="N28" s="69">
        <f t="shared" si="2"/>
        <v>5201.2974910394269</v>
      </c>
      <c r="P28" s="58">
        <v>79</v>
      </c>
      <c r="Q28" s="68">
        <f>$J$3/$J$2</f>
        <v>33.41317365269461</v>
      </c>
      <c r="R28" s="54">
        <v>-17472</v>
      </c>
      <c r="S28" s="69">
        <f t="shared" si="3"/>
        <v>-522.9075268817204</v>
      </c>
    </row>
    <row r="29" spans="1:19" x14ac:dyDescent="0.25">
      <c r="A29" s="58">
        <v>11</v>
      </c>
      <c r="B29" s="68">
        <f>$J$3/$J$1</f>
        <v>30.326086956521738</v>
      </c>
      <c r="C29" s="54">
        <v>-150180</v>
      </c>
      <c r="D29" s="69">
        <f t="shared" si="0"/>
        <v>-4952.1720430107525</v>
      </c>
      <c r="F29" s="58">
        <v>64</v>
      </c>
      <c r="G29" s="68">
        <f>$J$3/$J$2</f>
        <v>33.41317365269461</v>
      </c>
      <c r="H29" s="54">
        <v>-163863</v>
      </c>
      <c r="I29" s="69">
        <f t="shared" si="1"/>
        <v>-4904.1435483870973</v>
      </c>
      <c r="K29" s="58">
        <v>39</v>
      </c>
      <c r="L29" s="68">
        <f>$J$3/$J$1</f>
        <v>30.326086956521738</v>
      </c>
      <c r="M29" s="54">
        <v>75371</v>
      </c>
      <c r="N29" s="69">
        <f t="shared" si="2"/>
        <v>2485.3519713261649</v>
      </c>
      <c r="P29" s="58">
        <v>30</v>
      </c>
      <c r="Q29" s="68">
        <f>$J$3/$J$2</f>
        <v>33.41317365269461</v>
      </c>
      <c r="R29" s="54">
        <v>-18899</v>
      </c>
      <c r="S29" s="69">
        <f t="shared" si="3"/>
        <v>-565.61523297491044</v>
      </c>
    </row>
    <row r="30" spans="1:19" x14ac:dyDescent="0.25">
      <c r="A30" s="58">
        <v>19</v>
      </c>
      <c r="B30" s="68">
        <f>$J$3/$J$1</f>
        <v>30.326086956521738</v>
      </c>
      <c r="C30" s="54">
        <v>-212225</v>
      </c>
      <c r="D30" s="69">
        <f t="shared" si="0"/>
        <v>-6998.1003584229393</v>
      </c>
      <c r="F30" s="58">
        <v>8</v>
      </c>
      <c r="G30" s="68">
        <f>$J$3/$J$2</f>
        <v>33.41317365269461</v>
      </c>
      <c r="H30" s="54">
        <v>-187009</v>
      </c>
      <c r="I30" s="69">
        <f t="shared" si="1"/>
        <v>-5596.8643369175625</v>
      </c>
      <c r="K30" s="58">
        <v>79</v>
      </c>
      <c r="L30" s="68">
        <f>$J$3/$J$1</f>
        <v>30.326086956521738</v>
      </c>
      <c r="M30" s="54">
        <v>42924</v>
      </c>
      <c r="N30" s="69">
        <f t="shared" si="2"/>
        <v>1415.4150537634409</v>
      </c>
      <c r="P30" s="58">
        <v>99</v>
      </c>
      <c r="Q30" s="68">
        <f>$J$3/$J$2</f>
        <v>33.41317365269461</v>
      </c>
      <c r="R30" s="54">
        <v>-53380</v>
      </c>
      <c r="S30" s="69">
        <f t="shared" si="3"/>
        <v>-1597.573476702509</v>
      </c>
    </row>
    <row r="31" spans="1:19" x14ac:dyDescent="0.25">
      <c r="A31" s="58">
        <v>7</v>
      </c>
      <c r="B31" s="68">
        <f>$J$3/$J$1</f>
        <v>30.326086956521738</v>
      </c>
      <c r="C31" s="54">
        <v>-425925</v>
      </c>
      <c r="D31" s="69">
        <f t="shared" si="0"/>
        <v>-14044.83870967742</v>
      </c>
      <c r="F31" s="58">
        <v>61</v>
      </c>
      <c r="G31" s="68">
        <f>$J$3/$J$2</f>
        <v>33.41317365269461</v>
      </c>
      <c r="H31" s="54">
        <v>-223907</v>
      </c>
      <c r="I31" s="69">
        <f t="shared" si="1"/>
        <v>-6701.159318996416</v>
      </c>
      <c r="K31" s="58">
        <v>49</v>
      </c>
      <c r="L31" s="68">
        <f>$J$3/$J$1</f>
        <v>30.326086956521738</v>
      </c>
      <c r="M31" s="54">
        <v>-35135</v>
      </c>
      <c r="N31" s="69">
        <f t="shared" si="2"/>
        <v>-1158.573476702509</v>
      </c>
      <c r="P31" s="58">
        <v>76</v>
      </c>
      <c r="Q31" s="68">
        <f>$J$3/$J$2</f>
        <v>33.41317365269461</v>
      </c>
      <c r="R31" s="54">
        <v>-134133</v>
      </c>
      <c r="S31" s="69">
        <f t="shared" si="3"/>
        <v>-4014.3747311827956</v>
      </c>
    </row>
    <row r="32" spans="1:19" x14ac:dyDescent="0.25">
      <c r="A32" s="58">
        <v>88</v>
      </c>
      <c r="B32" s="68">
        <f>$J$3/$J$1</f>
        <v>30.326086956521738</v>
      </c>
      <c r="C32" s="54">
        <v>-426293</v>
      </c>
      <c r="D32" s="69">
        <f t="shared" si="0"/>
        <v>-14056.973476702509</v>
      </c>
      <c r="F32" s="58">
        <v>92</v>
      </c>
      <c r="G32" s="68">
        <f>$J$3/$J$2</f>
        <v>33.41317365269461</v>
      </c>
      <c r="H32" s="54">
        <v>-299484</v>
      </c>
      <c r="I32" s="69">
        <f t="shared" si="1"/>
        <v>-8963.0516129032258</v>
      </c>
      <c r="K32" s="58">
        <v>86</v>
      </c>
      <c r="L32" s="68">
        <f>$J$3/$J$1</f>
        <v>30.326086956521738</v>
      </c>
      <c r="M32" s="54">
        <v>-36114</v>
      </c>
      <c r="N32" s="69">
        <f t="shared" si="2"/>
        <v>-1190.8559139784948</v>
      </c>
      <c r="P32" s="58">
        <v>27</v>
      </c>
      <c r="Q32" s="68">
        <f>$J$3/$J$2</f>
        <v>33.41317365269461</v>
      </c>
      <c r="R32" s="54">
        <v>-237585</v>
      </c>
      <c r="S32" s="69">
        <f t="shared" si="3"/>
        <v>-7110.5188172043008</v>
      </c>
    </row>
    <row r="33" spans="1:19" x14ac:dyDescent="0.25">
      <c r="A33" s="58">
        <v>1</v>
      </c>
      <c r="B33" s="68">
        <f>$J$3/$J$1</f>
        <v>30.326086956521738</v>
      </c>
      <c r="C33" s="54">
        <v>-436549</v>
      </c>
      <c r="D33" s="69">
        <f t="shared" si="0"/>
        <v>-14395.164157706093</v>
      </c>
      <c r="F33" s="58">
        <v>93</v>
      </c>
      <c r="G33" s="68">
        <f>$J$3/$J$2</f>
        <v>33.41317365269461</v>
      </c>
      <c r="H33" s="54">
        <v>-392062</v>
      </c>
      <c r="I33" s="69">
        <f t="shared" si="1"/>
        <v>-11733.755197132617</v>
      </c>
      <c r="K33" s="58">
        <v>95</v>
      </c>
      <c r="L33" s="68">
        <f>$J$3/$J$1</f>
        <v>30.326086956521738</v>
      </c>
      <c r="M33" s="54">
        <v>-117870</v>
      </c>
      <c r="N33" s="69">
        <f t="shared" si="2"/>
        <v>-3886.7526881720432</v>
      </c>
      <c r="P33" s="58">
        <v>49</v>
      </c>
      <c r="Q33" s="68">
        <f>$J$3/$J$2</f>
        <v>33.41317365269461</v>
      </c>
      <c r="R33" s="54">
        <v>-320509</v>
      </c>
      <c r="S33" s="69">
        <f t="shared" si="3"/>
        <v>-9592.2944444444438</v>
      </c>
    </row>
    <row r="34" spans="1:19" x14ac:dyDescent="0.25">
      <c r="A34" s="58">
        <v>16</v>
      </c>
      <c r="B34" s="68">
        <f>$J$3/$J$1</f>
        <v>30.326086956521738</v>
      </c>
      <c r="C34" s="54">
        <v>-516654</v>
      </c>
      <c r="D34" s="69">
        <f t="shared" si="0"/>
        <v>-17036.619354838709</v>
      </c>
      <c r="F34" s="58">
        <v>17</v>
      </c>
      <c r="G34" s="68">
        <f>$J$3/$J$2</f>
        <v>33.41317365269461</v>
      </c>
      <c r="H34" s="54">
        <v>-421127</v>
      </c>
      <c r="I34" s="69">
        <f t="shared" si="1"/>
        <v>-12603.621684587813</v>
      </c>
      <c r="K34" s="58">
        <v>42</v>
      </c>
      <c r="L34" s="68">
        <f>$J$3/$J$1</f>
        <v>30.326086956521738</v>
      </c>
      <c r="M34" s="54">
        <v>-137859</v>
      </c>
      <c r="N34" s="69">
        <f t="shared" si="2"/>
        <v>-4545.8881720430109</v>
      </c>
      <c r="P34" s="58">
        <v>47</v>
      </c>
      <c r="Q34" s="68">
        <f>$J$3/$J$2</f>
        <v>33.41317365269461</v>
      </c>
      <c r="R34" s="54">
        <v>-338573</v>
      </c>
      <c r="S34" s="69">
        <f t="shared" si="3"/>
        <v>-10132.919534050179</v>
      </c>
    </row>
    <row r="35" spans="1:19" x14ac:dyDescent="0.25">
      <c r="A35" s="58">
        <v>73</v>
      </c>
      <c r="B35" s="68">
        <f>$J$3/$J$1</f>
        <v>30.326086956521738</v>
      </c>
      <c r="C35" s="54">
        <v>-526062</v>
      </c>
      <c r="D35" s="69">
        <f t="shared" si="0"/>
        <v>-17346.847311827958</v>
      </c>
      <c r="F35" s="58">
        <v>5</v>
      </c>
      <c r="G35" s="68">
        <f>$J$3/$J$2</f>
        <v>33.41317365269461</v>
      </c>
      <c r="H35" s="54">
        <v>-473972</v>
      </c>
      <c r="I35" s="69">
        <f t="shared" si="1"/>
        <v>-14185.183512544803</v>
      </c>
      <c r="K35" s="58">
        <v>50</v>
      </c>
      <c r="L35" s="68">
        <f>$J$3/$J$1</f>
        <v>30.326086956521738</v>
      </c>
      <c r="M35" s="54">
        <v>-141217</v>
      </c>
      <c r="N35" s="69">
        <f t="shared" si="2"/>
        <v>-4656.6179211469534</v>
      </c>
      <c r="P35" s="58">
        <v>34</v>
      </c>
      <c r="Q35" s="68">
        <f>$J$3/$J$2</f>
        <v>33.41317365269461</v>
      </c>
      <c r="R35" s="54">
        <v>-343537</v>
      </c>
      <c r="S35" s="69">
        <f t="shared" si="3"/>
        <v>-10281.483691756273</v>
      </c>
    </row>
    <row r="36" spans="1:19" x14ac:dyDescent="0.25">
      <c r="A36" s="58">
        <v>69</v>
      </c>
      <c r="B36" s="68">
        <f>$J$3/$J$1</f>
        <v>30.326086956521738</v>
      </c>
      <c r="C36" s="54">
        <v>-582190</v>
      </c>
      <c r="D36" s="69">
        <f t="shared" si="0"/>
        <v>-19197.663082437277</v>
      </c>
      <c r="F36" s="58">
        <v>67</v>
      </c>
      <c r="G36" s="68">
        <f>$J$3/$J$2</f>
        <v>33.41317365269461</v>
      </c>
      <c r="H36" s="54">
        <v>-479440</v>
      </c>
      <c r="I36" s="69">
        <f t="shared" si="1"/>
        <v>-14348.831541218638</v>
      </c>
      <c r="K36" s="58">
        <v>24</v>
      </c>
      <c r="L36" s="68">
        <f>$J$3/$J$1</f>
        <v>30.326086956521738</v>
      </c>
      <c r="M36" s="54">
        <v>-265494</v>
      </c>
      <c r="N36" s="69">
        <f t="shared" si="2"/>
        <v>-8754.6408602150532</v>
      </c>
      <c r="P36" s="58">
        <v>26</v>
      </c>
      <c r="Q36" s="68">
        <f>$J$3/$J$2</f>
        <v>33.41317365269461</v>
      </c>
      <c r="R36" s="54">
        <v>-410208</v>
      </c>
      <c r="S36" s="69">
        <f t="shared" si="3"/>
        <v>-12276.834408602152</v>
      </c>
    </row>
    <row r="37" spans="1:19" x14ac:dyDescent="0.25">
      <c r="A37" s="58">
        <v>17</v>
      </c>
      <c r="B37" s="68">
        <f>$J$3/$J$1</f>
        <v>30.326086956521738</v>
      </c>
      <c r="C37" s="54">
        <v>-710390</v>
      </c>
      <c r="D37" s="69">
        <f t="shared" si="0"/>
        <v>-23425.046594982079</v>
      </c>
      <c r="F37" s="58">
        <v>65</v>
      </c>
      <c r="G37" s="68">
        <f>$J$3/$J$2</f>
        <v>33.41317365269461</v>
      </c>
      <c r="H37" s="54">
        <v>-681880</v>
      </c>
      <c r="I37" s="69">
        <f t="shared" si="1"/>
        <v>-20407.519713261649</v>
      </c>
      <c r="K37" s="58">
        <v>44</v>
      </c>
      <c r="L37" s="68">
        <f>$J$3/$J$1</f>
        <v>30.326086956521738</v>
      </c>
      <c r="M37" s="54">
        <v>-279807</v>
      </c>
      <c r="N37" s="69">
        <f t="shared" si="2"/>
        <v>-9226.6107526881715</v>
      </c>
      <c r="P37" s="58">
        <v>55</v>
      </c>
      <c r="Q37" s="68">
        <f>$J$3/$J$2</f>
        <v>33.41317365269461</v>
      </c>
      <c r="R37" s="54">
        <v>-412943</v>
      </c>
      <c r="S37" s="69">
        <f t="shared" si="3"/>
        <v>-12358.688351254481</v>
      </c>
    </row>
    <row r="38" spans="1:19" x14ac:dyDescent="0.25">
      <c r="A38" s="58">
        <v>12</v>
      </c>
      <c r="B38" s="68">
        <f>$J$3/$J$1</f>
        <v>30.326086956521738</v>
      </c>
      <c r="C38" s="54">
        <v>-753136</v>
      </c>
      <c r="D38" s="69">
        <f t="shared" si="0"/>
        <v>-24834.592114695341</v>
      </c>
      <c r="F38" s="58">
        <v>15</v>
      </c>
      <c r="G38" s="68">
        <f>$J$3/$J$2</f>
        <v>33.41317365269461</v>
      </c>
      <c r="H38" s="54">
        <v>-737370</v>
      </c>
      <c r="I38" s="69">
        <f t="shared" si="1"/>
        <v>-22068.241935483871</v>
      </c>
      <c r="K38" s="58">
        <v>78</v>
      </c>
      <c r="L38" s="68">
        <f>$J$3/$J$1</f>
        <v>30.326086956521738</v>
      </c>
      <c r="M38" s="54">
        <v>-450754</v>
      </c>
      <c r="N38" s="69">
        <f t="shared" si="2"/>
        <v>-14863.572759856632</v>
      </c>
      <c r="P38" s="58">
        <v>22</v>
      </c>
      <c r="Q38" s="68">
        <f>$J$3/$J$2</f>
        <v>33.41317365269461</v>
      </c>
      <c r="R38" s="54">
        <v>-443480</v>
      </c>
      <c r="S38" s="69">
        <f t="shared" si="3"/>
        <v>-13272.609318996416</v>
      </c>
    </row>
    <row r="39" spans="1:19" x14ac:dyDescent="0.25">
      <c r="A39" s="58">
        <v>58</v>
      </c>
      <c r="B39" s="68">
        <f>$J$3/$J$1</f>
        <v>30.326086956521738</v>
      </c>
      <c r="C39" s="54">
        <v>-793953</v>
      </c>
      <c r="D39" s="69">
        <f t="shared" si="0"/>
        <v>-26180.529032258066</v>
      </c>
      <c r="F39" s="58">
        <v>6</v>
      </c>
      <c r="G39" s="68">
        <f>$J$3/$J$2</f>
        <v>33.41317365269461</v>
      </c>
      <c r="H39" s="54">
        <v>-760719</v>
      </c>
      <c r="I39" s="69">
        <f t="shared" si="1"/>
        <v>-22767.038172043012</v>
      </c>
      <c r="K39" s="58">
        <v>81</v>
      </c>
      <c r="L39" s="68">
        <f>$J$3/$J$1</f>
        <v>30.326086956521738</v>
      </c>
      <c r="M39" s="54">
        <v>-460974</v>
      </c>
      <c r="N39" s="69">
        <f t="shared" si="2"/>
        <v>-15200.576344086023</v>
      </c>
      <c r="P39" s="58">
        <v>97</v>
      </c>
      <c r="Q39" s="68">
        <f>$J$3/$J$2</f>
        <v>33.41317365269461</v>
      </c>
      <c r="R39" s="54">
        <v>-474669</v>
      </c>
      <c r="S39" s="69">
        <f t="shared" si="3"/>
        <v>-14206.043548387097</v>
      </c>
    </row>
    <row r="40" spans="1:19" x14ac:dyDescent="0.25">
      <c r="A40" s="58">
        <v>68</v>
      </c>
      <c r="B40" s="68">
        <f>$J$3/$J$1</f>
        <v>30.326086956521738</v>
      </c>
      <c r="C40" s="54">
        <v>-803861</v>
      </c>
      <c r="D40" s="69">
        <f t="shared" si="0"/>
        <v>-26507.244444444445</v>
      </c>
      <c r="F40" s="58">
        <v>18</v>
      </c>
      <c r="G40" s="68">
        <f>$J$3/$J$2</f>
        <v>33.41317365269461</v>
      </c>
      <c r="H40" s="54">
        <v>-824942</v>
      </c>
      <c r="I40" s="69">
        <f t="shared" si="1"/>
        <v>-24689.124372759856</v>
      </c>
      <c r="K40" s="58">
        <v>48</v>
      </c>
      <c r="L40" s="68">
        <f>$J$3/$J$1</f>
        <v>30.326086956521738</v>
      </c>
      <c r="M40" s="54">
        <v>-522318</v>
      </c>
      <c r="N40" s="69">
        <f t="shared" si="2"/>
        <v>-17223.389247311829</v>
      </c>
      <c r="P40" s="58">
        <v>57</v>
      </c>
      <c r="Q40" s="68">
        <f>$J$3/$J$2</f>
        <v>33.41317365269461</v>
      </c>
      <c r="R40" s="54">
        <v>-519769</v>
      </c>
      <c r="S40" s="69">
        <f t="shared" si="3"/>
        <v>-15555.810573476703</v>
      </c>
    </row>
    <row r="41" spans="1:19" x14ac:dyDescent="0.25">
      <c r="A41" s="58">
        <v>60</v>
      </c>
      <c r="B41" s="68">
        <f>$J$3/$J$1</f>
        <v>30.326086956521738</v>
      </c>
      <c r="C41" s="54">
        <v>-850901</v>
      </c>
      <c r="D41" s="69">
        <f t="shared" si="0"/>
        <v>-28058.384229390682</v>
      </c>
      <c r="F41" s="58">
        <v>11</v>
      </c>
      <c r="G41" s="68">
        <f>$J$3/$J$2</f>
        <v>33.41317365269461</v>
      </c>
      <c r="H41" s="54">
        <v>-906527</v>
      </c>
      <c r="I41" s="69">
        <f t="shared" si="1"/>
        <v>-27130.825985663083</v>
      </c>
      <c r="K41" s="58">
        <v>87</v>
      </c>
      <c r="L41" s="68">
        <f>$J$3/$J$1</f>
        <v>30.326086956521738</v>
      </c>
      <c r="M41" s="54">
        <v>-542332</v>
      </c>
      <c r="N41" s="69">
        <f t="shared" si="2"/>
        <v>-17883.349103942652</v>
      </c>
      <c r="P41" s="58">
        <v>35</v>
      </c>
      <c r="Q41" s="68">
        <f>$J$3/$J$2</f>
        <v>33.41317365269461</v>
      </c>
      <c r="R41" s="54">
        <v>-552149</v>
      </c>
      <c r="S41" s="69">
        <f t="shared" si="3"/>
        <v>-16524.889426523299</v>
      </c>
    </row>
    <row r="42" spans="1:19" x14ac:dyDescent="0.25">
      <c r="A42" s="58">
        <v>74</v>
      </c>
      <c r="B42" s="68">
        <f>$J$3/$J$1</f>
        <v>30.326086956521738</v>
      </c>
      <c r="C42" s="54">
        <v>-871942</v>
      </c>
      <c r="D42" s="69">
        <f t="shared" si="0"/>
        <v>-28752.209318996418</v>
      </c>
      <c r="F42" s="58">
        <v>14</v>
      </c>
      <c r="G42" s="68">
        <f>$J$3/$J$2</f>
        <v>33.41317365269461</v>
      </c>
      <c r="H42" s="54">
        <v>-923878</v>
      </c>
      <c r="I42" s="69">
        <f t="shared" si="1"/>
        <v>-27650.112186379931</v>
      </c>
      <c r="K42" s="58">
        <v>41</v>
      </c>
      <c r="L42" s="68">
        <f>$J$3/$J$1</f>
        <v>30.326086956521738</v>
      </c>
      <c r="M42" s="54">
        <v>-545075</v>
      </c>
      <c r="N42" s="69">
        <f t="shared" si="2"/>
        <v>-17973.799283154123</v>
      </c>
      <c r="P42" s="58">
        <v>81</v>
      </c>
      <c r="Q42" s="68">
        <f>$J$3/$J$2</f>
        <v>33.41317365269461</v>
      </c>
      <c r="R42" s="54">
        <v>-553719</v>
      </c>
      <c r="S42" s="69">
        <f t="shared" si="3"/>
        <v>-16571.876881720429</v>
      </c>
    </row>
    <row r="43" spans="1:19" x14ac:dyDescent="0.25">
      <c r="A43" s="58">
        <v>71</v>
      </c>
      <c r="B43" s="68">
        <f>$J$3/$J$1</f>
        <v>30.326086956521738</v>
      </c>
      <c r="C43" s="54">
        <v>-879757</v>
      </c>
      <c r="D43" s="69">
        <f t="shared" si="0"/>
        <v>-29009.908243727601</v>
      </c>
      <c r="F43" s="58">
        <v>90</v>
      </c>
      <c r="G43" s="68">
        <f>$J$3/$J$2</f>
        <v>33.41317365269461</v>
      </c>
      <c r="H43" s="54">
        <v>-944796</v>
      </c>
      <c r="I43" s="69">
        <f t="shared" si="1"/>
        <v>-28276.152688172042</v>
      </c>
      <c r="K43" s="58">
        <v>23</v>
      </c>
      <c r="L43" s="68">
        <f>$J$3/$J$1</f>
        <v>30.326086956521738</v>
      </c>
      <c r="M43" s="54">
        <v>-550483</v>
      </c>
      <c r="N43" s="69">
        <f t="shared" si="2"/>
        <v>-18152.127598566309</v>
      </c>
      <c r="P43" s="58">
        <v>25</v>
      </c>
      <c r="Q43" s="68">
        <f>$J$3/$J$2</f>
        <v>33.41317365269461</v>
      </c>
      <c r="R43" s="54">
        <v>-602771</v>
      </c>
      <c r="S43" s="69">
        <f t="shared" si="3"/>
        <v>-18039.920609318997</v>
      </c>
    </row>
    <row r="44" spans="1:19" x14ac:dyDescent="0.25">
      <c r="A44" s="58">
        <v>13</v>
      </c>
      <c r="B44" s="68">
        <f>$J$3/$J$1</f>
        <v>30.326086956521738</v>
      </c>
      <c r="C44" s="54">
        <v>-1072053</v>
      </c>
      <c r="D44" s="69">
        <f t="shared" si="0"/>
        <v>-35350.851612903229</v>
      </c>
      <c r="F44" s="58">
        <v>88</v>
      </c>
      <c r="G44" s="68">
        <f>$J$3/$J$2</f>
        <v>33.41317365269461</v>
      </c>
      <c r="H44" s="54">
        <v>-964689</v>
      </c>
      <c r="I44" s="69">
        <f t="shared" si="1"/>
        <v>-28871.516666666666</v>
      </c>
      <c r="K44" s="58">
        <v>55</v>
      </c>
      <c r="L44" s="68">
        <f>$J$3/$J$1</f>
        <v>30.326086956521738</v>
      </c>
      <c r="M44" s="54">
        <v>-592287</v>
      </c>
      <c r="N44" s="69">
        <f t="shared" si="2"/>
        <v>-19530.610752688171</v>
      </c>
      <c r="P44" s="58">
        <v>23</v>
      </c>
      <c r="Q44" s="68">
        <f>$J$3/$J$2</f>
        <v>33.41317365269461</v>
      </c>
      <c r="R44" s="54">
        <v>-625997</v>
      </c>
      <c r="S44" s="69">
        <f t="shared" si="3"/>
        <v>-18735.035663082439</v>
      </c>
    </row>
    <row r="45" spans="1:19" x14ac:dyDescent="0.25">
      <c r="A45" s="58">
        <v>92</v>
      </c>
      <c r="B45" s="68">
        <f>$J$3/$J$1</f>
        <v>30.326086956521738</v>
      </c>
      <c r="C45" s="54">
        <v>-1105120</v>
      </c>
      <c r="D45" s="69">
        <f t="shared" si="0"/>
        <v>-36441.232974910396</v>
      </c>
      <c r="F45" s="58">
        <v>10</v>
      </c>
      <c r="G45" s="68">
        <f>$J$3/$J$2</f>
        <v>33.41317365269461</v>
      </c>
      <c r="H45" s="54">
        <v>-1019506</v>
      </c>
      <c r="I45" s="69">
        <f t="shared" si="1"/>
        <v>-30512.097132616487</v>
      </c>
      <c r="K45" s="58">
        <v>31</v>
      </c>
      <c r="L45" s="68">
        <f>$J$3/$J$1</f>
        <v>30.326086956521738</v>
      </c>
      <c r="M45" s="54">
        <v>-620072</v>
      </c>
      <c r="N45" s="69">
        <f t="shared" si="2"/>
        <v>-20446.818637992834</v>
      </c>
      <c r="P45" s="58">
        <v>78</v>
      </c>
      <c r="Q45" s="68">
        <f>$J$3/$J$2</f>
        <v>33.41317365269461</v>
      </c>
      <c r="R45" s="54">
        <v>-732192</v>
      </c>
      <c r="S45" s="69">
        <f t="shared" si="3"/>
        <v>-21913.273118279569</v>
      </c>
    </row>
    <row r="46" spans="1:19" x14ac:dyDescent="0.25">
      <c r="A46" s="58">
        <v>21</v>
      </c>
      <c r="B46" s="68">
        <f>$J$3/$J$1</f>
        <v>30.326086956521738</v>
      </c>
      <c r="C46" s="54">
        <v>-1124143</v>
      </c>
      <c r="D46" s="69">
        <f t="shared" si="0"/>
        <v>-37068.514695340506</v>
      </c>
      <c r="F46" s="58">
        <v>2</v>
      </c>
      <c r="G46" s="68">
        <f>$J$3/$J$2</f>
        <v>33.41317365269461</v>
      </c>
      <c r="H46" s="54">
        <v>-1048073</v>
      </c>
      <c r="I46" s="69">
        <f t="shared" si="1"/>
        <v>-31367.059318996417</v>
      </c>
      <c r="K46" s="58">
        <v>40</v>
      </c>
      <c r="L46" s="68">
        <f>$J$3/$J$1</f>
        <v>30.326086956521738</v>
      </c>
      <c r="M46" s="54">
        <v>-658386</v>
      </c>
      <c r="N46" s="69">
        <f t="shared" si="2"/>
        <v>-21710.219354838711</v>
      </c>
      <c r="P46" s="58">
        <v>41</v>
      </c>
      <c r="Q46" s="68">
        <f>$J$3/$J$2</f>
        <v>33.41317365269461</v>
      </c>
      <c r="R46" s="54">
        <v>-890843</v>
      </c>
      <c r="S46" s="69">
        <f t="shared" si="3"/>
        <v>-26661.430286738352</v>
      </c>
    </row>
    <row r="47" spans="1:19" x14ac:dyDescent="0.25">
      <c r="A47" s="58">
        <v>64</v>
      </c>
      <c r="B47" s="68">
        <f>$J$3/$J$1</f>
        <v>30.326086956521738</v>
      </c>
      <c r="C47" s="54">
        <v>-1198677</v>
      </c>
      <c r="D47" s="69">
        <f t="shared" si="0"/>
        <v>-39526.26666666667</v>
      </c>
      <c r="F47" s="58">
        <v>12</v>
      </c>
      <c r="G47" s="68">
        <f>$J$3/$J$2</f>
        <v>33.41317365269461</v>
      </c>
      <c r="H47" s="54">
        <v>-1098022</v>
      </c>
      <c r="I47" s="69">
        <f t="shared" si="1"/>
        <v>-32861.948745519716</v>
      </c>
      <c r="K47" s="58">
        <v>97</v>
      </c>
      <c r="L47" s="68">
        <f>$J$3/$J$1</f>
        <v>30.326086956521738</v>
      </c>
      <c r="M47" s="54">
        <v>-661431</v>
      </c>
      <c r="N47" s="69">
        <f t="shared" si="2"/>
        <v>-21810.627956989247</v>
      </c>
      <c r="P47" s="58">
        <v>48</v>
      </c>
      <c r="Q47" s="68">
        <f>$J$3/$J$2</f>
        <v>33.41317365269461</v>
      </c>
      <c r="R47" s="54">
        <v>-914243</v>
      </c>
      <c r="S47" s="69">
        <f t="shared" si="3"/>
        <v>-27361.752867383515</v>
      </c>
    </row>
    <row r="48" spans="1:19" x14ac:dyDescent="0.25">
      <c r="A48" s="58">
        <v>3</v>
      </c>
      <c r="B48" s="68">
        <f>$J$3/$J$1</f>
        <v>30.326086956521738</v>
      </c>
      <c r="C48" s="54">
        <v>-1231829</v>
      </c>
      <c r="D48" s="69">
        <f t="shared" si="0"/>
        <v>-40619.450896057351</v>
      </c>
      <c r="F48" s="58">
        <v>72</v>
      </c>
      <c r="G48" s="68">
        <f>$J$3/$J$2</f>
        <v>33.41317365269461</v>
      </c>
      <c r="H48" s="54">
        <v>-1168137</v>
      </c>
      <c r="I48" s="69">
        <f t="shared" si="1"/>
        <v>-34960.372580645162</v>
      </c>
      <c r="K48" s="58">
        <v>56</v>
      </c>
      <c r="L48" s="68">
        <f>$J$3/$J$1</f>
        <v>30.326086956521738</v>
      </c>
      <c r="M48" s="54">
        <v>-736742</v>
      </c>
      <c r="N48" s="69">
        <f t="shared" si="2"/>
        <v>-24294.001433691756</v>
      </c>
      <c r="P48" s="58">
        <v>96</v>
      </c>
      <c r="Q48" s="68">
        <f>$J$3/$J$2</f>
        <v>33.41317365269461</v>
      </c>
      <c r="R48" s="54">
        <v>-944950</v>
      </c>
      <c r="S48" s="69">
        <f t="shared" si="3"/>
        <v>-28280.76164874552</v>
      </c>
    </row>
    <row r="49" spans="1:19" x14ac:dyDescent="0.25">
      <c r="A49" s="58">
        <v>70</v>
      </c>
      <c r="B49" s="68">
        <f>$J$3/$J$1</f>
        <v>30.326086956521738</v>
      </c>
      <c r="C49" s="54">
        <v>-1290356</v>
      </c>
      <c r="D49" s="69">
        <f t="shared" si="0"/>
        <v>-42549.373476702509</v>
      </c>
      <c r="F49" s="58">
        <v>62</v>
      </c>
      <c r="G49" s="68">
        <f>$J$3/$J$2</f>
        <v>33.41317365269461</v>
      </c>
      <c r="H49" s="54">
        <v>-1177761</v>
      </c>
      <c r="I49" s="69">
        <f t="shared" si="1"/>
        <v>-35248.402688172042</v>
      </c>
      <c r="K49" s="58">
        <v>85</v>
      </c>
      <c r="L49" s="68">
        <f>$J$3/$J$1</f>
        <v>30.326086956521738</v>
      </c>
      <c r="M49" s="54">
        <v>-789944</v>
      </c>
      <c r="N49" s="69">
        <f t="shared" si="2"/>
        <v>-26048.332616487456</v>
      </c>
      <c r="P49" s="58">
        <v>82</v>
      </c>
      <c r="Q49" s="68">
        <f>$J$3/$J$2</f>
        <v>33.41317365269461</v>
      </c>
      <c r="R49" s="54">
        <v>-954865</v>
      </c>
      <c r="S49" s="69">
        <f t="shared" si="3"/>
        <v>-28577.500896057347</v>
      </c>
    </row>
    <row r="50" spans="1:19" x14ac:dyDescent="0.25">
      <c r="A50" s="58">
        <v>65</v>
      </c>
      <c r="B50" s="68">
        <f>$J$3/$J$1</f>
        <v>30.326086956521738</v>
      </c>
      <c r="C50" s="54">
        <v>-1335361</v>
      </c>
      <c r="D50" s="69">
        <f t="shared" si="0"/>
        <v>-44033.409318996419</v>
      </c>
      <c r="F50" s="58">
        <v>19</v>
      </c>
      <c r="G50" s="68">
        <f>$J$3/$J$2</f>
        <v>33.41317365269461</v>
      </c>
      <c r="H50" s="54">
        <v>-1251057</v>
      </c>
      <c r="I50" s="69">
        <f t="shared" si="1"/>
        <v>-37442.028494623657</v>
      </c>
      <c r="K50" s="58">
        <v>26</v>
      </c>
      <c r="L50" s="68">
        <f>$J$3/$J$1</f>
        <v>30.326086956521738</v>
      </c>
      <c r="M50" s="54">
        <v>-946136</v>
      </c>
      <c r="N50" s="69">
        <f t="shared" si="2"/>
        <v>-31198.749820788533</v>
      </c>
      <c r="P50" s="58">
        <v>50</v>
      </c>
      <c r="Q50" s="68">
        <f>$J$3/$J$2</f>
        <v>33.41317365269461</v>
      </c>
      <c r="R50" s="54">
        <v>-1011749</v>
      </c>
      <c r="S50" s="69">
        <f t="shared" si="3"/>
        <v>-30279.943189964157</v>
      </c>
    </row>
    <row r="51" spans="1:19" x14ac:dyDescent="0.25">
      <c r="A51" s="58">
        <v>18</v>
      </c>
      <c r="B51" s="68">
        <f>$J$3/$J$1</f>
        <v>30.326086956521738</v>
      </c>
      <c r="C51" s="54">
        <v>-1388548</v>
      </c>
      <c r="D51" s="69">
        <f t="shared" si="0"/>
        <v>-45787.2458781362</v>
      </c>
      <c r="F51" s="58">
        <v>68</v>
      </c>
      <c r="G51" s="68">
        <f>$J$3/$J$2</f>
        <v>33.41317365269461</v>
      </c>
      <c r="H51" s="54">
        <v>-1292553</v>
      </c>
      <c r="I51" s="69">
        <f t="shared" si="1"/>
        <v>-38683.933870967739</v>
      </c>
      <c r="K51" s="58">
        <v>84</v>
      </c>
      <c r="L51" s="68">
        <f>$J$3/$J$1</f>
        <v>30.326086956521738</v>
      </c>
      <c r="M51" s="54">
        <v>-948146</v>
      </c>
      <c r="N51" s="69">
        <f t="shared" si="2"/>
        <v>-31265.029390681004</v>
      </c>
      <c r="P51" s="58">
        <v>40</v>
      </c>
      <c r="Q51" s="68">
        <f>$J$3/$J$2</f>
        <v>33.41317365269461</v>
      </c>
      <c r="R51" s="54">
        <v>-1028317</v>
      </c>
      <c r="S51" s="69">
        <f t="shared" si="3"/>
        <v>-30775.795519713261</v>
      </c>
    </row>
    <row r="52" spans="1:19" x14ac:dyDescent="0.25">
      <c r="A52" s="58">
        <v>91</v>
      </c>
      <c r="B52" s="68">
        <f>$J$3/$J$1</f>
        <v>30.326086956521738</v>
      </c>
      <c r="C52" s="54">
        <v>-1477388</v>
      </c>
      <c r="D52" s="69">
        <f t="shared" si="0"/>
        <v>-48716.736917562725</v>
      </c>
      <c r="F52" s="58">
        <v>60</v>
      </c>
      <c r="G52" s="68">
        <f>$J$3/$J$2</f>
        <v>33.41317365269461</v>
      </c>
      <c r="H52" s="54">
        <v>-1363928</v>
      </c>
      <c r="I52" s="69">
        <f t="shared" si="1"/>
        <v>-40820.067383512549</v>
      </c>
      <c r="K52" s="58">
        <v>37</v>
      </c>
      <c r="L52" s="68">
        <f>$J$3/$J$1</f>
        <v>30.326086956521738</v>
      </c>
      <c r="M52" s="54">
        <v>-1123636</v>
      </c>
      <c r="N52" s="69">
        <f t="shared" si="2"/>
        <v>-37051.796415770608</v>
      </c>
      <c r="P52" s="58">
        <v>45</v>
      </c>
      <c r="Q52" s="68">
        <f>$J$3/$J$2</f>
        <v>33.41317365269461</v>
      </c>
      <c r="R52" s="54">
        <v>-1108132</v>
      </c>
      <c r="S52" s="69">
        <f t="shared" si="3"/>
        <v>-33164.524014336916</v>
      </c>
    </row>
    <row r="53" spans="1:19" x14ac:dyDescent="0.25">
      <c r="A53" s="58">
        <v>67</v>
      </c>
      <c r="B53" s="68">
        <f>$J$3/$J$1</f>
        <v>30.326086956521738</v>
      </c>
      <c r="C53" s="54">
        <v>-1558535</v>
      </c>
      <c r="D53" s="69">
        <f t="shared" si="0"/>
        <v>-51392.551971326167</v>
      </c>
      <c r="F53" s="58">
        <v>66</v>
      </c>
      <c r="G53" s="68">
        <f>$J$3/$J$2</f>
        <v>33.41317365269461</v>
      </c>
      <c r="H53" s="54">
        <v>-1541082</v>
      </c>
      <c r="I53" s="69">
        <f t="shared" si="1"/>
        <v>-46121.988172043013</v>
      </c>
      <c r="K53" s="58">
        <v>77</v>
      </c>
      <c r="L53" s="68">
        <f>$J$3/$J$1</f>
        <v>30.326086956521738</v>
      </c>
      <c r="M53" s="54">
        <v>-1136517</v>
      </c>
      <c r="N53" s="69">
        <f t="shared" si="2"/>
        <v>-37476.546236559137</v>
      </c>
      <c r="P53" s="58">
        <v>37</v>
      </c>
      <c r="Q53" s="68">
        <f>$J$3/$J$2</f>
        <v>33.41317365269461</v>
      </c>
      <c r="R53" s="54">
        <v>-1231599</v>
      </c>
      <c r="S53" s="69">
        <f t="shared" si="3"/>
        <v>-36859.683333333334</v>
      </c>
    </row>
    <row r="54" spans="1:19" x14ac:dyDescent="0.25">
      <c r="A54" s="58">
        <v>93</v>
      </c>
      <c r="B54" s="68">
        <f>$J$3/$J$1</f>
        <v>30.326086956521738</v>
      </c>
      <c r="C54" s="54">
        <v>-1560391</v>
      </c>
      <c r="D54" s="69">
        <f t="shared" si="0"/>
        <v>-51453.753405017924</v>
      </c>
      <c r="F54" s="58">
        <v>13</v>
      </c>
      <c r="G54" s="68">
        <f>$J$3/$J$2</f>
        <v>33.41317365269461</v>
      </c>
      <c r="H54" s="54">
        <v>-1570807</v>
      </c>
      <c r="I54" s="69">
        <f t="shared" si="1"/>
        <v>-47011.607347670251</v>
      </c>
      <c r="K54" s="58">
        <v>94</v>
      </c>
      <c r="L54" s="68">
        <f>$J$3/$J$1</f>
        <v>30.326086956521738</v>
      </c>
      <c r="M54" s="54">
        <v>-1189690</v>
      </c>
      <c r="N54" s="69">
        <f t="shared" si="2"/>
        <v>-39229.921146953406</v>
      </c>
      <c r="P54" s="58">
        <v>80</v>
      </c>
      <c r="Q54" s="68">
        <f>$J$3/$J$2</f>
        <v>33.41317365269461</v>
      </c>
      <c r="R54" s="54">
        <v>-1261366</v>
      </c>
      <c r="S54" s="69">
        <f t="shared" si="3"/>
        <v>-37750.559498207884</v>
      </c>
    </row>
    <row r="55" spans="1:19" x14ac:dyDescent="0.25">
      <c r="A55" s="58"/>
      <c r="B55" s="59"/>
      <c r="C55" s="54"/>
      <c r="D55" s="55"/>
      <c r="F55" s="58"/>
      <c r="G55" s="59"/>
      <c r="H55" s="54"/>
      <c r="I55" s="55"/>
      <c r="K55" s="58">
        <v>32</v>
      </c>
      <c r="L55" s="68">
        <f>$J$3/$J$1</f>
        <v>30.326086956521738</v>
      </c>
      <c r="M55" s="54">
        <v>-1238968</v>
      </c>
      <c r="N55" s="69">
        <f t="shared" si="2"/>
        <v>-40854.858781362011</v>
      </c>
      <c r="P55" s="58">
        <v>52</v>
      </c>
      <c r="Q55" s="68">
        <f>$J$3/$J$2</f>
        <v>33.41317365269461</v>
      </c>
      <c r="R55" s="54">
        <v>-1306284</v>
      </c>
      <c r="S55" s="69">
        <f t="shared" si="3"/>
        <v>-39094.879569892473</v>
      </c>
    </row>
    <row r="56" spans="1:19" x14ac:dyDescent="0.25">
      <c r="A56" s="58"/>
      <c r="B56" s="59"/>
      <c r="C56" s="54"/>
      <c r="D56" s="55"/>
      <c r="F56" s="58"/>
      <c r="G56" s="59"/>
      <c r="H56" s="54"/>
      <c r="I56" s="55"/>
      <c r="K56" s="58">
        <v>36</v>
      </c>
      <c r="L56" s="68">
        <f>$J$3/$J$1</f>
        <v>30.326086956521738</v>
      </c>
      <c r="M56" s="54">
        <v>-1281241</v>
      </c>
      <c r="N56" s="69">
        <f t="shared" si="2"/>
        <v>-42248.807168458785</v>
      </c>
      <c r="P56" s="58">
        <v>38</v>
      </c>
      <c r="Q56" s="68">
        <f>$J$3/$J$2</f>
        <v>33.41317365269461</v>
      </c>
      <c r="R56" s="54">
        <v>-1308829</v>
      </c>
      <c r="S56" s="69">
        <f t="shared" si="3"/>
        <v>-39171.047132616492</v>
      </c>
    </row>
    <row r="57" spans="1:19" x14ac:dyDescent="0.25">
      <c r="A57" s="58"/>
      <c r="B57" s="59"/>
      <c r="C57" s="54"/>
      <c r="D57" s="55"/>
      <c r="F57" s="58"/>
      <c r="G57" s="59"/>
      <c r="H57" s="54"/>
      <c r="I57" s="55"/>
      <c r="K57" s="58">
        <v>29</v>
      </c>
      <c r="L57" s="68">
        <f>$J$3/$J$1</f>
        <v>30.326086956521738</v>
      </c>
      <c r="M57" s="54">
        <v>-1329121</v>
      </c>
      <c r="N57" s="69">
        <f t="shared" si="2"/>
        <v>-43827.645878136202</v>
      </c>
      <c r="P57" s="58">
        <v>46</v>
      </c>
      <c r="Q57" s="68">
        <f>$J$3/$J$2</f>
        <v>33.41317365269461</v>
      </c>
      <c r="R57" s="54">
        <v>-1311822</v>
      </c>
      <c r="S57" s="69">
        <f t="shared" si="3"/>
        <v>-39260.622580645162</v>
      </c>
    </row>
    <row r="58" spans="1:19" x14ac:dyDescent="0.25">
      <c r="A58" s="58"/>
      <c r="B58" s="59"/>
      <c r="C58" s="54"/>
      <c r="D58" s="55"/>
      <c r="F58" s="58"/>
      <c r="G58" s="59"/>
      <c r="H58" s="54"/>
      <c r="I58" s="55"/>
      <c r="K58" s="58">
        <v>80</v>
      </c>
      <c r="L58" s="68">
        <f>$J$3/$J$1</f>
        <v>30.326086956521738</v>
      </c>
      <c r="M58" s="54">
        <v>-1382584</v>
      </c>
      <c r="N58" s="69">
        <f t="shared" si="2"/>
        <v>-45590.583512544807</v>
      </c>
      <c r="P58" s="58">
        <v>53</v>
      </c>
      <c r="Q58" s="68">
        <f>$J$3/$J$2</f>
        <v>33.41317365269461</v>
      </c>
      <c r="R58" s="54">
        <v>-1316172</v>
      </c>
      <c r="S58" s="69">
        <f t="shared" si="3"/>
        <v>-39390.810752688172</v>
      </c>
    </row>
    <row r="59" spans="1:19" x14ac:dyDescent="0.25">
      <c r="A59" s="58"/>
      <c r="B59" s="59"/>
      <c r="C59" s="54"/>
      <c r="D59" s="55"/>
      <c r="F59" s="58"/>
      <c r="G59" s="59"/>
      <c r="H59" s="54"/>
      <c r="I59" s="55"/>
      <c r="K59" s="58">
        <v>38</v>
      </c>
      <c r="L59" s="68">
        <f>$J$3/$J$1</f>
        <v>30.326086956521738</v>
      </c>
      <c r="M59" s="54">
        <v>-1454904</v>
      </c>
      <c r="N59" s="69">
        <f t="shared" si="2"/>
        <v>-47975.329032258065</v>
      </c>
      <c r="P59" s="58">
        <v>87</v>
      </c>
      <c r="Q59" s="68">
        <f>$J$3/$J$2</f>
        <v>33.41317365269461</v>
      </c>
      <c r="R59" s="54">
        <v>-1394051</v>
      </c>
      <c r="S59" s="69">
        <f t="shared" si="3"/>
        <v>-41721.598028673834</v>
      </c>
    </row>
    <row r="60" spans="1:19" x14ac:dyDescent="0.25">
      <c r="A60" s="58"/>
      <c r="B60" s="59"/>
      <c r="C60" s="54"/>
      <c r="D60" s="55"/>
      <c r="F60" s="58"/>
      <c r="G60" s="59"/>
      <c r="H60" s="54"/>
      <c r="I60" s="55"/>
      <c r="K60" s="58">
        <v>96</v>
      </c>
      <c r="L60" s="68">
        <f>$J$3/$J$1</f>
        <v>30.326086956521738</v>
      </c>
      <c r="M60" s="54">
        <v>-1495940</v>
      </c>
      <c r="N60" s="69">
        <f t="shared" si="2"/>
        <v>-49328.487455197137</v>
      </c>
      <c r="P60" s="58">
        <v>36</v>
      </c>
      <c r="Q60" s="68">
        <f>$J$3/$J$2</f>
        <v>33.41317365269461</v>
      </c>
      <c r="R60" s="54">
        <v>-1395762</v>
      </c>
      <c r="S60" s="69">
        <f t="shared" si="3"/>
        <v>-41772.805376344084</v>
      </c>
    </row>
    <row r="61" spans="1:19" x14ac:dyDescent="0.25">
      <c r="A61" s="58"/>
      <c r="B61" s="59"/>
      <c r="C61" s="54"/>
      <c r="D61" s="55"/>
      <c r="F61" s="58"/>
      <c r="G61" s="59"/>
      <c r="H61" s="54"/>
      <c r="I61" s="55"/>
      <c r="K61" s="58">
        <v>76</v>
      </c>
      <c r="L61" s="68">
        <f>$J$3/$J$1</f>
        <v>30.326086956521738</v>
      </c>
      <c r="M61" s="54">
        <v>-1505954</v>
      </c>
      <c r="N61" s="69">
        <f t="shared" si="2"/>
        <v>-49658.698207885303</v>
      </c>
      <c r="P61" s="58">
        <v>42</v>
      </c>
      <c r="Q61" s="68">
        <f>$J$3/$J$2</f>
        <v>33.41317365269461</v>
      </c>
      <c r="R61" s="54">
        <v>-1449513</v>
      </c>
      <c r="S61" s="69">
        <f t="shared" si="3"/>
        <v>-43381.48225806452</v>
      </c>
    </row>
    <row r="62" spans="1:19" x14ac:dyDescent="0.25">
      <c r="A62" s="58"/>
      <c r="B62" s="59"/>
      <c r="C62" s="54"/>
      <c r="D62" s="55"/>
      <c r="F62" s="58"/>
      <c r="G62" s="59"/>
      <c r="H62" s="54"/>
      <c r="I62" s="55"/>
      <c r="K62" s="58">
        <v>52</v>
      </c>
      <c r="L62" s="68">
        <f>$J$3/$J$1</f>
        <v>30.326086956521738</v>
      </c>
      <c r="M62" s="54">
        <v>-1572435</v>
      </c>
      <c r="N62" s="69">
        <f t="shared" si="2"/>
        <v>-51850.903225806454</v>
      </c>
      <c r="P62" s="58">
        <v>28</v>
      </c>
      <c r="Q62" s="68">
        <f>$J$3/$J$2</f>
        <v>33.41317365269461</v>
      </c>
      <c r="R62" s="54">
        <v>-1475625</v>
      </c>
      <c r="S62" s="69">
        <f t="shared" si="3"/>
        <v>-44162.970430107525</v>
      </c>
    </row>
    <row r="63" spans="1:19" x14ac:dyDescent="0.25">
      <c r="A63" s="58"/>
      <c r="B63" s="59"/>
      <c r="C63" s="54"/>
      <c r="D63" s="55"/>
      <c r="F63" s="58"/>
      <c r="G63" s="59"/>
      <c r="H63" s="54"/>
      <c r="I63" s="55"/>
      <c r="K63" s="58">
        <v>100</v>
      </c>
      <c r="L63" s="68">
        <f>$J$3/$J$1</f>
        <v>30.326086956521738</v>
      </c>
      <c r="M63" s="54">
        <v>-1597710</v>
      </c>
      <c r="N63" s="69">
        <f t="shared" si="2"/>
        <v>-52684.344086021505</v>
      </c>
      <c r="P63" s="58">
        <v>83</v>
      </c>
      <c r="Q63" s="68">
        <f>$J$3/$J$2</f>
        <v>33.41317365269461</v>
      </c>
      <c r="R63" s="54">
        <v>-1533913</v>
      </c>
      <c r="S63" s="69">
        <f t="shared" si="3"/>
        <v>-45907.432078853046</v>
      </c>
    </row>
    <row r="64" spans="1:19" x14ac:dyDescent="0.25">
      <c r="A64" s="58"/>
      <c r="B64" s="59"/>
      <c r="C64" s="54"/>
      <c r="D64" s="55"/>
      <c r="F64" s="58"/>
      <c r="G64" s="59"/>
      <c r="H64" s="54"/>
      <c r="I64" s="55"/>
      <c r="K64" s="58">
        <v>51</v>
      </c>
      <c r="L64" s="68">
        <f>$J$3/$J$1</f>
        <v>30.326086956521738</v>
      </c>
      <c r="M64" s="54">
        <v>-1602000</v>
      </c>
      <c r="N64" s="69">
        <f t="shared" si="2"/>
        <v>-52825.806451612902</v>
      </c>
      <c r="P64" s="58">
        <v>77</v>
      </c>
      <c r="Q64" s="68">
        <f>$J$3/$J$2</f>
        <v>33.41317365269461</v>
      </c>
      <c r="R64" s="54">
        <v>-1545855</v>
      </c>
      <c r="S64" s="69">
        <f t="shared" si="3"/>
        <v>-46264.836021505376</v>
      </c>
    </row>
    <row r="65" spans="1:19" x14ac:dyDescent="0.25">
      <c r="A65" s="58"/>
      <c r="B65" s="59"/>
      <c r="C65" s="54"/>
      <c r="D65" s="55"/>
      <c r="F65" s="58"/>
      <c r="G65" s="59"/>
      <c r="H65" s="54"/>
      <c r="I65" s="55"/>
      <c r="K65" s="58"/>
      <c r="L65" s="59"/>
      <c r="M65" s="54"/>
      <c r="N65" s="55"/>
      <c r="P65" s="58"/>
      <c r="Q65" s="59"/>
      <c r="R65" s="54"/>
      <c r="S65" s="55"/>
    </row>
    <row r="66" spans="1:19" x14ac:dyDescent="0.25">
      <c r="A66" s="58"/>
      <c r="B66" s="59"/>
      <c r="C66" s="54"/>
      <c r="D66" s="55"/>
      <c r="F66" s="58"/>
      <c r="G66" s="59"/>
      <c r="H66" s="54"/>
      <c r="I66" s="55"/>
      <c r="K66" s="58"/>
      <c r="L66" s="59"/>
      <c r="M66" s="54"/>
      <c r="N66" s="55"/>
      <c r="P66" s="58"/>
      <c r="Q66" s="59"/>
      <c r="R66" s="54"/>
      <c r="S66" s="55"/>
    </row>
    <row r="67" spans="1:19" x14ac:dyDescent="0.25">
      <c r="A67" s="58"/>
      <c r="B67" s="59"/>
      <c r="C67" s="54"/>
      <c r="D67" s="55"/>
      <c r="F67" s="58"/>
      <c r="G67" s="59"/>
      <c r="H67" s="54"/>
      <c r="I67" s="55"/>
      <c r="K67" s="58"/>
      <c r="L67" s="59"/>
      <c r="M67" s="54"/>
      <c r="N67" s="55"/>
      <c r="P67" s="58"/>
      <c r="Q67" s="59"/>
      <c r="R67" s="54"/>
      <c r="S67" s="55"/>
    </row>
    <row r="68" spans="1:19" x14ac:dyDescent="0.25">
      <c r="A68" s="58"/>
      <c r="B68" s="59"/>
      <c r="C68" s="54"/>
      <c r="D68" s="55"/>
      <c r="F68" s="58"/>
      <c r="G68" s="59"/>
      <c r="H68" s="54"/>
      <c r="I68" s="55"/>
      <c r="K68" s="58"/>
      <c r="L68" s="59"/>
      <c r="M68" s="54"/>
      <c r="N68" s="55"/>
      <c r="P68" s="58"/>
      <c r="Q68" s="59"/>
      <c r="R68" s="54"/>
      <c r="S68" s="55"/>
    </row>
    <row r="69" spans="1:19" x14ac:dyDescent="0.25">
      <c r="A69" s="58"/>
      <c r="B69" s="59"/>
      <c r="C69" s="54"/>
      <c r="D69" s="55"/>
      <c r="F69" s="58"/>
      <c r="G69" s="59"/>
      <c r="H69" s="54"/>
      <c r="I69" s="55"/>
      <c r="K69" s="58"/>
      <c r="L69" s="59"/>
      <c r="M69" s="54"/>
      <c r="N69" s="55"/>
      <c r="P69" s="58"/>
      <c r="Q69" s="59"/>
      <c r="R69" s="54"/>
      <c r="S69" s="55"/>
    </row>
    <row r="70" spans="1:19" x14ac:dyDescent="0.25">
      <c r="A70" s="58"/>
      <c r="B70" s="59"/>
      <c r="C70" s="54"/>
      <c r="D70" s="55"/>
      <c r="F70" s="58"/>
      <c r="G70" s="59"/>
      <c r="H70" s="54"/>
      <c r="I70" s="55"/>
      <c r="K70" s="58"/>
      <c r="L70" s="59"/>
      <c r="M70" s="54"/>
      <c r="N70" s="55"/>
      <c r="P70" s="58"/>
      <c r="Q70" s="59"/>
      <c r="R70" s="54"/>
      <c r="S70" s="55"/>
    </row>
    <row r="71" spans="1:19" x14ac:dyDescent="0.25">
      <c r="A71" s="58"/>
      <c r="B71" s="59"/>
      <c r="C71" s="54"/>
      <c r="D71" s="55"/>
      <c r="F71" s="58"/>
      <c r="G71" s="59"/>
      <c r="H71" s="54"/>
      <c r="I71" s="55"/>
      <c r="K71" s="58"/>
      <c r="L71" s="59"/>
      <c r="M71" s="54"/>
      <c r="N71" s="55"/>
      <c r="P71" s="58"/>
      <c r="Q71" s="59"/>
      <c r="R71" s="54"/>
      <c r="S71" s="55"/>
    </row>
    <row r="72" spans="1:19" x14ac:dyDescent="0.25">
      <c r="A72" s="58"/>
      <c r="B72" s="59"/>
      <c r="C72" s="54"/>
      <c r="D72" s="55"/>
      <c r="F72" s="58"/>
      <c r="G72" s="59"/>
      <c r="H72" s="54"/>
      <c r="I72" s="55"/>
      <c r="K72" s="58"/>
      <c r="L72" s="59"/>
      <c r="M72" s="54"/>
      <c r="N72" s="55"/>
      <c r="P72" s="58"/>
      <c r="Q72" s="59"/>
      <c r="R72" s="54"/>
      <c r="S72" s="55"/>
    </row>
    <row r="73" spans="1:19" x14ac:dyDescent="0.25">
      <c r="A73" s="58"/>
      <c r="B73" s="59"/>
      <c r="C73" s="54"/>
      <c r="D73" s="55"/>
      <c r="F73" s="58"/>
      <c r="G73" s="59"/>
      <c r="H73" s="54"/>
      <c r="I73" s="55"/>
      <c r="K73" s="58"/>
      <c r="L73" s="59"/>
      <c r="M73" s="54"/>
      <c r="N73" s="55"/>
      <c r="P73" s="58"/>
      <c r="Q73" s="59"/>
      <c r="R73" s="54"/>
      <c r="S73" s="55"/>
    </row>
    <row r="74" spans="1:19" x14ac:dyDescent="0.25">
      <c r="A74" s="58"/>
      <c r="B74" s="59"/>
      <c r="C74" s="54"/>
      <c r="D74" s="55"/>
      <c r="F74" s="58"/>
      <c r="G74" s="59"/>
      <c r="H74" s="54"/>
      <c r="I74" s="55"/>
      <c r="K74" s="58"/>
      <c r="L74" s="59"/>
      <c r="M74" s="54"/>
      <c r="N74" s="55"/>
      <c r="P74" s="58"/>
      <c r="Q74" s="59"/>
      <c r="R74" s="54"/>
      <c r="S74" s="55"/>
    </row>
    <row r="75" spans="1:19" x14ac:dyDescent="0.25">
      <c r="A75" s="58"/>
      <c r="B75" s="59"/>
      <c r="C75" s="54"/>
      <c r="D75" s="55"/>
      <c r="F75" s="58"/>
      <c r="G75" s="59"/>
      <c r="H75" s="54"/>
      <c r="I75" s="55"/>
      <c r="K75" s="58"/>
      <c r="L75" s="59"/>
      <c r="M75" s="54"/>
      <c r="N75" s="55"/>
      <c r="P75" s="58"/>
      <c r="Q75" s="59"/>
      <c r="R75" s="54"/>
      <c r="S75" s="55"/>
    </row>
    <row r="76" spans="1:19" x14ac:dyDescent="0.25">
      <c r="A76" s="58"/>
      <c r="B76" s="59"/>
      <c r="C76" s="54"/>
      <c r="D76" s="55"/>
      <c r="F76" s="58"/>
      <c r="G76" s="59"/>
      <c r="H76" s="54"/>
      <c r="I76" s="55"/>
      <c r="K76" s="58"/>
      <c r="L76" s="59"/>
      <c r="M76" s="54"/>
      <c r="N76" s="55"/>
      <c r="P76" s="58"/>
      <c r="Q76" s="59"/>
      <c r="R76" s="54"/>
      <c r="S76" s="55"/>
    </row>
    <row r="77" spans="1:19" x14ac:dyDescent="0.25">
      <c r="A77" s="58"/>
      <c r="B77" s="59"/>
      <c r="C77" s="54"/>
      <c r="D77" s="55"/>
      <c r="F77" s="58"/>
      <c r="G77" s="59"/>
      <c r="H77" s="54"/>
      <c r="I77" s="55"/>
      <c r="K77" s="58"/>
      <c r="L77" s="59"/>
      <c r="M77" s="54"/>
      <c r="N77" s="55"/>
      <c r="P77" s="58"/>
      <c r="Q77" s="59"/>
      <c r="R77" s="54"/>
      <c r="S77" s="55"/>
    </row>
    <row r="78" spans="1:19" x14ac:dyDescent="0.25">
      <c r="A78" s="58"/>
      <c r="B78" s="59"/>
      <c r="C78" s="54"/>
      <c r="D78" s="55"/>
      <c r="F78" s="58"/>
      <c r="G78" s="59"/>
      <c r="H78" s="54"/>
      <c r="I78" s="55"/>
      <c r="K78" s="58"/>
      <c r="L78" s="59"/>
      <c r="M78" s="54"/>
      <c r="N78" s="55"/>
      <c r="P78" s="58"/>
      <c r="Q78" s="59"/>
      <c r="R78" s="54"/>
      <c r="S78" s="55"/>
    </row>
    <row r="79" spans="1:19" x14ac:dyDescent="0.25">
      <c r="A79" s="58"/>
      <c r="B79" s="59"/>
      <c r="C79" s="54"/>
      <c r="D79" s="55"/>
      <c r="F79" s="58"/>
      <c r="G79" s="59"/>
      <c r="H79" s="54"/>
      <c r="I79" s="55"/>
      <c r="K79" s="58"/>
      <c r="L79" s="59"/>
      <c r="M79" s="54"/>
      <c r="N79" s="55"/>
      <c r="P79" s="58"/>
      <c r="Q79" s="59"/>
      <c r="R79" s="54"/>
      <c r="S79" s="55"/>
    </row>
    <row r="80" spans="1:19" x14ac:dyDescent="0.25">
      <c r="A80" s="58"/>
      <c r="B80" s="59"/>
      <c r="C80" s="54"/>
      <c r="D80" s="55"/>
      <c r="F80" s="58"/>
      <c r="G80" s="59"/>
      <c r="H80" s="54"/>
      <c r="I80" s="55"/>
      <c r="K80" s="58"/>
      <c r="L80" s="59"/>
      <c r="M80" s="54"/>
      <c r="N80" s="55"/>
      <c r="P80" s="58"/>
      <c r="Q80" s="59"/>
      <c r="R80" s="54"/>
      <c r="S80" s="55"/>
    </row>
    <row r="81" spans="1:19" x14ac:dyDescent="0.25">
      <c r="A81" s="58"/>
      <c r="B81" s="59"/>
      <c r="C81" s="54"/>
      <c r="D81" s="55"/>
      <c r="F81" s="58"/>
      <c r="G81" s="59"/>
      <c r="H81" s="54"/>
      <c r="I81" s="55"/>
      <c r="K81" s="58"/>
      <c r="L81" s="59"/>
      <c r="M81" s="54"/>
      <c r="N81" s="55"/>
      <c r="P81" s="58"/>
      <c r="Q81" s="59"/>
      <c r="R81" s="54"/>
      <c r="S81" s="55"/>
    </row>
    <row r="82" spans="1:19" x14ac:dyDescent="0.25">
      <c r="A82" s="58"/>
      <c r="B82" s="59"/>
      <c r="C82" s="54"/>
      <c r="D82" s="55"/>
      <c r="F82" s="58"/>
      <c r="G82" s="59"/>
      <c r="H82" s="54"/>
      <c r="I82" s="55"/>
      <c r="K82" s="58"/>
      <c r="L82" s="59"/>
      <c r="M82" s="54"/>
      <c r="N82" s="55"/>
      <c r="P82" s="58"/>
      <c r="Q82" s="59"/>
      <c r="R82" s="54"/>
      <c r="S82" s="55"/>
    </row>
    <row r="83" spans="1:19" x14ac:dyDescent="0.25">
      <c r="A83" s="58"/>
      <c r="B83" s="59"/>
      <c r="C83" s="54"/>
      <c r="D83" s="55"/>
      <c r="F83" s="58"/>
      <c r="G83" s="59"/>
      <c r="H83" s="54"/>
      <c r="I83" s="55"/>
      <c r="K83" s="58"/>
      <c r="L83" s="59"/>
      <c r="M83" s="54"/>
      <c r="N83" s="55"/>
      <c r="P83" s="58"/>
      <c r="Q83" s="59"/>
      <c r="R83" s="54"/>
      <c r="S83" s="55"/>
    </row>
    <row r="84" spans="1:19" x14ac:dyDescent="0.25">
      <c r="A84" s="58"/>
      <c r="B84" s="59"/>
      <c r="C84" s="54"/>
      <c r="D84" s="55"/>
      <c r="F84" s="58"/>
      <c r="G84" s="59"/>
      <c r="H84" s="54"/>
      <c r="I84" s="55"/>
      <c r="K84" s="58"/>
      <c r="L84" s="59"/>
      <c r="M84" s="54"/>
      <c r="N84" s="55"/>
      <c r="P84" s="58"/>
      <c r="Q84" s="59"/>
      <c r="R84" s="54"/>
      <c r="S84" s="55"/>
    </row>
    <row r="85" spans="1:19" x14ac:dyDescent="0.25">
      <c r="A85" s="58"/>
      <c r="B85" s="59"/>
      <c r="C85" s="54"/>
      <c r="D85" s="55"/>
      <c r="F85" s="58"/>
      <c r="G85" s="59"/>
      <c r="H85" s="54"/>
      <c r="I85" s="55"/>
      <c r="K85" s="58"/>
      <c r="L85" s="59"/>
      <c r="M85" s="54"/>
      <c r="N85" s="55"/>
      <c r="P85" s="58"/>
      <c r="Q85" s="59"/>
      <c r="R85" s="54"/>
      <c r="S85" s="55"/>
    </row>
    <row r="86" spans="1:19" x14ac:dyDescent="0.25">
      <c r="A86" s="58"/>
      <c r="B86" s="59"/>
      <c r="C86" s="54"/>
      <c r="D86" s="55"/>
      <c r="F86" s="58"/>
      <c r="G86" s="59"/>
      <c r="H86" s="54"/>
      <c r="I86" s="55"/>
      <c r="K86" s="58"/>
      <c r="L86" s="59"/>
      <c r="M86" s="54"/>
      <c r="N86" s="55"/>
      <c r="P86" s="58"/>
      <c r="Q86" s="59"/>
      <c r="R86" s="54"/>
      <c r="S86" s="55"/>
    </row>
    <row r="87" spans="1:19" x14ac:dyDescent="0.25">
      <c r="A87" s="58"/>
      <c r="B87" s="59"/>
      <c r="C87" s="54"/>
      <c r="D87" s="55"/>
      <c r="F87" s="58"/>
      <c r="G87" s="59"/>
      <c r="H87" s="54"/>
      <c r="I87" s="55"/>
      <c r="K87" s="58"/>
      <c r="L87" s="59"/>
      <c r="M87" s="54"/>
      <c r="N87" s="55"/>
      <c r="P87" s="58"/>
      <c r="Q87" s="59"/>
      <c r="R87" s="54"/>
      <c r="S87" s="55"/>
    </row>
    <row r="88" spans="1:19" x14ac:dyDescent="0.25">
      <c r="A88" s="58"/>
      <c r="B88" s="59"/>
      <c r="C88" s="54"/>
      <c r="D88" s="55"/>
      <c r="F88" s="58"/>
      <c r="G88" s="59"/>
      <c r="H88" s="54"/>
      <c r="I88" s="55"/>
      <c r="K88" s="58"/>
      <c r="L88" s="59"/>
      <c r="M88" s="54"/>
      <c r="N88" s="55"/>
      <c r="P88" s="58"/>
      <c r="Q88" s="59"/>
      <c r="R88" s="54"/>
      <c r="S88" s="55"/>
    </row>
    <row r="89" spans="1:19" x14ac:dyDescent="0.25">
      <c r="A89" s="58"/>
      <c r="B89" s="59"/>
      <c r="C89" s="54"/>
      <c r="D89" s="55"/>
      <c r="F89" s="58"/>
      <c r="G89" s="59"/>
      <c r="H89" s="54"/>
      <c r="I89" s="55"/>
      <c r="K89" s="58"/>
      <c r="L89" s="59"/>
      <c r="M89" s="54"/>
      <c r="N89" s="55"/>
      <c r="P89" s="58"/>
      <c r="Q89" s="59"/>
      <c r="R89" s="54"/>
      <c r="S89" s="55"/>
    </row>
    <row r="90" spans="1:19" x14ac:dyDescent="0.25">
      <c r="A90" s="58"/>
      <c r="B90" s="59"/>
      <c r="C90" s="54"/>
      <c r="D90" s="55"/>
      <c r="F90" s="58"/>
      <c r="G90" s="59"/>
      <c r="H90" s="54"/>
      <c r="I90" s="55"/>
      <c r="K90" s="58"/>
      <c r="L90" s="59"/>
      <c r="M90" s="54"/>
      <c r="N90" s="55"/>
      <c r="P90" s="58"/>
      <c r="Q90" s="59"/>
      <c r="R90" s="54"/>
      <c r="S90" s="55"/>
    </row>
    <row r="91" spans="1:19" x14ac:dyDescent="0.25">
      <c r="A91" s="58"/>
      <c r="B91" s="59"/>
      <c r="C91" s="54"/>
      <c r="D91" s="55"/>
      <c r="F91" s="58"/>
      <c r="G91" s="59"/>
      <c r="H91" s="54"/>
      <c r="I91" s="55"/>
      <c r="K91" s="58"/>
      <c r="L91" s="59"/>
      <c r="M91" s="54"/>
      <c r="N91" s="55"/>
      <c r="P91" s="58"/>
      <c r="Q91" s="59"/>
      <c r="R91" s="54"/>
      <c r="S91" s="55"/>
    </row>
    <row r="92" spans="1:19" x14ac:dyDescent="0.25">
      <c r="A92" s="58"/>
      <c r="B92" s="59"/>
      <c r="C92" s="54"/>
      <c r="D92" s="55"/>
      <c r="F92" s="58"/>
      <c r="G92" s="59"/>
      <c r="H92" s="54"/>
      <c r="I92" s="55"/>
      <c r="K92" s="58"/>
      <c r="L92" s="59"/>
      <c r="M92" s="54"/>
      <c r="N92" s="55"/>
      <c r="P92" s="58"/>
      <c r="Q92" s="59"/>
      <c r="R92" s="54"/>
      <c r="S92" s="55"/>
    </row>
    <row r="93" spans="1:19" x14ac:dyDescent="0.25">
      <c r="A93" s="58"/>
      <c r="B93" s="59"/>
      <c r="C93" s="54"/>
      <c r="D93" s="55"/>
      <c r="F93" s="58"/>
      <c r="G93" s="59"/>
      <c r="H93" s="54"/>
      <c r="I93" s="55"/>
      <c r="K93" s="58"/>
      <c r="L93" s="59"/>
      <c r="M93" s="54"/>
      <c r="N93" s="55"/>
      <c r="P93" s="58"/>
      <c r="Q93" s="59"/>
      <c r="R93" s="54"/>
      <c r="S93" s="55"/>
    </row>
    <row r="94" spans="1:19" x14ac:dyDescent="0.25">
      <c r="A94" s="58"/>
      <c r="B94" s="59"/>
      <c r="C94" s="54"/>
      <c r="D94" s="55"/>
      <c r="F94" s="58"/>
      <c r="G94" s="59"/>
      <c r="H94" s="54"/>
      <c r="I94" s="55"/>
      <c r="K94" s="58"/>
      <c r="L94" s="59"/>
      <c r="M94" s="54"/>
      <c r="N94" s="55"/>
      <c r="P94" s="58"/>
      <c r="Q94" s="59"/>
      <c r="R94" s="54"/>
      <c r="S94" s="55"/>
    </row>
    <row r="95" spans="1:19" x14ac:dyDescent="0.25">
      <c r="A95" s="58"/>
      <c r="B95" s="59"/>
      <c r="C95" s="54"/>
      <c r="D95" s="55"/>
      <c r="F95" s="58"/>
      <c r="G95" s="59"/>
      <c r="H95" s="54"/>
      <c r="I95" s="55"/>
      <c r="K95" s="58"/>
      <c r="L95" s="59"/>
      <c r="M95" s="54"/>
      <c r="N95" s="55"/>
      <c r="P95" s="58"/>
      <c r="Q95" s="59"/>
      <c r="R95" s="54"/>
      <c r="S95" s="55"/>
    </row>
    <row r="96" spans="1:19" x14ac:dyDescent="0.25">
      <c r="A96" s="58"/>
      <c r="B96" s="59"/>
      <c r="C96" s="54"/>
      <c r="D96" s="55"/>
      <c r="F96" s="58"/>
      <c r="G96" s="59"/>
      <c r="H96" s="54"/>
      <c r="I96" s="55"/>
      <c r="K96" s="58"/>
      <c r="L96" s="59"/>
      <c r="M96" s="54"/>
      <c r="N96" s="55"/>
      <c r="P96" s="58"/>
      <c r="Q96" s="59"/>
      <c r="R96" s="54"/>
      <c r="S96" s="55"/>
    </row>
    <row r="97" spans="1:19" x14ac:dyDescent="0.25">
      <c r="A97" s="58"/>
      <c r="B97" s="59"/>
      <c r="C97" s="54"/>
      <c r="D97" s="55"/>
      <c r="F97" s="58"/>
      <c r="G97" s="59"/>
      <c r="H97" s="54"/>
      <c r="I97" s="55"/>
      <c r="K97" s="58"/>
      <c r="L97" s="59"/>
      <c r="M97" s="54"/>
      <c r="N97" s="55"/>
      <c r="P97" s="58"/>
      <c r="Q97" s="59"/>
      <c r="R97" s="54"/>
      <c r="S97" s="55"/>
    </row>
    <row r="98" spans="1:19" x14ac:dyDescent="0.25">
      <c r="A98" s="58"/>
      <c r="B98" s="59"/>
      <c r="C98" s="54"/>
      <c r="D98" s="55"/>
      <c r="F98" s="58"/>
      <c r="G98" s="59"/>
      <c r="H98" s="54"/>
      <c r="I98" s="55"/>
      <c r="K98" s="58"/>
      <c r="L98" s="59"/>
      <c r="M98" s="54"/>
      <c r="N98" s="55"/>
      <c r="P98" s="58"/>
      <c r="Q98" s="59"/>
      <c r="R98" s="54"/>
      <c r="S98" s="55"/>
    </row>
    <row r="99" spans="1:19" x14ac:dyDescent="0.25">
      <c r="A99" s="58"/>
      <c r="B99" s="59"/>
      <c r="C99" s="54"/>
      <c r="D99" s="55"/>
      <c r="F99" s="58"/>
      <c r="G99" s="59"/>
      <c r="H99" s="54"/>
      <c r="I99" s="55"/>
      <c r="K99" s="58"/>
      <c r="L99" s="59"/>
      <c r="M99" s="54"/>
      <c r="N99" s="55"/>
      <c r="P99" s="58"/>
      <c r="Q99" s="59"/>
      <c r="R99" s="54"/>
      <c r="S99" s="55"/>
    </row>
    <row r="100" spans="1:19" x14ac:dyDescent="0.25">
      <c r="A100" s="58"/>
      <c r="B100" s="59"/>
      <c r="C100" s="54"/>
      <c r="D100" s="55"/>
      <c r="F100" s="58"/>
      <c r="G100" s="59"/>
      <c r="H100" s="54"/>
      <c r="I100" s="55"/>
      <c r="K100" s="58"/>
      <c r="L100" s="59"/>
      <c r="M100" s="54"/>
      <c r="N100" s="55"/>
      <c r="P100" s="58"/>
      <c r="Q100" s="59"/>
      <c r="R100" s="54"/>
      <c r="S100" s="55"/>
    </row>
    <row r="101" spans="1:19" x14ac:dyDescent="0.25">
      <c r="A101" s="58"/>
      <c r="B101" s="59"/>
      <c r="C101" s="54"/>
      <c r="D101" s="55"/>
      <c r="F101" s="58"/>
      <c r="G101" s="59"/>
      <c r="H101" s="54"/>
      <c r="I101" s="55"/>
      <c r="K101" s="58"/>
      <c r="L101" s="59"/>
      <c r="M101" s="54"/>
      <c r="N101" s="55"/>
      <c r="P101" s="58"/>
      <c r="Q101" s="59"/>
      <c r="R101" s="54"/>
      <c r="S101" s="55"/>
    </row>
    <row r="102" spans="1:19" x14ac:dyDescent="0.25">
      <c r="A102" s="58"/>
      <c r="B102" s="59"/>
      <c r="C102" s="54"/>
      <c r="D102" s="55"/>
      <c r="F102" s="58"/>
      <c r="G102" s="59"/>
      <c r="H102" s="54"/>
      <c r="I102" s="55"/>
      <c r="K102" s="58"/>
      <c r="L102" s="59"/>
      <c r="M102" s="54"/>
      <c r="N102" s="55"/>
      <c r="P102" s="58"/>
      <c r="Q102" s="59"/>
      <c r="R102" s="54"/>
      <c r="S102" s="55"/>
    </row>
    <row r="103" spans="1:19" x14ac:dyDescent="0.25">
      <c r="A103" s="58"/>
      <c r="B103" s="59"/>
      <c r="C103" s="54"/>
      <c r="D103" s="55"/>
      <c r="F103" s="58"/>
      <c r="G103" s="59"/>
      <c r="H103" s="54"/>
      <c r="I103" s="55"/>
      <c r="K103" s="58"/>
      <c r="L103" s="59"/>
      <c r="M103" s="54"/>
      <c r="N103" s="55"/>
      <c r="P103" s="58"/>
      <c r="Q103" s="59"/>
      <c r="R103" s="54"/>
      <c r="S103" s="55"/>
    </row>
    <row r="104" spans="1:19" x14ac:dyDescent="0.25">
      <c r="A104" s="58"/>
      <c r="B104" s="59"/>
      <c r="C104" s="54"/>
      <c r="D104" s="55"/>
      <c r="F104" s="58"/>
      <c r="G104" s="59"/>
      <c r="H104" s="54"/>
      <c r="I104" s="55"/>
      <c r="K104" s="58"/>
      <c r="L104" s="59"/>
      <c r="M104" s="54"/>
      <c r="N104" s="55"/>
      <c r="P104" s="58"/>
      <c r="Q104" s="59"/>
      <c r="R104" s="54"/>
      <c r="S104" s="55"/>
    </row>
    <row r="105" spans="1:19" x14ac:dyDescent="0.25">
      <c r="A105" s="58"/>
      <c r="B105" s="59"/>
      <c r="C105" s="54"/>
      <c r="D105" s="55"/>
      <c r="F105" s="58"/>
      <c r="G105" s="59"/>
      <c r="H105" s="54"/>
      <c r="I105" s="55"/>
      <c r="K105" s="58"/>
      <c r="L105" s="59"/>
      <c r="M105" s="54"/>
      <c r="N105" s="55"/>
      <c r="P105" s="58"/>
      <c r="Q105" s="59"/>
      <c r="R105" s="54"/>
      <c r="S105" s="55"/>
    </row>
    <row r="106" spans="1:19" x14ac:dyDescent="0.25">
      <c r="A106" s="58"/>
      <c r="B106" s="59"/>
      <c r="C106" s="54"/>
      <c r="D106" s="55"/>
      <c r="F106" s="58"/>
      <c r="G106" s="59"/>
      <c r="H106" s="54"/>
      <c r="I106" s="55"/>
      <c r="K106" s="58"/>
      <c r="L106" s="59"/>
      <c r="M106" s="54"/>
      <c r="N106" s="55"/>
      <c r="P106" s="58"/>
      <c r="Q106" s="59"/>
      <c r="R106" s="54"/>
      <c r="S106" s="55"/>
    </row>
    <row r="107" spans="1:19" x14ac:dyDescent="0.25">
      <c r="A107" s="58"/>
      <c r="B107" s="59"/>
      <c r="C107" s="54"/>
      <c r="D107" s="55"/>
      <c r="F107" s="58"/>
      <c r="G107" s="59"/>
      <c r="H107" s="54"/>
      <c r="I107" s="55"/>
      <c r="K107" s="58"/>
      <c r="L107" s="59"/>
      <c r="M107" s="54"/>
      <c r="N107" s="55"/>
      <c r="P107" s="58"/>
      <c r="Q107" s="59"/>
      <c r="R107" s="54"/>
      <c r="S107" s="55"/>
    </row>
    <row r="108" spans="1:19" x14ac:dyDescent="0.25">
      <c r="A108" s="58"/>
      <c r="B108" s="59"/>
      <c r="C108" s="54"/>
      <c r="D108" s="55"/>
      <c r="F108" s="58"/>
      <c r="G108" s="59"/>
      <c r="H108" s="54"/>
      <c r="I108" s="55"/>
      <c r="K108" s="58"/>
      <c r="L108" s="59"/>
      <c r="M108" s="54"/>
      <c r="N108" s="55"/>
      <c r="P108" s="58"/>
      <c r="Q108" s="59"/>
      <c r="R108" s="54"/>
      <c r="S108" s="55"/>
    </row>
    <row r="109" spans="1:19" x14ac:dyDescent="0.25">
      <c r="A109" s="58"/>
      <c r="B109" s="59"/>
      <c r="C109" s="54"/>
      <c r="D109" s="55"/>
      <c r="F109" s="58"/>
      <c r="G109" s="59"/>
      <c r="H109" s="54"/>
      <c r="I109" s="55"/>
      <c r="K109" s="58"/>
      <c r="L109" s="59"/>
      <c r="M109" s="54"/>
      <c r="N109" s="55"/>
      <c r="P109" s="58"/>
      <c r="Q109" s="59"/>
      <c r="R109" s="54"/>
      <c r="S109" s="55"/>
    </row>
    <row r="110" spans="1:19" x14ac:dyDescent="0.25">
      <c r="A110" s="58"/>
      <c r="B110" s="59"/>
      <c r="C110" s="54"/>
      <c r="D110" s="55"/>
      <c r="F110" s="58"/>
      <c r="G110" s="59"/>
      <c r="H110" s="54"/>
      <c r="I110" s="55"/>
      <c r="K110" s="58"/>
      <c r="L110" s="59"/>
      <c r="M110" s="54"/>
      <c r="N110" s="55"/>
      <c r="P110" s="58"/>
      <c r="Q110" s="59"/>
      <c r="R110" s="54"/>
      <c r="S110" s="55"/>
    </row>
    <row r="111" spans="1:19" x14ac:dyDescent="0.25">
      <c r="A111" s="58"/>
      <c r="B111" s="59"/>
      <c r="C111" s="54"/>
      <c r="D111" s="55"/>
      <c r="F111" s="58"/>
      <c r="G111" s="59"/>
      <c r="H111" s="54"/>
      <c r="I111" s="55"/>
      <c r="K111" s="58"/>
      <c r="L111" s="59"/>
      <c r="M111" s="54"/>
      <c r="N111" s="55"/>
      <c r="P111" s="58"/>
      <c r="Q111" s="59"/>
      <c r="R111" s="54"/>
      <c r="S111" s="55"/>
    </row>
    <row r="112" spans="1:19" x14ac:dyDescent="0.25">
      <c r="A112" s="58"/>
      <c r="B112" s="59"/>
      <c r="C112" s="54"/>
      <c r="D112" s="55"/>
      <c r="F112" s="58"/>
      <c r="G112" s="59"/>
      <c r="H112" s="54"/>
      <c r="I112" s="55"/>
      <c r="K112" s="58"/>
      <c r="L112" s="59"/>
      <c r="M112" s="54"/>
      <c r="N112" s="55"/>
      <c r="P112" s="58"/>
      <c r="Q112" s="59"/>
      <c r="R112" s="54"/>
      <c r="S112" s="55"/>
    </row>
    <row r="113" spans="1:19" x14ac:dyDescent="0.25">
      <c r="A113" s="58"/>
      <c r="B113" s="59"/>
      <c r="C113" s="54"/>
      <c r="D113" s="55"/>
      <c r="F113" s="58"/>
      <c r="G113" s="59"/>
      <c r="H113" s="54"/>
      <c r="I113" s="55"/>
      <c r="K113" s="58"/>
      <c r="L113" s="59"/>
      <c r="M113" s="54"/>
      <c r="N113" s="55"/>
      <c r="P113" s="58"/>
      <c r="Q113" s="59"/>
      <c r="R113" s="54"/>
      <c r="S113" s="55"/>
    </row>
    <row r="114" spans="1:19" x14ac:dyDescent="0.25">
      <c r="A114" s="58"/>
      <c r="B114" s="59"/>
      <c r="C114" s="54"/>
      <c r="D114" s="55"/>
      <c r="F114" s="58"/>
      <c r="G114" s="59"/>
      <c r="H114" s="54"/>
      <c r="I114" s="55"/>
      <c r="K114" s="58"/>
      <c r="L114" s="59"/>
      <c r="M114" s="54"/>
      <c r="N114" s="55"/>
      <c r="P114" s="58"/>
      <c r="Q114" s="59"/>
      <c r="R114" s="54"/>
      <c r="S114" s="55"/>
    </row>
    <row r="115" spans="1:19" x14ac:dyDescent="0.25">
      <c r="A115" s="58"/>
      <c r="B115" s="59"/>
      <c r="C115" s="54"/>
      <c r="D115" s="55"/>
      <c r="F115" s="58"/>
      <c r="G115" s="59"/>
      <c r="H115" s="54"/>
      <c r="I115" s="55"/>
      <c r="K115" s="58"/>
      <c r="L115" s="59"/>
      <c r="M115" s="54"/>
      <c r="N115" s="55"/>
      <c r="P115" s="58"/>
      <c r="Q115" s="59"/>
      <c r="R115" s="54"/>
      <c r="S115" s="55"/>
    </row>
    <row r="116" spans="1:19" x14ac:dyDescent="0.25">
      <c r="A116" s="58"/>
      <c r="B116" s="59"/>
      <c r="C116" s="54"/>
      <c r="D116" s="55"/>
      <c r="F116" s="58"/>
      <c r="G116" s="59"/>
      <c r="H116" s="54"/>
      <c r="I116" s="55"/>
      <c r="K116" s="58"/>
      <c r="L116" s="59"/>
      <c r="M116" s="54"/>
      <c r="N116" s="55"/>
      <c r="P116" s="58"/>
      <c r="Q116" s="59"/>
      <c r="R116" s="54"/>
      <c r="S116" s="55"/>
    </row>
    <row r="117" spans="1:19" x14ac:dyDescent="0.25">
      <c r="A117" s="58"/>
      <c r="B117" s="59"/>
      <c r="C117" s="54"/>
      <c r="D117" s="55"/>
      <c r="F117" s="58"/>
      <c r="G117" s="59"/>
      <c r="H117" s="54"/>
      <c r="I117" s="55"/>
      <c r="K117" s="58"/>
      <c r="L117" s="59"/>
      <c r="M117" s="54"/>
      <c r="N117" s="55"/>
      <c r="P117" s="58"/>
      <c r="Q117" s="59"/>
      <c r="R117" s="54"/>
      <c r="S117" s="55"/>
    </row>
    <row r="118" spans="1:19" ht="15.75" thickBot="1" x14ac:dyDescent="0.3">
      <c r="A118" s="60"/>
      <c r="B118" s="61"/>
      <c r="C118" s="56"/>
      <c r="D118" s="57"/>
      <c r="F118" s="60"/>
      <c r="G118" s="61"/>
      <c r="H118" s="56"/>
      <c r="I118" s="57"/>
      <c r="K118" s="58"/>
      <c r="L118" s="59"/>
      <c r="M118" s="54"/>
      <c r="N118" s="55"/>
      <c r="P118" s="58"/>
      <c r="Q118" s="59"/>
      <c r="R118" s="54"/>
      <c r="S118" s="55"/>
    </row>
    <row r="119" spans="1:19" x14ac:dyDescent="0.25">
      <c r="K119" s="58"/>
      <c r="L119" s="59"/>
      <c r="M119" s="54"/>
      <c r="N119" s="55"/>
      <c r="P119" s="58"/>
      <c r="Q119" s="59"/>
      <c r="R119" s="54"/>
      <c r="S119" s="55"/>
    </row>
    <row r="120" spans="1:19" x14ac:dyDescent="0.25">
      <c r="K120" s="58"/>
      <c r="L120" s="59"/>
      <c r="M120" s="54"/>
      <c r="N120" s="55"/>
      <c r="P120" s="58"/>
      <c r="Q120" s="59"/>
      <c r="R120" s="54"/>
      <c r="S120" s="55"/>
    </row>
    <row r="121" spans="1:19" x14ac:dyDescent="0.25">
      <c r="K121" s="58"/>
      <c r="L121" s="59"/>
      <c r="M121" s="54"/>
      <c r="N121" s="55"/>
      <c r="P121" s="58"/>
      <c r="Q121" s="59"/>
      <c r="R121" s="54"/>
      <c r="S121" s="55"/>
    </row>
    <row r="122" spans="1:19" x14ac:dyDescent="0.25">
      <c r="K122" s="58"/>
      <c r="L122" s="59"/>
      <c r="M122" s="54"/>
      <c r="N122" s="55"/>
      <c r="P122" s="58"/>
      <c r="Q122" s="59"/>
      <c r="R122" s="54"/>
      <c r="S122" s="55"/>
    </row>
    <row r="123" spans="1:19" x14ac:dyDescent="0.25">
      <c r="K123" s="58"/>
      <c r="L123" s="59"/>
      <c r="M123" s="54"/>
      <c r="N123" s="55"/>
      <c r="P123" s="58"/>
      <c r="Q123" s="59"/>
      <c r="R123" s="54"/>
      <c r="S123" s="55"/>
    </row>
    <row r="124" spans="1:19" x14ac:dyDescent="0.25">
      <c r="K124" s="58"/>
      <c r="L124" s="59"/>
      <c r="M124" s="54"/>
      <c r="N124" s="55"/>
      <c r="P124" s="58"/>
      <c r="Q124" s="59"/>
      <c r="R124" s="54"/>
      <c r="S124" s="55"/>
    </row>
    <row r="125" spans="1:19" x14ac:dyDescent="0.25">
      <c r="K125" s="58"/>
      <c r="L125" s="59"/>
      <c r="M125" s="54"/>
      <c r="N125" s="55"/>
      <c r="P125" s="58"/>
      <c r="Q125" s="59"/>
      <c r="R125" s="54"/>
      <c r="S125" s="55"/>
    </row>
    <row r="126" spans="1:19" x14ac:dyDescent="0.25">
      <c r="K126" s="58"/>
      <c r="L126" s="59"/>
      <c r="M126" s="54"/>
      <c r="N126" s="55"/>
      <c r="P126" s="58"/>
      <c r="Q126" s="59"/>
      <c r="R126" s="54"/>
      <c r="S126" s="55"/>
    </row>
    <row r="127" spans="1:19" x14ac:dyDescent="0.25">
      <c r="K127" s="58"/>
      <c r="L127" s="59"/>
      <c r="M127" s="54"/>
      <c r="N127" s="55"/>
      <c r="P127" s="58"/>
      <c r="Q127" s="59"/>
      <c r="R127" s="54"/>
      <c r="S127" s="55"/>
    </row>
    <row r="128" spans="1:19" x14ac:dyDescent="0.25">
      <c r="K128" s="58"/>
      <c r="L128" s="59"/>
      <c r="M128" s="54"/>
      <c r="N128" s="55"/>
      <c r="P128" s="58"/>
      <c r="Q128" s="59"/>
      <c r="R128" s="54"/>
      <c r="S128" s="55"/>
    </row>
    <row r="129" spans="11:19" x14ac:dyDescent="0.25">
      <c r="K129" s="58"/>
      <c r="L129" s="59"/>
      <c r="M129" s="54"/>
      <c r="N129" s="55"/>
      <c r="P129" s="58"/>
      <c r="Q129" s="59"/>
      <c r="R129" s="54"/>
      <c r="S129" s="55"/>
    </row>
    <row r="130" spans="11:19" x14ac:dyDescent="0.25">
      <c r="K130" s="58"/>
      <c r="L130" s="59"/>
      <c r="M130" s="54"/>
      <c r="N130" s="55"/>
      <c r="P130" s="58"/>
      <c r="Q130" s="59"/>
      <c r="R130" s="54"/>
      <c r="S130" s="55"/>
    </row>
    <row r="131" spans="11:19" x14ac:dyDescent="0.25">
      <c r="K131" s="58"/>
      <c r="L131" s="59"/>
      <c r="M131" s="54"/>
      <c r="N131" s="55"/>
      <c r="P131" s="58"/>
      <c r="Q131" s="59"/>
      <c r="R131" s="54"/>
      <c r="S131" s="55"/>
    </row>
    <row r="132" spans="11:19" x14ac:dyDescent="0.25">
      <c r="K132" s="58"/>
      <c r="L132" s="59"/>
      <c r="M132" s="54"/>
      <c r="N132" s="55"/>
      <c r="P132" s="58"/>
      <c r="Q132" s="59"/>
      <c r="R132" s="54"/>
      <c r="S132" s="55"/>
    </row>
    <row r="133" spans="11:19" x14ac:dyDescent="0.25">
      <c r="K133" s="58"/>
      <c r="L133" s="59"/>
      <c r="M133" s="54"/>
      <c r="N133" s="55"/>
      <c r="P133" s="58"/>
      <c r="Q133" s="59"/>
      <c r="R133" s="54"/>
      <c r="S133" s="55"/>
    </row>
    <row r="134" spans="11:19" x14ac:dyDescent="0.25">
      <c r="K134" s="58"/>
      <c r="L134" s="59"/>
      <c r="M134" s="54"/>
      <c r="N134" s="55"/>
      <c r="P134" s="58"/>
      <c r="Q134" s="59"/>
      <c r="R134" s="54"/>
      <c r="S134" s="55"/>
    </row>
    <row r="135" spans="11:19" x14ac:dyDescent="0.25">
      <c r="K135" s="58"/>
      <c r="L135" s="59"/>
      <c r="M135" s="54"/>
      <c r="N135" s="55"/>
      <c r="P135" s="58"/>
      <c r="Q135" s="59"/>
      <c r="R135" s="54"/>
      <c r="S135" s="55"/>
    </row>
    <row r="136" spans="11:19" x14ac:dyDescent="0.25">
      <c r="K136" s="58"/>
      <c r="L136" s="59"/>
      <c r="M136" s="54"/>
      <c r="N136" s="55"/>
      <c r="P136" s="58"/>
      <c r="Q136" s="59"/>
      <c r="R136" s="54"/>
      <c r="S136" s="55"/>
    </row>
    <row r="137" spans="11:19" x14ac:dyDescent="0.25">
      <c r="K137" s="58"/>
      <c r="L137" s="59"/>
      <c r="M137" s="54"/>
      <c r="N137" s="55"/>
      <c r="P137" s="58"/>
      <c r="Q137" s="59"/>
      <c r="R137" s="54"/>
      <c r="S137" s="55"/>
    </row>
    <row r="138" spans="11:19" x14ac:dyDescent="0.25">
      <c r="K138" s="58"/>
      <c r="L138" s="59"/>
      <c r="M138" s="54"/>
      <c r="N138" s="55"/>
      <c r="P138" s="58"/>
      <c r="Q138" s="59"/>
      <c r="R138" s="54"/>
      <c r="S138" s="55"/>
    </row>
    <row r="139" spans="11:19" x14ac:dyDescent="0.25">
      <c r="K139" s="58"/>
      <c r="L139" s="59"/>
      <c r="M139" s="54"/>
      <c r="N139" s="55"/>
      <c r="P139" s="58"/>
      <c r="Q139" s="59"/>
      <c r="R139" s="54"/>
      <c r="S139" s="55"/>
    </row>
    <row r="140" spans="11:19" x14ac:dyDescent="0.25">
      <c r="K140" s="58"/>
      <c r="L140" s="59"/>
      <c r="M140" s="54"/>
      <c r="N140" s="55"/>
      <c r="P140" s="58"/>
      <c r="Q140" s="59"/>
      <c r="R140" s="54"/>
      <c r="S140" s="55"/>
    </row>
    <row r="141" spans="11:19" x14ac:dyDescent="0.25">
      <c r="K141" s="58"/>
      <c r="L141" s="59"/>
      <c r="M141" s="54"/>
      <c r="N141" s="55"/>
      <c r="P141" s="58"/>
      <c r="Q141" s="59"/>
      <c r="R141" s="54"/>
      <c r="S141" s="55"/>
    </row>
    <row r="142" spans="11:19" x14ac:dyDescent="0.25">
      <c r="K142" s="58"/>
      <c r="L142" s="59"/>
      <c r="M142" s="54"/>
      <c r="N142" s="55"/>
      <c r="P142" s="58"/>
      <c r="Q142" s="59"/>
      <c r="R142" s="54"/>
      <c r="S142" s="55"/>
    </row>
    <row r="143" spans="11:19" x14ac:dyDescent="0.25">
      <c r="K143" s="58"/>
      <c r="L143" s="59"/>
      <c r="M143" s="54"/>
      <c r="N143" s="55"/>
      <c r="P143" s="58"/>
      <c r="Q143" s="59"/>
      <c r="R143" s="54"/>
      <c r="S143" s="55"/>
    </row>
    <row r="144" spans="11:19" x14ac:dyDescent="0.25">
      <c r="K144" s="58"/>
      <c r="L144" s="59"/>
      <c r="M144" s="54"/>
      <c r="N144" s="55"/>
      <c r="P144" s="58"/>
      <c r="Q144" s="59"/>
      <c r="R144" s="54"/>
      <c r="S144" s="55"/>
    </row>
    <row r="145" spans="11:19" x14ac:dyDescent="0.25">
      <c r="K145" s="58"/>
      <c r="L145" s="59"/>
      <c r="M145" s="54"/>
      <c r="N145" s="55"/>
      <c r="P145" s="58"/>
      <c r="Q145" s="59"/>
      <c r="R145" s="54"/>
      <c r="S145" s="55"/>
    </row>
    <row r="146" spans="11:19" x14ac:dyDescent="0.25">
      <c r="K146" s="58"/>
      <c r="L146" s="59"/>
      <c r="M146" s="54"/>
      <c r="N146" s="55"/>
      <c r="P146" s="58"/>
      <c r="Q146" s="59"/>
      <c r="R146" s="54"/>
      <c r="S146" s="55"/>
    </row>
    <row r="147" spans="11:19" x14ac:dyDescent="0.25">
      <c r="K147" s="58"/>
      <c r="L147" s="59"/>
      <c r="M147" s="54"/>
      <c r="N147" s="55"/>
      <c r="P147" s="58"/>
      <c r="Q147" s="59"/>
      <c r="R147" s="54"/>
      <c r="S147" s="55"/>
    </row>
    <row r="148" spans="11:19" x14ac:dyDescent="0.25">
      <c r="K148" s="58"/>
      <c r="L148" s="59"/>
      <c r="M148" s="54"/>
      <c r="N148" s="55"/>
      <c r="P148" s="58"/>
      <c r="Q148" s="59"/>
      <c r="R148" s="54"/>
      <c r="S148" s="55"/>
    </row>
    <row r="149" spans="11:19" x14ac:dyDescent="0.25">
      <c r="K149" s="58"/>
      <c r="L149" s="59"/>
      <c r="M149" s="54"/>
      <c r="N149" s="55"/>
      <c r="P149" s="58"/>
      <c r="Q149" s="59"/>
      <c r="R149" s="54"/>
      <c r="S149" s="55"/>
    </row>
    <row r="150" spans="11:19" x14ac:dyDescent="0.25">
      <c r="K150" s="58"/>
      <c r="L150" s="59"/>
      <c r="M150" s="54"/>
      <c r="N150" s="55"/>
      <c r="P150" s="58"/>
      <c r="Q150" s="59"/>
      <c r="R150" s="54"/>
      <c r="S150" s="55"/>
    </row>
    <row r="151" spans="11:19" x14ac:dyDescent="0.25">
      <c r="K151" s="58"/>
      <c r="L151" s="59"/>
      <c r="M151" s="54"/>
      <c r="N151" s="55"/>
      <c r="P151" s="58"/>
      <c r="Q151" s="59"/>
      <c r="R151" s="54"/>
      <c r="S151" s="55"/>
    </row>
    <row r="152" spans="11:19" x14ac:dyDescent="0.25">
      <c r="K152" s="58"/>
      <c r="L152" s="59"/>
      <c r="M152" s="54"/>
      <c r="N152" s="55"/>
      <c r="P152" s="58"/>
      <c r="Q152" s="59"/>
      <c r="R152" s="54"/>
      <c r="S152" s="55"/>
    </row>
    <row r="153" spans="11:19" x14ac:dyDescent="0.25">
      <c r="K153" s="58"/>
      <c r="L153" s="59"/>
      <c r="M153" s="54"/>
      <c r="N153" s="55"/>
      <c r="P153" s="58"/>
      <c r="Q153" s="59"/>
      <c r="R153" s="54"/>
      <c r="S153" s="55"/>
    </row>
    <row r="154" spans="11:19" x14ac:dyDescent="0.25">
      <c r="K154" s="58"/>
      <c r="L154" s="59"/>
      <c r="M154" s="54"/>
      <c r="N154" s="55"/>
      <c r="P154" s="58"/>
      <c r="Q154" s="59"/>
      <c r="R154" s="54"/>
      <c r="S154" s="55"/>
    </row>
    <row r="155" spans="11:19" x14ac:dyDescent="0.25">
      <c r="K155" s="58"/>
      <c r="L155" s="59"/>
      <c r="M155" s="54"/>
      <c r="N155" s="55"/>
      <c r="P155" s="58"/>
      <c r="Q155" s="59"/>
      <c r="R155" s="54"/>
      <c r="S155" s="55"/>
    </row>
    <row r="156" spans="11:19" x14ac:dyDescent="0.25">
      <c r="K156" s="58"/>
      <c r="L156" s="59"/>
      <c r="M156" s="54"/>
      <c r="N156" s="55"/>
      <c r="P156" s="58"/>
      <c r="Q156" s="59"/>
      <c r="R156" s="54"/>
      <c r="S156" s="55"/>
    </row>
    <row r="157" spans="11:19" x14ac:dyDescent="0.25">
      <c r="K157" s="58"/>
      <c r="L157" s="59"/>
      <c r="M157" s="54"/>
      <c r="N157" s="55"/>
      <c r="P157" s="58"/>
      <c r="Q157" s="59"/>
      <c r="R157" s="54"/>
      <c r="S157" s="55"/>
    </row>
    <row r="158" spans="11:19" x14ac:dyDescent="0.25">
      <c r="K158" s="58"/>
      <c r="L158" s="59"/>
      <c r="M158" s="54"/>
      <c r="N158" s="55"/>
      <c r="P158" s="58"/>
      <c r="Q158" s="59"/>
      <c r="R158" s="54"/>
      <c r="S158" s="55"/>
    </row>
    <row r="159" spans="11:19" x14ac:dyDescent="0.25">
      <c r="K159" s="58"/>
      <c r="L159" s="59"/>
      <c r="M159" s="54"/>
      <c r="N159" s="55"/>
      <c r="P159" s="58"/>
      <c r="Q159" s="59"/>
      <c r="R159" s="54"/>
      <c r="S159" s="55"/>
    </row>
    <row r="160" spans="11:19" x14ac:dyDescent="0.25">
      <c r="K160" s="58"/>
      <c r="L160" s="59"/>
      <c r="M160" s="54"/>
      <c r="N160" s="55"/>
      <c r="P160" s="58"/>
      <c r="Q160" s="59"/>
      <c r="R160" s="54"/>
      <c r="S160" s="55"/>
    </row>
    <row r="161" spans="11:19" x14ac:dyDescent="0.25">
      <c r="K161" s="58"/>
      <c r="L161" s="59"/>
      <c r="M161" s="54"/>
      <c r="N161" s="55"/>
      <c r="P161" s="58"/>
      <c r="Q161" s="59"/>
      <c r="R161" s="54"/>
      <c r="S161" s="55"/>
    </row>
    <row r="162" spans="11:19" x14ac:dyDescent="0.25">
      <c r="K162" s="58"/>
      <c r="L162" s="59"/>
      <c r="M162" s="54"/>
      <c r="N162" s="55"/>
      <c r="P162" s="58"/>
      <c r="Q162" s="59"/>
      <c r="R162" s="54"/>
      <c r="S162" s="55"/>
    </row>
    <row r="163" spans="11:19" x14ac:dyDescent="0.25">
      <c r="K163" s="58"/>
      <c r="L163" s="59"/>
      <c r="M163" s="54"/>
      <c r="N163" s="55"/>
      <c r="P163" s="58"/>
      <c r="Q163" s="59"/>
      <c r="R163" s="54"/>
      <c r="S163" s="55"/>
    </row>
    <row r="164" spans="11:19" x14ac:dyDescent="0.25">
      <c r="K164" s="58"/>
      <c r="L164" s="59"/>
      <c r="M164" s="54"/>
      <c r="N164" s="55"/>
      <c r="P164" s="58"/>
      <c r="Q164" s="59"/>
      <c r="R164" s="54"/>
      <c r="S164" s="55"/>
    </row>
    <row r="165" spans="11:19" x14ac:dyDescent="0.25">
      <c r="K165" s="58"/>
      <c r="L165" s="59"/>
      <c r="M165" s="54"/>
      <c r="N165" s="55"/>
      <c r="P165" s="58"/>
      <c r="Q165" s="59"/>
      <c r="R165" s="54"/>
      <c r="S165" s="55"/>
    </row>
    <row r="166" spans="11:19" x14ac:dyDescent="0.25">
      <c r="K166" s="58"/>
      <c r="L166" s="59"/>
      <c r="M166" s="54"/>
      <c r="N166" s="55"/>
      <c r="P166" s="58"/>
      <c r="Q166" s="59"/>
      <c r="R166" s="54"/>
      <c r="S166" s="55"/>
    </row>
    <row r="167" spans="11:19" x14ac:dyDescent="0.25">
      <c r="K167" s="58"/>
      <c r="L167" s="59"/>
      <c r="M167" s="54"/>
      <c r="N167" s="55"/>
      <c r="P167" s="58"/>
      <c r="Q167" s="59"/>
      <c r="R167" s="54"/>
      <c r="S167" s="55"/>
    </row>
    <row r="168" spans="11:19" x14ac:dyDescent="0.25">
      <c r="K168" s="58"/>
      <c r="L168" s="59"/>
      <c r="M168" s="54"/>
      <c r="N168" s="55"/>
      <c r="P168" s="58"/>
      <c r="Q168" s="59"/>
      <c r="R168" s="54"/>
      <c r="S168" s="55"/>
    </row>
    <row r="169" spans="11:19" x14ac:dyDescent="0.25">
      <c r="K169" s="58"/>
      <c r="L169" s="59"/>
      <c r="M169" s="54"/>
      <c r="N169" s="55"/>
      <c r="P169" s="58"/>
      <c r="Q169" s="59"/>
      <c r="R169" s="54"/>
      <c r="S169" s="55"/>
    </row>
    <row r="170" spans="11:19" x14ac:dyDescent="0.25">
      <c r="K170" s="58"/>
      <c r="L170" s="59"/>
      <c r="M170" s="54"/>
      <c r="N170" s="55"/>
      <c r="P170" s="58"/>
      <c r="Q170" s="59"/>
      <c r="R170" s="54"/>
      <c r="S170" s="55"/>
    </row>
    <row r="171" spans="11:19" x14ac:dyDescent="0.25">
      <c r="K171" s="58"/>
      <c r="L171" s="59"/>
      <c r="M171" s="54"/>
      <c r="N171" s="55"/>
      <c r="P171" s="58"/>
      <c r="Q171" s="59"/>
      <c r="R171" s="54"/>
      <c r="S171" s="55"/>
    </row>
    <row r="172" spans="11:19" x14ac:dyDescent="0.25">
      <c r="K172" s="58"/>
      <c r="L172" s="59"/>
      <c r="M172" s="54"/>
      <c r="N172" s="55"/>
      <c r="P172" s="58"/>
      <c r="Q172" s="59"/>
      <c r="R172" s="54"/>
      <c r="S172" s="55"/>
    </row>
    <row r="173" spans="11:19" x14ac:dyDescent="0.25">
      <c r="K173" s="58"/>
      <c r="L173" s="59"/>
      <c r="M173" s="54"/>
      <c r="N173" s="55"/>
      <c r="P173" s="58"/>
      <c r="Q173" s="59"/>
      <c r="R173" s="54"/>
      <c r="S173" s="55"/>
    </row>
    <row r="174" spans="11:19" x14ac:dyDescent="0.25">
      <c r="K174" s="58"/>
      <c r="L174" s="59"/>
      <c r="M174" s="54"/>
      <c r="N174" s="55"/>
      <c r="P174" s="58"/>
      <c r="Q174" s="59"/>
      <c r="R174" s="54"/>
      <c r="S174" s="55"/>
    </row>
    <row r="175" spans="11:19" x14ac:dyDescent="0.25">
      <c r="K175" s="58"/>
      <c r="L175" s="59"/>
      <c r="M175" s="54"/>
      <c r="N175" s="55"/>
      <c r="P175" s="58"/>
      <c r="Q175" s="59"/>
      <c r="R175" s="54"/>
      <c r="S175" s="55"/>
    </row>
    <row r="176" spans="11:19" x14ac:dyDescent="0.25">
      <c r="K176" s="58"/>
      <c r="L176" s="59"/>
      <c r="M176" s="54"/>
      <c r="N176" s="55"/>
      <c r="P176" s="58"/>
      <c r="Q176" s="59"/>
      <c r="R176" s="54"/>
      <c r="S176" s="55"/>
    </row>
    <row r="177" spans="11:19" x14ac:dyDescent="0.25">
      <c r="K177" s="58"/>
      <c r="L177" s="59"/>
      <c r="M177" s="54"/>
      <c r="N177" s="55"/>
      <c r="P177" s="58"/>
      <c r="Q177" s="59"/>
      <c r="R177" s="54"/>
      <c r="S177" s="55"/>
    </row>
    <row r="178" spans="11:19" x14ac:dyDescent="0.25">
      <c r="K178" s="58"/>
      <c r="L178" s="59"/>
      <c r="M178" s="54"/>
      <c r="N178" s="55"/>
      <c r="P178" s="58"/>
      <c r="Q178" s="59"/>
      <c r="R178" s="54"/>
      <c r="S178" s="55"/>
    </row>
    <row r="179" spans="11:19" x14ac:dyDescent="0.25">
      <c r="K179" s="58"/>
      <c r="L179" s="59"/>
      <c r="M179" s="54"/>
      <c r="N179" s="55"/>
      <c r="P179" s="58"/>
      <c r="Q179" s="59"/>
      <c r="R179" s="54"/>
      <c r="S179" s="55"/>
    </row>
    <row r="180" spans="11:19" x14ac:dyDescent="0.25">
      <c r="K180" s="58"/>
      <c r="L180" s="59"/>
      <c r="M180" s="54"/>
      <c r="N180" s="55"/>
      <c r="P180" s="58"/>
      <c r="Q180" s="59"/>
      <c r="R180" s="54"/>
      <c r="S180" s="55"/>
    </row>
    <row r="181" spans="11:19" x14ac:dyDescent="0.25">
      <c r="K181" s="58"/>
      <c r="L181" s="59"/>
      <c r="M181" s="54"/>
      <c r="N181" s="55"/>
      <c r="P181" s="58"/>
      <c r="Q181" s="59"/>
      <c r="R181" s="54"/>
      <c r="S181" s="55"/>
    </row>
    <row r="182" spans="11:19" x14ac:dyDescent="0.25">
      <c r="K182" s="58"/>
      <c r="L182" s="59"/>
      <c r="M182" s="54"/>
      <c r="N182" s="55"/>
      <c r="P182" s="58"/>
      <c r="Q182" s="59"/>
      <c r="R182" s="54"/>
      <c r="S182" s="55"/>
    </row>
    <row r="183" spans="11:19" x14ac:dyDescent="0.25">
      <c r="K183" s="58"/>
      <c r="L183" s="59"/>
      <c r="M183" s="54"/>
      <c r="N183" s="55"/>
      <c r="P183" s="58"/>
      <c r="Q183" s="59"/>
      <c r="R183" s="54"/>
      <c r="S183" s="55"/>
    </row>
    <row r="184" spans="11:19" x14ac:dyDescent="0.25">
      <c r="K184" s="58"/>
      <c r="L184" s="59"/>
      <c r="M184" s="54"/>
      <c r="N184" s="55"/>
      <c r="P184" s="58"/>
      <c r="Q184" s="59"/>
      <c r="R184" s="54"/>
      <c r="S184" s="55"/>
    </row>
    <row r="185" spans="11:19" x14ac:dyDescent="0.25">
      <c r="K185" s="58"/>
      <c r="L185" s="59"/>
      <c r="M185" s="54"/>
      <c r="N185" s="55"/>
      <c r="P185" s="58"/>
      <c r="Q185" s="59"/>
      <c r="R185" s="54"/>
      <c r="S185" s="55"/>
    </row>
    <row r="186" spans="11:19" x14ac:dyDescent="0.25">
      <c r="K186" s="58"/>
      <c r="L186" s="59"/>
      <c r="M186" s="54"/>
      <c r="N186" s="55"/>
      <c r="P186" s="58"/>
      <c r="Q186" s="59"/>
      <c r="R186" s="54"/>
      <c r="S186" s="55"/>
    </row>
    <row r="187" spans="11:19" x14ac:dyDescent="0.25">
      <c r="K187" s="58"/>
      <c r="L187" s="59"/>
      <c r="M187" s="54"/>
      <c r="N187" s="55"/>
      <c r="P187" s="58"/>
      <c r="Q187" s="59"/>
      <c r="R187" s="54"/>
      <c r="S187" s="55"/>
    </row>
    <row r="188" spans="11:19" x14ac:dyDescent="0.25">
      <c r="K188" s="58"/>
      <c r="L188" s="59"/>
      <c r="M188" s="54"/>
      <c r="N188" s="55"/>
      <c r="P188" s="58"/>
      <c r="Q188" s="59"/>
      <c r="R188" s="54"/>
      <c r="S188" s="55"/>
    </row>
    <row r="189" spans="11:19" x14ac:dyDescent="0.25">
      <c r="K189" s="58"/>
      <c r="L189" s="59"/>
      <c r="M189" s="54"/>
      <c r="N189" s="55"/>
      <c r="P189" s="58"/>
      <c r="Q189" s="59"/>
      <c r="R189" s="54"/>
      <c r="S189" s="55"/>
    </row>
    <row r="190" spans="11:19" x14ac:dyDescent="0.25">
      <c r="K190" s="58"/>
      <c r="L190" s="59"/>
      <c r="M190" s="54"/>
      <c r="N190" s="55"/>
      <c r="P190" s="58"/>
      <c r="Q190" s="59"/>
      <c r="R190" s="54"/>
      <c r="S190" s="55"/>
    </row>
    <row r="191" spans="11:19" x14ac:dyDescent="0.25">
      <c r="K191" s="58"/>
      <c r="L191" s="59"/>
      <c r="M191" s="54"/>
      <c r="N191" s="55"/>
      <c r="P191" s="58"/>
      <c r="Q191" s="59"/>
      <c r="R191" s="54"/>
      <c r="S191" s="55"/>
    </row>
    <row r="192" spans="11:19" x14ac:dyDescent="0.25">
      <c r="K192" s="58"/>
      <c r="L192" s="59"/>
      <c r="M192" s="54"/>
      <c r="N192" s="55"/>
      <c r="P192" s="58"/>
      <c r="Q192" s="59"/>
      <c r="R192" s="54"/>
      <c r="S192" s="55"/>
    </row>
    <row r="193" spans="11:19" x14ac:dyDescent="0.25">
      <c r="K193" s="58"/>
      <c r="L193" s="59"/>
      <c r="M193" s="54"/>
      <c r="N193" s="55"/>
      <c r="P193" s="58"/>
      <c r="Q193" s="59"/>
      <c r="R193" s="54"/>
      <c r="S193" s="55"/>
    </row>
    <row r="194" spans="11:19" x14ac:dyDescent="0.25">
      <c r="K194" s="58"/>
      <c r="L194" s="59"/>
      <c r="M194" s="54"/>
      <c r="N194" s="55"/>
      <c r="P194" s="58"/>
      <c r="Q194" s="59"/>
      <c r="R194" s="54"/>
      <c r="S194" s="55"/>
    </row>
    <row r="195" spans="11:19" x14ac:dyDescent="0.25">
      <c r="K195" s="58"/>
      <c r="L195" s="59"/>
      <c r="M195" s="54"/>
      <c r="N195" s="55"/>
      <c r="P195" s="58"/>
      <c r="Q195" s="59"/>
      <c r="R195" s="54"/>
      <c r="S195" s="55"/>
    </row>
    <row r="196" spans="11:19" x14ac:dyDescent="0.25">
      <c r="K196" s="58"/>
      <c r="L196" s="59"/>
      <c r="M196" s="54"/>
      <c r="N196" s="55"/>
      <c r="P196" s="58"/>
      <c r="Q196" s="59"/>
      <c r="R196" s="54"/>
      <c r="S196" s="55"/>
    </row>
    <row r="197" spans="11:19" x14ac:dyDescent="0.25">
      <c r="K197" s="58"/>
      <c r="L197" s="59"/>
      <c r="M197" s="54"/>
      <c r="N197" s="55"/>
      <c r="P197" s="58"/>
      <c r="Q197" s="59"/>
      <c r="R197" s="54"/>
      <c r="S197" s="55"/>
    </row>
    <row r="198" spans="11:19" x14ac:dyDescent="0.25">
      <c r="K198" s="58"/>
      <c r="L198" s="59"/>
      <c r="M198" s="54"/>
      <c r="N198" s="55"/>
      <c r="P198" s="58"/>
      <c r="Q198" s="59"/>
      <c r="R198" s="54"/>
      <c r="S198" s="55"/>
    </row>
    <row r="199" spans="11:19" x14ac:dyDescent="0.25">
      <c r="K199" s="58"/>
      <c r="L199" s="59"/>
      <c r="M199" s="54"/>
      <c r="N199" s="55"/>
      <c r="P199" s="58"/>
      <c r="Q199" s="59"/>
      <c r="R199" s="54"/>
      <c r="S199" s="55"/>
    </row>
    <row r="200" spans="11:19" x14ac:dyDescent="0.25">
      <c r="K200" s="58"/>
      <c r="L200" s="59"/>
      <c r="M200" s="54"/>
      <c r="N200" s="55"/>
      <c r="P200" s="58"/>
      <c r="Q200" s="59"/>
      <c r="R200" s="54"/>
      <c r="S200" s="55"/>
    </row>
    <row r="201" spans="11:19" x14ac:dyDescent="0.25">
      <c r="K201" s="58"/>
      <c r="L201" s="59"/>
      <c r="M201" s="54"/>
      <c r="N201" s="55"/>
      <c r="P201" s="58"/>
      <c r="Q201" s="59"/>
      <c r="R201" s="54"/>
      <c r="S201" s="55"/>
    </row>
    <row r="202" spans="11:19" x14ac:dyDescent="0.25">
      <c r="K202" s="58"/>
      <c r="L202" s="59"/>
      <c r="M202" s="54"/>
      <c r="N202" s="55"/>
      <c r="P202" s="58"/>
      <c r="Q202" s="59"/>
      <c r="R202" s="54"/>
      <c r="S202" s="55"/>
    </row>
    <row r="203" spans="11:19" x14ac:dyDescent="0.25">
      <c r="K203" s="58"/>
      <c r="L203" s="59"/>
      <c r="M203" s="54"/>
      <c r="N203" s="55"/>
      <c r="P203" s="58"/>
      <c r="Q203" s="59"/>
      <c r="R203" s="54"/>
      <c r="S203" s="55"/>
    </row>
    <row r="204" spans="11:19" x14ac:dyDescent="0.25">
      <c r="K204" s="58"/>
      <c r="L204" s="59"/>
      <c r="M204" s="54"/>
      <c r="N204" s="55"/>
      <c r="P204" s="58"/>
      <c r="Q204" s="59"/>
      <c r="R204" s="54"/>
      <c r="S204" s="55"/>
    </row>
    <row r="205" spans="11:19" x14ac:dyDescent="0.25">
      <c r="K205" s="58"/>
      <c r="L205" s="59"/>
      <c r="M205" s="54"/>
      <c r="N205" s="55"/>
      <c r="P205" s="58"/>
      <c r="Q205" s="59"/>
      <c r="R205" s="54"/>
      <c r="S205" s="55"/>
    </row>
    <row r="206" spans="11:19" x14ac:dyDescent="0.25">
      <c r="K206" s="58"/>
      <c r="L206" s="59"/>
      <c r="M206" s="54"/>
      <c r="N206" s="55"/>
      <c r="P206" s="58"/>
      <c r="Q206" s="59"/>
      <c r="R206" s="54"/>
      <c r="S206" s="55"/>
    </row>
    <row r="207" spans="11:19" x14ac:dyDescent="0.25">
      <c r="K207" s="58"/>
      <c r="L207" s="59"/>
      <c r="M207" s="54"/>
      <c r="N207" s="55"/>
      <c r="P207" s="58"/>
      <c r="Q207" s="59"/>
      <c r="R207" s="54"/>
      <c r="S207" s="55"/>
    </row>
    <row r="208" spans="11:19" x14ac:dyDescent="0.25">
      <c r="K208" s="58"/>
      <c r="L208" s="59"/>
      <c r="M208" s="54"/>
      <c r="N208" s="55"/>
      <c r="P208" s="58"/>
      <c r="Q208" s="59"/>
      <c r="R208" s="54"/>
      <c r="S208" s="55"/>
    </row>
    <row r="209" spans="11:19" x14ac:dyDescent="0.25">
      <c r="K209" s="58"/>
      <c r="L209" s="59"/>
      <c r="M209" s="54"/>
      <c r="N209" s="55"/>
      <c r="P209" s="58"/>
      <c r="Q209" s="59"/>
      <c r="R209" s="54"/>
      <c r="S209" s="55"/>
    </row>
    <row r="210" spans="11:19" x14ac:dyDescent="0.25">
      <c r="K210" s="58"/>
      <c r="L210" s="59"/>
      <c r="M210" s="54"/>
      <c r="N210" s="55"/>
      <c r="P210" s="58"/>
      <c r="Q210" s="59"/>
      <c r="R210" s="54"/>
      <c r="S210" s="55"/>
    </row>
    <row r="211" spans="11:19" x14ac:dyDescent="0.25">
      <c r="K211" s="58"/>
      <c r="L211" s="59"/>
      <c r="M211" s="54"/>
      <c r="N211" s="55"/>
      <c r="P211" s="58"/>
      <c r="Q211" s="59"/>
      <c r="R211" s="54"/>
      <c r="S211" s="55"/>
    </row>
    <row r="212" spans="11:19" x14ac:dyDescent="0.25">
      <c r="K212" s="58"/>
      <c r="L212" s="59"/>
      <c r="M212" s="54"/>
      <c r="N212" s="55"/>
      <c r="P212" s="58"/>
      <c r="Q212" s="59"/>
      <c r="R212" s="54"/>
      <c r="S212" s="55"/>
    </row>
    <row r="213" spans="11:19" x14ac:dyDescent="0.25">
      <c r="K213" s="58"/>
      <c r="L213" s="59"/>
      <c r="M213" s="54"/>
      <c r="N213" s="55"/>
      <c r="P213" s="58"/>
      <c r="Q213" s="59"/>
      <c r="R213" s="54"/>
      <c r="S213" s="55"/>
    </row>
    <row r="214" spans="11:19" x14ac:dyDescent="0.25">
      <c r="K214" s="58"/>
      <c r="L214" s="59"/>
      <c r="M214" s="54"/>
      <c r="N214" s="55"/>
      <c r="P214" s="58"/>
      <c r="Q214" s="59"/>
      <c r="R214" s="54"/>
      <c r="S214" s="55"/>
    </row>
    <row r="215" spans="11:19" x14ac:dyDescent="0.25">
      <c r="K215" s="58"/>
      <c r="L215" s="59"/>
      <c r="M215" s="54"/>
      <c r="N215" s="55"/>
      <c r="P215" s="58"/>
      <c r="Q215" s="59"/>
      <c r="R215" s="54"/>
      <c r="S215" s="55"/>
    </row>
    <row r="216" spans="11:19" x14ac:dyDescent="0.25">
      <c r="K216" s="58"/>
      <c r="L216" s="59"/>
      <c r="M216" s="54"/>
      <c r="N216" s="55"/>
      <c r="P216" s="58"/>
      <c r="Q216" s="59"/>
      <c r="R216" s="54"/>
      <c r="S216" s="55"/>
    </row>
    <row r="217" spans="11:19" x14ac:dyDescent="0.25">
      <c r="K217" s="58"/>
      <c r="L217" s="59"/>
      <c r="M217" s="54"/>
      <c r="N217" s="55"/>
      <c r="P217" s="58"/>
      <c r="Q217" s="59"/>
      <c r="R217" s="54"/>
      <c r="S217" s="55"/>
    </row>
    <row r="218" spans="11:19" x14ac:dyDescent="0.25">
      <c r="K218" s="58"/>
      <c r="L218" s="59"/>
      <c r="M218" s="54"/>
      <c r="N218" s="55"/>
      <c r="P218" s="58"/>
      <c r="Q218" s="59"/>
      <c r="R218" s="54"/>
      <c r="S218" s="55"/>
    </row>
    <row r="219" spans="11:19" x14ac:dyDescent="0.25">
      <c r="K219" s="58"/>
      <c r="L219" s="59"/>
      <c r="M219" s="54"/>
      <c r="N219" s="55"/>
      <c r="P219" s="58"/>
      <c r="Q219" s="59"/>
      <c r="R219" s="54"/>
      <c r="S219" s="55"/>
    </row>
    <row r="220" spans="11:19" x14ac:dyDescent="0.25">
      <c r="K220" s="58"/>
      <c r="L220" s="59"/>
      <c r="M220" s="54"/>
      <c r="N220" s="55"/>
      <c r="P220" s="58"/>
      <c r="Q220" s="59"/>
      <c r="R220" s="54"/>
      <c r="S220" s="55"/>
    </row>
    <row r="221" spans="11:19" x14ac:dyDescent="0.25">
      <c r="K221" s="58"/>
      <c r="L221" s="59"/>
      <c r="M221" s="54"/>
      <c r="N221" s="55"/>
      <c r="P221" s="58"/>
      <c r="Q221" s="59"/>
      <c r="R221" s="54"/>
      <c r="S221" s="55"/>
    </row>
    <row r="222" spans="11:19" x14ac:dyDescent="0.25">
      <c r="K222" s="58"/>
      <c r="L222" s="59"/>
      <c r="M222" s="54"/>
      <c r="N222" s="55"/>
      <c r="P222" s="58"/>
      <c r="Q222" s="59"/>
      <c r="R222" s="54"/>
      <c r="S222" s="55"/>
    </row>
    <row r="223" spans="11:19" x14ac:dyDescent="0.25">
      <c r="K223" s="58"/>
      <c r="L223" s="59"/>
      <c r="M223" s="54"/>
      <c r="N223" s="55"/>
      <c r="P223" s="58"/>
      <c r="Q223" s="59"/>
      <c r="R223" s="54"/>
      <c r="S223" s="55"/>
    </row>
    <row r="224" spans="11:19" x14ac:dyDescent="0.25">
      <c r="K224" s="58"/>
      <c r="L224" s="59"/>
      <c r="M224" s="54"/>
      <c r="N224" s="55"/>
      <c r="P224" s="58"/>
      <c r="Q224" s="59"/>
      <c r="R224" s="54"/>
      <c r="S224" s="55"/>
    </row>
    <row r="225" spans="11:19" x14ac:dyDescent="0.25">
      <c r="K225" s="58"/>
      <c r="L225" s="59"/>
      <c r="M225" s="54"/>
      <c r="N225" s="55"/>
      <c r="P225" s="58"/>
      <c r="Q225" s="59"/>
      <c r="R225" s="54"/>
      <c r="S225" s="55"/>
    </row>
    <row r="226" spans="11:19" x14ac:dyDescent="0.25">
      <c r="K226" s="58"/>
      <c r="L226" s="59"/>
      <c r="M226" s="54"/>
      <c r="N226" s="55"/>
      <c r="P226" s="58"/>
      <c r="Q226" s="59"/>
      <c r="R226" s="54"/>
      <c r="S226" s="55"/>
    </row>
    <row r="227" spans="11:19" x14ac:dyDescent="0.25">
      <c r="K227" s="58"/>
      <c r="L227" s="59"/>
      <c r="M227" s="54"/>
      <c r="N227" s="55"/>
      <c r="P227" s="58"/>
      <c r="Q227" s="59"/>
      <c r="R227" s="54"/>
      <c r="S227" s="55"/>
    </row>
    <row r="228" spans="11:19" x14ac:dyDescent="0.25">
      <c r="K228" s="58"/>
      <c r="L228" s="59"/>
      <c r="M228" s="54"/>
      <c r="N228" s="55"/>
      <c r="P228" s="58"/>
      <c r="Q228" s="59"/>
      <c r="R228" s="54"/>
      <c r="S228" s="55"/>
    </row>
    <row r="229" spans="11:19" x14ac:dyDescent="0.25">
      <c r="K229" s="58"/>
      <c r="L229" s="59"/>
      <c r="M229" s="54"/>
      <c r="N229" s="55"/>
      <c r="P229" s="58"/>
      <c r="Q229" s="59"/>
      <c r="R229" s="54"/>
      <c r="S229" s="55"/>
    </row>
    <row r="230" spans="11:19" x14ac:dyDescent="0.25">
      <c r="K230" s="58"/>
      <c r="L230" s="59"/>
      <c r="M230" s="54"/>
      <c r="N230" s="55"/>
      <c r="P230" s="58"/>
      <c r="Q230" s="59"/>
      <c r="R230" s="54"/>
      <c r="S230" s="55"/>
    </row>
    <row r="231" spans="11:19" x14ac:dyDescent="0.25">
      <c r="K231" s="58"/>
      <c r="L231" s="59"/>
      <c r="M231" s="54"/>
      <c r="N231" s="55"/>
      <c r="P231" s="58"/>
      <c r="Q231" s="59"/>
      <c r="R231" s="54"/>
      <c r="S231" s="55"/>
    </row>
    <row r="232" spans="11:19" x14ac:dyDescent="0.25">
      <c r="K232" s="58"/>
      <c r="L232" s="59"/>
      <c r="M232" s="54"/>
      <c r="N232" s="55"/>
      <c r="P232" s="58"/>
      <c r="Q232" s="59"/>
      <c r="R232" s="54"/>
      <c r="S232" s="55"/>
    </row>
    <row r="233" spans="11:19" x14ac:dyDescent="0.25">
      <c r="K233" s="58"/>
      <c r="L233" s="59"/>
      <c r="M233" s="54"/>
      <c r="N233" s="55"/>
      <c r="P233" s="58"/>
      <c r="Q233" s="59"/>
      <c r="R233" s="54"/>
      <c r="S233" s="55"/>
    </row>
    <row r="234" spans="11:19" x14ac:dyDescent="0.25">
      <c r="K234" s="58"/>
      <c r="L234" s="59"/>
      <c r="M234" s="54"/>
      <c r="N234" s="55"/>
      <c r="P234" s="58"/>
      <c r="Q234" s="59"/>
      <c r="R234" s="54"/>
      <c r="S234" s="55"/>
    </row>
    <row r="235" spans="11:19" x14ac:dyDescent="0.25">
      <c r="K235" s="58"/>
      <c r="L235" s="59"/>
      <c r="M235" s="54"/>
      <c r="N235" s="55"/>
      <c r="P235" s="58"/>
      <c r="Q235" s="59"/>
      <c r="R235" s="54"/>
      <c r="S235" s="55"/>
    </row>
    <row r="236" spans="11:19" x14ac:dyDescent="0.25">
      <c r="K236" s="58"/>
      <c r="L236" s="59"/>
      <c r="M236" s="54"/>
      <c r="N236" s="55"/>
      <c r="P236" s="58"/>
      <c r="Q236" s="59"/>
      <c r="R236" s="54"/>
      <c r="S236" s="55"/>
    </row>
    <row r="237" spans="11:19" x14ac:dyDescent="0.25">
      <c r="K237" s="58"/>
      <c r="L237" s="59"/>
      <c r="M237" s="54"/>
      <c r="N237" s="55"/>
      <c r="P237" s="58"/>
      <c r="Q237" s="59"/>
      <c r="R237" s="54"/>
      <c r="S237" s="55"/>
    </row>
    <row r="238" spans="11:19" x14ac:dyDescent="0.25">
      <c r="K238" s="58"/>
      <c r="L238" s="59"/>
      <c r="M238" s="54"/>
      <c r="N238" s="55"/>
      <c r="P238" s="58"/>
      <c r="Q238" s="59"/>
      <c r="R238" s="54"/>
      <c r="S238" s="55"/>
    </row>
    <row r="239" spans="11:19" x14ac:dyDescent="0.25">
      <c r="K239" s="58"/>
      <c r="L239" s="59"/>
      <c r="M239" s="54"/>
      <c r="N239" s="55"/>
      <c r="P239" s="58"/>
      <c r="Q239" s="59"/>
      <c r="R239" s="54"/>
      <c r="S239" s="55"/>
    </row>
    <row r="240" spans="11:19" x14ac:dyDescent="0.25">
      <c r="K240" s="58"/>
      <c r="L240" s="59"/>
      <c r="M240" s="54"/>
      <c r="N240" s="55"/>
      <c r="P240" s="58"/>
      <c r="Q240" s="59"/>
      <c r="R240" s="54"/>
      <c r="S240" s="55"/>
    </row>
    <row r="241" spans="11:19" x14ac:dyDescent="0.25">
      <c r="K241" s="58"/>
      <c r="L241" s="59"/>
      <c r="M241" s="54"/>
      <c r="N241" s="55"/>
      <c r="P241" s="58"/>
      <c r="Q241" s="59"/>
      <c r="R241" s="54"/>
      <c r="S241" s="55"/>
    </row>
    <row r="242" spans="11:19" x14ac:dyDescent="0.25">
      <c r="K242" s="58"/>
      <c r="L242" s="59"/>
      <c r="M242" s="54"/>
      <c r="N242" s="55"/>
      <c r="P242" s="58"/>
      <c r="Q242" s="59"/>
      <c r="R242" s="54"/>
      <c r="S242" s="55"/>
    </row>
    <row r="243" spans="11:19" x14ac:dyDescent="0.25">
      <c r="K243" s="58"/>
      <c r="L243" s="59"/>
      <c r="M243" s="54"/>
      <c r="N243" s="55"/>
      <c r="P243" s="58"/>
      <c r="Q243" s="59"/>
      <c r="R243" s="54"/>
      <c r="S243" s="55"/>
    </row>
    <row r="244" spans="11:19" x14ac:dyDescent="0.25">
      <c r="K244" s="58"/>
      <c r="L244" s="59"/>
      <c r="M244" s="54"/>
      <c r="N244" s="55"/>
      <c r="P244" s="58"/>
      <c r="Q244" s="59"/>
      <c r="R244" s="54"/>
      <c r="S244" s="55"/>
    </row>
    <row r="245" spans="11:19" x14ac:dyDescent="0.25">
      <c r="K245" s="58"/>
      <c r="L245" s="59"/>
      <c r="M245" s="54"/>
      <c r="N245" s="55"/>
      <c r="P245" s="58"/>
      <c r="Q245" s="59"/>
      <c r="R245" s="54"/>
      <c r="S245" s="55"/>
    </row>
    <row r="246" spans="11:19" x14ac:dyDescent="0.25">
      <c r="K246" s="58"/>
      <c r="L246" s="59"/>
      <c r="M246" s="54"/>
      <c r="N246" s="55"/>
      <c r="P246" s="58"/>
      <c r="Q246" s="59"/>
      <c r="R246" s="54"/>
      <c r="S246" s="55"/>
    </row>
    <row r="247" spans="11:19" x14ac:dyDescent="0.25">
      <c r="K247" s="58"/>
      <c r="L247" s="59"/>
      <c r="M247" s="54"/>
      <c r="N247" s="55"/>
      <c r="P247" s="58"/>
      <c r="Q247" s="59"/>
      <c r="R247" s="54"/>
      <c r="S247" s="55"/>
    </row>
    <row r="248" spans="11:19" x14ac:dyDescent="0.25">
      <c r="K248" s="58"/>
      <c r="L248" s="59"/>
      <c r="M248" s="54"/>
      <c r="N248" s="55"/>
      <c r="P248" s="58"/>
      <c r="Q248" s="59"/>
      <c r="R248" s="54"/>
      <c r="S248" s="55"/>
    </row>
    <row r="249" spans="11:19" x14ac:dyDescent="0.25">
      <c r="K249" s="58"/>
      <c r="L249" s="59"/>
      <c r="M249" s="54"/>
      <c r="N249" s="55"/>
      <c r="P249" s="58"/>
      <c r="Q249" s="59"/>
      <c r="R249" s="54"/>
      <c r="S249" s="55"/>
    </row>
    <row r="250" spans="11:19" x14ac:dyDescent="0.25">
      <c r="K250" s="58"/>
      <c r="L250" s="59"/>
      <c r="M250" s="54"/>
      <c r="N250" s="55"/>
      <c r="P250" s="58"/>
      <c r="Q250" s="59"/>
      <c r="R250" s="54"/>
      <c r="S250" s="55"/>
    </row>
    <row r="251" spans="11:19" x14ac:dyDescent="0.25">
      <c r="K251" s="58"/>
      <c r="L251" s="59"/>
      <c r="M251" s="54"/>
      <c r="N251" s="55"/>
      <c r="P251" s="58"/>
      <c r="Q251" s="59"/>
      <c r="R251" s="54"/>
      <c r="S251" s="55"/>
    </row>
    <row r="252" spans="11:19" x14ac:dyDescent="0.25">
      <c r="K252" s="58"/>
      <c r="L252" s="59"/>
      <c r="M252" s="54"/>
      <c r="N252" s="55"/>
      <c r="P252" s="58"/>
      <c r="Q252" s="59"/>
      <c r="R252" s="54"/>
      <c r="S252" s="55"/>
    </row>
    <row r="253" spans="11:19" x14ac:dyDescent="0.25">
      <c r="K253" s="58"/>
      <c r="L253" s="59"/>
      <c r="M253" s="54"/>
      <c r="N253" s="55"/>
      <c r="P253" s="58"/>
      <c r="Q253" s="59"/>
      <c r="R253" s="54"/>
      <c r="S253" s="55"/>
    </row>
    <row r="254" spans="11:19" x14ac:dyDescent="0.25">
      <c r="K254" s="58"/>
      <c r="L254" s="59"/>
      <c r="M254" s="54"/>
      <c r="N254" s="55"/>
      <c r="P254" s="58"/>
      <c r="Q254" s="59"/>
      <c r="R254" s="54"/>
      <c r="S254" s="55"/>
    </row>
    <row r="255" spans="11:19" x14ac:dyDescent="0.25">
      <c r="K255" s="58"/>
      <c r="L255" s="59"/>
      <c r="M255" s="54"/>
      <c r="N255" s="55"/>
      <c r="P255" s="58"/>
      <c r="Q255" s="59"/>
      <c r="R255" s="54"/>
      <c r="S255" s="55"/>
    </row>
    <row r="256" spans="11:19" x14ac:dyDescent="0.25">
      <c r="K256" s="58"/>
      <c r="L256" s="59"/>
      <c r="M256" s="54"/>
      <c r="N256" s="55"/>
      <c r="P256" s="58"/>
      <c r="Q256" s="59"/>
      <c r="R256" s="54"/>
      <c r="S256" s="55"/>
    </row>
    <row r="257" spans="11:19" x14ac:dyDescent="0.25">
      <c r="K257" s="58"/>
      <c r="L257" s="59"/>
      <c r="M257" s="54"/>
      <c r="N257" s="55"/>
      <c r="P257" s="58"/>
      <c r="Q257" s="59"/>
      <c r="R257" s="54"/>
      <c r="S257" s="55"/>
    </row>
    <row r="258" spans="11:19" x14ac:dyDescent="0.25">
      <c r="K258" s="58"/>
      <c r="L258" s="59"/>
      <c r="M258" s="54"/>
      <c r="N258" s="55"/>
      <c r="P258" s="58"/>
      <c r="Q258" s="59"/>
      <c r="R258" s="54"/>
      <c r="S258" s="55"/>
    </row>
    <row r="259" spans="11:19" x14ac:dyDescent="0.25">
      <c r="K259" s="58"/>
      <c r="L259" s="59"/>
      <c r="M259" s="54"/>
      <c r="N259" s="55"/>
      <c r="P259" s="58"/>
      <c r="Q259" s="59"/>
      <c r="R259" s="54"/>
      <c r="S259" s="55"/>
    </row>
    <row r="260" spans="11:19" x14ac:dyDescent="0.25">
      <c r="K260" s="58"/>
      <c r="L260" s="59"/>
      <c r="M260" s="54"/>
      <c r="N260" s="55"/>
      <c r="P260" s="58"/>
      <c r="Q260" s="59"/>
      <c r="R260" s="54"/>
      <c r="S260" s="55"/>
    </row>
    <row r="261" spans="11:19" x14ac:dyDescent="0.25">
      <c r="K261" s="58"/>
      <c r="L261" s="59"/>
      <c r="M261" s="54"/>
      <c r="N261" s="55"/>
      <c r="P261" s="58"/>
      <c r="Q261" s="59"/>
      <c r="R261" s="54"/>
      <c r="S261" s="55"/>
    </row>
    <row r="262" spans="11:19" x14ac:dyDescent="0.25">
      <c r="K262" s="58"/>
      <c r="L262" s="59"/>
      <c r="M262" s="54"/>
      <c r="N262" s="55"/>
      <c r="P262" s="58"/>
      <c r="Q262" s="59"/>
      <c r="R262" s="54"/>
      <c r="S262" s="55"/>
    </row>
    <row r="263" spans="11:19" x14ac:dyDescent="0.25">
      <c r="K263" s="58"/>
      <c r="L263" s="59"/>
      <c r="M263" s="54"/>
      <c r="N263" s="55"/>
      <c r="P263" s="58"/>
      <c r="Q263" s="59"/>
      <c r="R263" s="54"/>
      <c r="S263" s="55"/>
    </row>
    <row r="264" spans="11:19" x14ac:dyDescent="0.25">
      <c r="K264" s="58"/>
      <c r="L264" s="59"/>
      <c r="M264" s="54"/>
      <c r="N264" s="55"/>
      <c r="P264" s="58"/>
      <c r="Q264" s="59"/>
      <c r="R264" s="54"/>
      <c r="S264" s="55"/>
    </row>
    <row r="265" spans="11:19" x14ac:dyDescent="0.25">
      <c r="K265" s="58"/>
      <c r="L265" s="59"/>
      <c r="M265" s="54"/>
      <c r="N265" s="55"/>
      <c r="P265" s="58"/>
      <c r="Q265" s="59"/>
      <c r="R265" s="54"/>
      <c r="S265" s="55"/>
    </row>
    <row r="266" spans="11:19" x14ac:dyDescent="0.25">
      <c r="K266" s="58"/>
      <c r="L266" s="59"/>
      <c r="M266" s="54"/>
      <c r="N266" s="55"/>
      <c r="P266" s="58"/>
      <c r="Q266" s="59"/>
      <c r="R266" s="54"/>
      <c r="S266" s="55"/>
    </row>
    <row r="267" spans="11:19" x14ac:dyDescent="0.25">
      <c r="K267" s="58"/>
      <c r="L267" s="59"/>
      <c r="M267" s="54"/>
      <c r="N267" s="55"/>
      <c r="P267" s="58"/>
      <c r="Q267" s="59"/>
      <c r="R267" s="54"/>
      <c r="S267" s="55"/>
    </row>
    <row r="268" spans="11:19" x14ac:dyDescent="0.25">
      <c r="K268" s="58"/>
      <c r="L268" s="59"/>
      <c r="M268" s="54"/>
      <c r="N268" s="55"/>
      <c r="P268" s="58"/>
      <c r="Q268" s="59"/>
      <c r="R268" s="54"/>
      <c r="S268" s="55"/>
    </row>
    <row r="269" spans="11:19" x14ac:dyDescent="0.25">
      <c r="K269" s="58"/>
      <c r="L269" s="59"/>
      <c r="M269" s="54"/>
      <c r="N269" s="55"/>
      <c r="P269" s="58"/>
      <c r="Q269" s="59"/>
      <c r="R269" s="54"/>
      <c r="S269" s="55"/>
    </row>
    <row r="270" spans="11:19" x14ac:dyDescent="0.25">
      <c r="K270" s="58"/>
      <c r="L270" s="59"/>
      <c r="M270" s="54"/>
      <c r="N270" s="55"/>
      <c r="P270" s="58"/>
      <c r="Q270" s="59"/>
      <c r="R270" s="54"/>
      <c r="S270" s="55"/>
    </row>
    <row r="271" spans="11:19" x14ac:dyDescent="0.25">
      <c r="K271" s="58"/>
      <c r="L271" s="59"/>
      <c r="M271" s="54"/>
      <c r="N271" s="55"/>
      <c r="P271" s="58"/>
      <c r="Q271" s="59"/>
      <c r="R271" s="54"/>
      <c r="S271" s="55"/>
    </row>
    <row r="272" spans="11:19" x14ac:dyDescent="0.25">
      <c r="K272" s="58"/>
      <c r="L272" s="59"/>
      <c r="M272" s="54"/>
      <c r="N272" s="55"/>
      <c r="P272" s="58"/>
      <c r="Q272" s="59"/>
      <c r="R272" s="54"/>
      <c r="S272" s="55"/>
    </row>
    <row r="273" spans="11:19" x14ac:dyDescent="0.25">
      <c r="K273" s="58"/>
      <c r="L273" s="59"/>
      <c r="M273" s="54"/>
      <c r="N273" s="55"/>
      <c r="P273" s="58"/>
      <c r="Q273" s="59"/>
      <c r="R273" s="54"/>
      <c r="S273" s="55"/>
    </row>
    <row r="274" spans="11:19" x14ac:dyDescent="0.25">
      <c r="K274" s="58"/>
      <c r="L274" s="59"/>
      <c r="M274" s="54"/>
      <c r="N274" s="55"/>
      <c r="P274" s="58"/>
      <c r="Q274" s="59"/>
      <c r="R274" s="54"/>
      <c r="S274" s="55"/>
    </row>
    <row r="275" spans="11:19" x14ac:dyDescent="0.25">
      <c r="K275" s="58"/>
      <c r="L275" s="59"/>
      <c r="M275" s="54"/>
      <c r="N275" s="55"/>
      <c r="P275" s="58"/>
      <c r="Q275" s="59"/>
      <c r="R275" s="54"/>
      <c r="S275" s="55"/>
    </row>
    <row r="276" spans="11:19" x14ac:dyDescent="0.25">
      <c r="K276" s="58"/>
      <c r="L276" s="59"/>
      <c r="M276" s="54"/>
      <c r="N276" s="55"/>
      <c r="P276" s="58"/>
      <c r="Q276" s="59"/>
      <c r="R276" s="54"/>
      <c r="S276" s="55"/>
    </row>
    <row r="277" spans="11:19" x14ac:dyDescent="0.25">
      <c r="K277" s="58"/>
      <c r="L277" s="59"/>
      <c r="M277" s="54"/>
      <c r="N277" s="55"/>
      <c r="P277" s="58"/>
      <c r="Q277" s="59"/>
      <c r="R277" s="54"/>
      <c r="S277" s="55"/>
    </row>
    <row r="278" spans="11:19" x14ac:dyDescent="0.25">
      <c r="K278" s="58"/>
      <c r="L278" s="59"/>
      <c r="M278" s="54"/>
      <c r="N278" s="55"/>
      <c r="P278" s="58"/>
      <c r="Q278" s="59"/>
      <c r="R278" s="54"/>
      <c r="S278" s="55"/>
    </row>
    <row r="279" spans="11:19" x14ac:dyDescent="0.25">
      <c r="K279" s="58"/>
      <c r="L279" s="59"/>
      <c r="M279" s="54"/>
      <c r="N279" s="55"/>
      <c r="P279" s="58"/>
      <c r="Q279" s="59"/>
      <c r="R279" s="54"/>
      <c r="S279" s="55"/>
    </row>
    <row r="280" spans="11:19" x14ac:dyDescent="0.25">
      <c r="K280" s="58"/>
      <c r="L280" s="59"/>
      <c r="M280" s="54"/>
      <c r="N280" s="55"/>
      <c r="P280" s="58"/>
      <c r="Q280" s="59"/>
      <c r="R280" s="54"/>
      <c r="S280" s="55"/>
    </row>
    <row r="281" spans="11:19" x14ac:dyDescent="0.25">
      <c r="K281" s="58"/>
      <c r="L281" s="59"/>
      <c r="M281" s="54"/>
      <c r="N281" s="55"/>
      <c r="P281" s="58"/>
      <c r="Q281" s="59"/>
      <c r="R281" s="54"/>
      <c r="S281" s="55"/>
    </row>
    <row r="282" spans="11:19" x14ac:dyDescent="0.25">
      <c r="K282" s="58"/>
      <c r="L282" s="59"/>
      <c r="M282" s="54"/>
      <c r="N282" s="55"/>
      <c r="P282" s="58"/>
      <c r="Q282" s="59"/>
      <c r="R282" s="54"/>
      <c r="S282" s="55"/>
    </row>
    <row r="283" spans="11:19" x14ac:dyDescent="0.25">
      <c r="K283" s="58"/>
      <c r="L283" s="59"/>
      <c r="M283" s="54"/>
      <c r="N283" s="55"/>
      <c r="P283" s="58"/>
      <c r="Q283" s="59"/>
      <c r="R283" s="54"/>
      <c r="S283" s="55"/>
    </row>
    <row r="284" spans="11:19" x14ac:dyDescent="0.25">
      <c r="K284" s="58"/>
      <c r="L284" s="59"/>
      <c r="M284" s="54"/>
      <c r="N284" s="55"/>
      <c r="P284" s="58"/>
      <c r="Q284" s="59"/>
      <c r="R284" s="54"/>
      <c r="S284" s="55"/>
    </row>
    <row r="285" spans="11:19" x14ac:dyDescent="0.25">
      <c r="K285" s="58"/>
      <c r="L285" s="59"/>
      <c r="M285" s="54"/>
      <c r="N285" s="55"/>
      <c r="P285" s="58"/>
      <c r="Q285" s="59"/>
      <c r="R285" s="54"/>
      <c r="S285" s="55"/>
    </row>
    <row r="286" spans="11:19" x14ac:dyDescent="0.25">
      <c r="K286" s="58"/>
      <c r="L286" s="59"/>
      <c r="M286" s="54"/>
      <c r="N286" s="55"/>
      <c r="P286" s="58"/>
      <c r="Q286" s="59"/>
      <c r="R286" s="54"/>
      <c r="S286" s="55"/>
    </row>
    <row r="287" spans="11:19" x14ac:dyDescent="0.25">
      <c r="K287" s="58"/>
      <c r="L287" s="59"/>
      <c r="M287" s="54"/>
      <c r="N287" s="55"/>
      <c r="P287" s="58"/>
      <c r="Q287" s="59"/>
      <c r="R287" s="54"/>
      <c r="S287" s="55"/>
    </row>
    <row r="288" spans="11:19" x14ac:dyDescent="0.25">
      <c r="K288" s="58"/>
      <c r="L288" s="59"/>
      <c r="M288" s="54"/>
      <c r="N288" s="55"/>
      <c r="P288" s="58"/>
      <c r="Q288" s="59"/>
      <c r="R288" s="54"/>
      <c r="S288" s="55"/>
    </row>
    <row r="289" spans="11:19" x14ac:dyDescent="0.25">
      <c r="K289" s="58"/>
      <c r="L289" s="59"/>
      <c r="M289" s="54"/>
      <c r="N289" s="55"/>
      <c r="P289" s="58"/>
      <c r="Q289" s="59"/>
      <c r="R289" s="54"/>
      <c r="S289" s="55"/>
    </row>
    <row r="290" spans="11:19" x14ac:dyDescent="0.25">
      <c r="K290" s="58"/>
      <c r="L290" s="59"/>
      <c r="M290" s="54"/>
      <c r="N290" s="55"/>
      <c r="P290" s="58"/>
      <c r="Q290" s="59"/>
      <c r="R290" s="54"/>
      <c r="S290" s="55"/>
    </row>
    <row r="291" spans="11:19" x14ac:dyDescent="0.25">
      <c r="K291" s="58"/>
      <c r="L291" s="59"/>
      <c r="M291" s="54"/>
      <c r="N291" s="55"/>
      <c r="P291" s="58"/>
      <c r="Q291" s="59"/>
      <c r="R291" s="54"/>
      <c r="S291" s="55"/>
    </row>
    <row r="292" spans="11:19" x14ac:dyDescent="0.25">
      <c r="K292" s="58"/>
      <c r="L292" s="59"/>
      <c r="M292" s="54"/>
      <c r="N292" s="55"/>
      <c r="P292" s="58"/>
      <c r="Q292" s="59"/>
      <c r="R292" s="54"/>
      <c r="S292" s="55"/>
    </row>
    <row r="293" spans="11:19" x14ac:dyDescent="0.25">
      <c r="K293" s="58"/>
      <c r="L293" s="59"/>
      <c r="M293" s="54"/>
      <c r="N293" s="55"/>
      <c r="P293" s="58"/>
      <c r="Q293" s="59"/>
      <c r="R293" s="54"/>
      <c r="S293" s="55"/>
    </row>
    <row r="294" spans="11:19" x14ac:dyDescent="0.25">
      <c r="K294" s="58"/>
      <c r="L294" s="59"/>
      <c r="M294" s="54"/>
      <c r="N294" s="55"/>
      <c r="P294" s="58"/>
      <c r="Q294" s="59"/>
      <c r="R294" s="54"/>
      <c r="S294" s="55"/>
    </row>
    <row r="295" spans="11:19" x14ac:dyDescent="0.25">
      <c r="K295" s="58"/>
      <c r="L295" s="59"/>
      <c r="M295" s="54"/>
      <c r="N295" s="55"/>
      <c r="P295" s="58"/>
      <c r="Q295" s="59"/>
      <c r="R295" s="54"/>
      <c r="S295" s="55"/>
    </row>
    <row r="296" spans="11:19" x14ac:dyDescent="0.25">
      <c r="K296" s="58"/>
      <c r="L296" s="59"/>
      <c r="M296" s="54"/>
      <c r="N296" s="55"/>
      <c r="P296" s="58"/>
      <c r="Q296" s="59"/>
      <c r="R296" s="54"/>
      <c r="S296" s="55"/>
    </row>
    <row r="297" spans="11:19" x14ac:dyDescent="0.25">
      <c r="K297" s="58"/>
      <c r="L297" s="59"/>
      <c r="M297" s="54"/>
      <c r="N297" s="55"/>
      <c r="P297" s="58"/>
      <c r="Q297" s="59"/>
      <c r="R297" s="54"/>
      <c r="S297" s="55"/>
    </row>
    <row r="298" spans="11:19" x14ac:dyDescent="0.25">
      <c r="K298" s="58"/>
      <c r="L298" s="59"/>
      <c r="M298" s="54"/>
      <c r="N298" s="55"/>
      <c r="P298" s="58"/>
      <c r="Q298" s="59"/>
      <c r="R298" s="54"/>
      <c r="S298" s="55"/>
    </row>
    <row r="299" spans="11:19" x14ac:dyDescent="0.25">
      <c r="K299" s="58"/>
      <c r="L299" s="59"/>
      <c r="M299" s="54"/>
      <c r="N299" s="55"/>
      <c r="P299" s="58"/>
      <c r="Q299" s="59"/>
      <c r="R299" s="54"/>
      <c r="S299" s="55"/>
    </row>
    <row r="300" spans="11:19" x14ac:dyDescent="0.25">
      <c r="K300" s="58"/>
      <c r="L300" s="59"/>
      <c r="M300" s="54"/>
      <c r="N300" s="55"/>
      <c r="P300" s="58"/>
      <c r="Q300" s="59"/>
      <c r="R300" s="54"/>
      <c r="S300" s="55"/>
    </row>
    <row r="301" spans="11:19" x14ac:dyDescent="0.25">
      <c r="K301" s="58"/>
      <c r="L301" s="59"/>
      <c r="M301" s="54"/>
      <c r="N301" s="55"/>
      <c r="P301" s="58"/>
      <c r="Q301" s="59"/>
      <c r="R301" s="54"/>
      <c r="S301" s="55"/>
    </row>
    <row r="302" spans="11:19" x14ac:dyDescent="0.25">
      <c r="K302" s="58"/>
      <c r="L302" s="59"/>
      <c r="M302" s="54"/>
      <c r="N302" s="55"/>
      <c r="P302" s="58"/>
      <c r="Q302" s="59"/>
      <c r="R302" s="54"/>
      <c r="S302" s="55"/>
    </row>
    <row r="303" spans="11:19" x14ac:dyDescent="0.25">
      <c r="K303" s="58"/>
      <c r="L303" s="59"/>
      <c r="M303" s="54"/>
      <c r="N303" s="55"/>
      <c r="P303" s="58"/>
      <c r="Q303" s="59"/>
      <c r="R303" s="54"/>
      <c r="S303" s="55"/>
    </row>
    <row r="304" spans="11:19" x14ac:dyDescent="0.25">
      <c r="K304" s="58"/>
      <c r="L304" s="59"/>
      <c r="M304" s="54"/>
      <c r="N304" s="55"/>
      <c r="P304" s="58"/>
      <c r="Q304" s="59"/>
      <c r="R304" s="54"/>
      <c r="S304" s="55"/>
    </row>
    <row r="305" spans="11:19" x14ac:dyDescent="0.25">
      <c r="K305" s="58"/>
      <c r="L305" s="59"/>
      <c r="M305" s="54"/>
      <c r="N305" s="55"/>
      <c r="P305" s="58"/>
      <c r="Q305" s="59"/>
      <c r="R305" s="54"/>
      <c r="S305" s="55"/>
    </row>
    <row r="306" spans="11:19" x14ac:dyDescent="0.25">
      <c r="K306" s="58"/>
      <c r="L306" s="59"/>
      <c r="M306" s="54"/>
      <c r="N306" s="55"/>
      <c r="P306" s="58"/>
      <c r="Q306" s="59"/>
      <c r="R306" s="54"/>
      <c r="S306" s="55"/>
    </row>
    <row r="307" spans="11:19" x14ac:dyDescent="0.25">
      <c r="K307" s="58"/>
      <c r="L307" s="59"/>
      <c r="M307" s="54"/>
      <c r="N307" s="55"/>
      <c r="P307" s="58"/>
      <c r="Q307" s="59"/>
      <c r="R307" s="54"/>
      <c r="S307" s="55"/>
    </row>
    <row r="308" spans="11:19" x14ac:dyDescent="0.25">
      <c r="K308" s="58"/>
      <c r="L308" s="59"/>
      <c r="M308" s="54"/>
      <c r="N308" s="55"/>
      <c r="P308" s="58"/>
      <c r="Q308" s="59"/>
      <c r="R308" s="54"/>
      <c r="S308" s="55"/>
    </row>
    <row r="309" spans="11:19" x14ac:dyDescent="0.25">
      <c r="K309" s="58"/>
      <c r="L309" s="59"/>
      <c r="M309" s="54"/>
      <c r="N309" s="55"/>
      <c r="P309" s="58"/>
      <c r="Q309" s="59"/>
      <c r="R309" s="54"/>
      <c r="S309" s="55"/>
    </row>
    <row r="310" spans="11:19" x14ac:dyDescent="0.25">
      <c r="K310" s="58"/>
      <c r="L310" s="59"/>
      <c r="M310" s="54"/>
      <c r="N310" s="55"/>
      <c r="P310" s="58"/>
      <c r="Q310" s="59"/>
      <c r="R310" s="54"/>
      <c r="S310" s="55"/>
    </row>
    <row r="311" spans="11:19" x14ac:dyDescent="0.25">
      <c r="K311" s="58"/>
      <c r="L311" s="59"/>
      <c r="M311" s="54"/>
      <c r="N311" s="55"/>
      <c r="P311" s="58"/>
      <c r="Q311" s="59"/>
      <c r="R311" s="54"/>
      <c r="S311" s="55"/>
    </row>
    <row r="312" spans="11:19" x14ac:dyDescent="0.25">
      <c r="K312" s="58"/>
      <c r="L312" s="59"/>
      <c r="M312" s="54"/>
      <c r="N312" s="55"/>
      <c r="P312" s="58"/>
      <c r="Q312" s="59"/>
      <c r="R312" s="54"/>
      <c r="S312" s="55"/>
    </row>
    <row r="313" spans="11:19" x14ac:dyDescent="0.25">
      <c r="K313" s="58"/>
      <c r="L313" s="59"/>
      <c r="M313" s="54"/>
      <c r="N313" s="55"/>
      <c r="P313" s="58"/>
      <c r="Q313" s="59"/>
      <c r="R313" s="54"/>
      <c r="S313" s="55"/>
    </row>
    <row r="314" spans="11:19" x14ac:dyDescent="0.25">
      <c r="K314" s="58"/>
      <c r="L314" s="59"/>
      <c r="M314" s="54"/>
      <c r="N314" s="55"/>
      <c r="P314" s="58"/>
      <c r="Q314" s="59"/>
      <c r="R314" s="54"/>
      <c r="S314" s="55"/>
    </row>
    <row r="315" spans="11:19" x14ac:dyDescent="0.25">
      <c r="K315" s="58"/>
      <c r="L315" s="59"/>
      <c r="M315" s="54"/>
      <c r="N315" s="55"/>
      <c r="P315" s="58"/>
      <c r="Q315" s="59"/>
      <c r="R315" s="54"/>
      <c r="S315" s="55"/>
    </row>
    <row r="316" spans="11:19" x14ac:dyDescent="0.25">
      <c r="K316" s="58"/>
      <c r="L316" s="59"/>
      <c r="M316" s="54"/>
      <c r="N316" s="55"/>
      <c r="P316" s="58"/>
      <c r="Q316" s="59"/>
      <c r="R316" s="54"/>
      <c r="S316" s="55"/>
    </row>
    <row r="317" spans="11:19" x14ac:dyDescent="0.25">
      <c r="K317" s="58"/>
      <c r="L317" s="59"/>
      <c r="M317" s="54"/>
      <c r="N317" s="55"/>
      <c r="P317" s="58"/>
      <c r="Q317" s="59"/>
      <c r="R317" s="54"/>
      <c r="S317" s="55"/>
    </row>
    <row r="318" spans="11:19" x14ac:dyDescent="0.25">
      <c r="K318" s="58"/>
      <c r="L318" s="59"/>
      <c r="M318" s="54"/>
      <c r="N318" s="55"/>
      <c r="P318" s="58"/>
      <c r="Q318" s="59"/>
      <c r="R318" s="54"/>
      <c r="S318" s="55"/>
    </row>
    <row r="319" spans="11:19" x14ac:dyDescent="0.25">
      <c r="K319" s="58"/>
      <c r="L319" s="59"/>
      <c r="M319" s="54"/>
      <c r="N319" s="55"/>
      <c r="P319" s="58"/>
      <c r="Q319" s="59"/>
      <c r="R319" s="54"/>
      <c r="S319" s="55"/>
    </row>
    <row r="320" spans="11:19" x14ac:dyDescent="0.25">
      <c r="K320" s="58"/>
      <c r="L320" s="59"/>
      <c r="M320" s="54"/>
      <c r="N320" s="55"/>
      <c r="P320" s="58"/>
      <c r="Q320" s="59"/>
      <c r="R320" s="54"/>
      <c r="S320" s="55"/>
    </row>
    <row r="321" spans="11:19" x14ac:dyDescent="0.25">
      <c r="K321" s="58"/>
      <c r="L321" s="59"/>
      <c r="M321" s="54"/>
      <c r="N321" s="55"/>
      <c r="P321" s="58"/>
      <c r="Q321" s="59"/>
      <c r="R321" s="54"/>
      <c r="S321" s="55"/>
    </row>
    <row r="322" spans="11:19" x14ac:dyDescent="0.25">
      <c r="K322" s="58"/>
      <c r="L322" s="59"/>
      <c r="M322" s="54"/>
      <c r="N322" s="55"/>
      <c r="P322" s="58"/>
      <c r="Q322" s="59"/>
      <c r="R322" s="54"/>
      <c r="S322" s="55"/>
    </row>
    <row r="323" spans="11:19" x14ac:dyDescent="0.25">
      <c r="K323" s="58"/>
      <c r="L323" s="59"/>
      <c r="M323" s="54"/>
      <c r="N323" s="55"/>
      <c r="P323" s="58"/>
      <c r="Q323" s="59"/>
      <c r="R323" s="54"/>
      <c r="S323" s="55"/>
    </row>
    <row r="324" spans="11:19" x14ac:dyDescent="0.25">
      <c r="K324" s="58"/>
      <c r="L324" s="59"/>
      <c r="M324" s="54"/>
      <c r="N324" s="55"/>
      <c r="P324" s="58"/>
      <c r="Q324" s="59"/>
      <c r="R324" s="54"/>
      <c r="S324" s="55"/>
    </row>
    <row r="325" spans="11:19" x14ac:dyDescent="0.25">
      <c r="K325" s="58"/>
      <c r="L325" s="59"/>
      <c r="M325" s="54"/>
      <c r="N325" s="55"/>
      <c r="P325" s="58"/>
      <c r="Q325" s="59"/>
      <c r="R325" s="54"/>
      <c r="S325" s="55"/>
    </row>
    <row r="326" spans="11:19" x14ac:dyDescent="0.25">
      <c r="K326" s="58"/>
      <c r="L326" s="59"/>
      <c r="M326" s="54"/>
      <c r="N326" s="55"/>
      <c r="P326" s="58"/>
      <c r="Q326" s="59"/>
      <c r="R326" s="54"/>
      <c r="S326" s="55"/>
    </row>
    <row r="327" spans="11:19" x14ac:dyDescent="0.25">
      <c r="K327" s="58"/>
      <c r="L327" s="59"/>
      <c r="M327" s="54"/>
      <c r="N327" s="55"/>
      <c r="P327" s="58"/>
      <c r="Q327" s="59"/>
      <c r="R327" s="54"/>
      <c r="S327" s="55"/>
    </row>
    <row r="328" spans="11:19" x14ac:dyDescent="0.25">
      <c r="K328" s="58"/>
      <c r="L328" s="59"/>
      <c r="M328" s="54"/>
      <c r="N328" s="55"/>
      <c r="P328" s="58"/>
      <c r="Q328" s="59"/>
      <c r="R328" s="54"/>
      <c r="S328" s="55"/>
    </row>
    <row r="329" spans="11:19" x14ac:dyDescent="0.25">
      <c r="K329" s="58"/>
      <c r="L329" s="59"/>
      <c r="M329" s="54"/>
      <c r="N329" s="55"/>
      <c r="P329" s="58"/>
      <c r="Q329" s="59"/>
      <c r="R329" s="54"/>
      <c r="S329" s="55"/>
    </row>
    <row r="330" spans="11:19" x14ac:dyDescent="0.25">
      <c r="K330" s="58"/>
      <c r="L330" s="59"/>
      <c r="M330" s="54"/>
      <c r="N330" s="55"/>
      <c r="P330" s="58"/>
      <c r="Q330" s="59"/>
      <c r="R330" s="54"/>
      <c r="S330" s="55"/>
    </row>
    <row r="331" spans="11:19" x14ac:dyDescent="0.25">
      <c r="K331" s="58"/>
      <c r="L331" s="59"/>
      <c r="M331" s="54"/>
      <c r="N331" s="55"/>
      <c r="P331" s="58"/>
      <c r="Q331" s="59"/>
      <c r="R331" s="54"/>
      <c r="S331" s="55"/>
    </row>
    <row r="332" spans="11:19" x14ac:dyDescent="0.25">
      <c r="K332" s="58"/>
      <c r="L332" s="59"/>
      <c r="M332" s="54"/>
      <c r="N332" s="55"/>
      <c r="P332" s="58"/>
      <c r="Q332" s="59"/>
      <c r="R332" s="54"/>
      <c r="S332" s="55"/>
    </row>
    <row r="333" spans="11:19" x14ac:dyDescent="0.25">
      <c r="K333" s="58"/>
      <c r="L333" s="59"/>
      <c r="M333" s="54"/>
      <c r="N333" s="55"/>
      <c r="P333" s="58"/>
      <c r="Q333" s="59"/>
      <c r="R333" s="54"/>
      <c r="S333" s="55"/>
    </row>
    <row r="334" spans="11:19" x14ac:dyDescent="0.25">
      <c r="K334" s="58"/>
      <c r="L334" s="59"/>
      <c r="M334" s="54"/>
      <c r="N334" s="55"/>
      <c r="P334" s="58"/>
      <c r="Q334" s="59"/>
      <c r="R334" s="54"/>
      <c r="S334" s="55"/>
    </row>
    <row r="335" spans="11:19" x14ac:dyDescent="0.25">
      <c r="K335" s="58"/>
      <c r="L335" s="59"/>
      <c r="M335" s="54"/>
      <c r="N335" s="55"/>
      <c r="P335" s="58"/>
      <c r="Q335" s="59"/>
      <c r="R335" s="54"/>
      <c r="S335" s="55"/>
    </row>
    <row r="336" spans="11:19" x14ac:dyDescent="0.25">
      <c r="K336" s="58"/>
      <c r="L336" s="59"/>
      <c r="M336" s="54"/>
      <c r="N336" s="55"/>
      <c r="P336" s="58"/>
      <c r="Q336" s="59"/>
      <c r="R336" s="54"/>
      <c r="S336" s="55"/>
    </row>
    <row r="337" spans="11:19" x14ac:dyDescent="0.25">
      <c r="K337" s="58"/>
      <c r="L337" s="59"/>
      <c r="M337" s="54"/>
      <c r="N337" s="55"/>
      <c r="P337" s="58"/>
      <c r="Q337" s="59"/>
      <c r="R337" s="54"/>
      <c r="S337" s="55"/>
    </row>
    <row r="338" spans="11:19" x14ac:dyDescent="0.25">
      <c r="K338" s="58"/>
      <c r="L338" s="59"/>
      <c r="M338" s="54"/>
      <c r="N338" s="55"/>
      <c r="P338" s="58"/>
      <c r="Q338" s="59"/>
      <c r="R338" s="54"/>
      <c r="S338" s="55"/>
    </row>
    <row r="339" spans="11:19" x14ac:dyDescent="0.25">
      <c r="K339" s="58"/>
      <c r="L339" s="59"/>
      <c r="M339" s="54"/>
      <c r="N339" s="55"/>
      <c r="P339" s="58"/>
      <c r="Q339" s="59"/>
      <c r="R339" s="54"/>
      <c r="S339" s="55"/>
    </row>
    <row r="340" spans="11:19" x14ac:dyDescent="0.25">
      <c r="K340" s="58"/>
      <c r="L340" s="59"/>
      <c r="M340" s="54"/>
      <c r="N340" s="55"/>
      <c r="P340" s="58"/>
      <c r="Q340" s="59"/>
      <c r="R340" s="54"/>
      <c r="S340" s="55"/>
    </row>
    <row r="341" spans="11:19" x14ac:dyDescent="0.25">
      <c r="K341" s="58"/>
      <c r="L341" s="59"/>
      <c r="M341" s="54"/>
      <c r="N341" s="55"/>
      <c r="P341" s="58"/>
      <c r="Q341" s="59"/>
      <c r="R341" s="54"/>
      <c r="S341" s="55"/>
    </row>
    <row r="342" spans="11:19" x14ac:dyDescent="0.25">
      <c r="K342" s="58"/>
      <c r="L342" s="59"/>
      <c r="M342" s="54"/>
      <c r="N342" s="55"/>
      <c r="P342" s="58"/>
      <c r="Q342" s="59"/>
      <c r="R342" s="54"/>
      <c r="S342" s="55"/>
    </row>
    <row r="343" spans="11:19" x14ac:dyDescent="0.25">
      <c r="K343" s="58"/>
      <c r="L343" s="59"/>
      <c r="M343" s="54"/>
      <c r="N343" s="55"/>
      <c r="P343" s="58"/>
      <c r="Q343" s="59"/>
      <c r="R343" s="54"/>
      <c r="S343" s="55"/>
    </row>
    <row r="344" spans="11:19" x14ac:dyDescent="0.25">
      <c r="K344" s="58"/>
      <c r="L344" s="59"/>
      <c r="M344" s="54"/>
      <c r="N344" s="55"/>
      <c r="P344" s="58"/>
      <c r="Q344" s="59"/>
      <c r="R344" s="54"/>
      <c r="S344" s="55"/>
    </row>
    <row r="345" spans="11:19" x14ac:dyDescent="0.25">
      <c r="K345" s="58"/>
      <c r="L345" s="59"/>
      <c r="M345" s="54"/>
      <c r="N345" s="55"/>
      <c r="P345" s="58"/>
      <c r="Q345" s="59"/>
      <c r="R345" s="54"/>
      <c r="S345" s="55"/>
    </row>
    <row r="346" spans="11:19" x14ac:dyDescent="0.25">
      <c r="K346" s="58"/>
      <c r="L346" s="59"/>
      <c r="M346" s="54"/>
      <c r="N346" s="55"/>
      <c r="P346" s="58"/>
      <c r="Q346" s="59"/>
      <c r="R346" s="54"/>
      <c r="S346" s="55"/>
    </row>
    <row r="347" spans="11:19" x14ac:dyDescent="0.25">
      <c r="K347" s="58"/>
      <c r="L347" s="59"/>
      <c r="M347" s="54"/>
      <c r="N347" s="55"/>
      <c r="P347" s="58"/>
      <c r="Q347" s="59"/>
      <c r="R347" s="54"/>
      <c r="S347" s="55"/>
    </row>
    <row r="348" spans="11:19" ht="15.75" thickBot="1" x14ac:dyDescent="0.3">
      <c r="K348" s="60"/>
      <c r="L348" s="61"/>
      <c r="M348" s="56"/>
      <c r="N348" s="57"/>
      <c r="P348" s="60"/>
      <c r="Q348" s="61"/>
      <c r="R348" s="56"/>
      <c r="S348" s="57"/>
    </row>
  </sheetData>
  <mergeCells count="4">
    <mergeCell ref="A8:D8"/>
    <mergeCell ref="F8:I8"/>
    <mergeCell ref="K8:N8"/>
    <mergeCell ref="P8:S8"/>
  </mergeCells>
  <conditionalFormatting sqref="G3">
    <cfRule type="cellIs" dxfId="9" priority="5" operator="greaterThan">
      <formula>$J$4</formula>
    </cfRule>
  </conditionalFormatting>
  <conditionalFormatting sqref="T5">
    <cfRule type="cellIs" dxfId="8" priority="1" operator="greaterThan">
      <formula>$T$6</formula>
    </cfRule>
    <cfRule type="cellIs" dxfId="7" priority="4" operator="lessThan">
      <formula>$T$6</formula>
    </cfRule>
  </conditionalFormatting>
  <conditionalFormatting sqref="T6">
    <cfRule type="cellIs" dxfId="6" priority="2" operator="greaterThan">
      <formula>$T$5</formula>
    </cfRule>
    <cfRule type="cellIs" dxfId="5" priority="3" operator="lessThan">
      <formula>$T$5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505509-996B-4650-8FA0-358C696352AF}">
  <sheetPr codeName="Sheet44"/>
  <dimension ref="A1:T348"/>
  <sheetViews>
    <sheetView zoomScale="90" zoomScaleNormal="90" workbookViewId="0">
      <pane ySplit="9" topLeftCell="A10" activePane="bottomLeft" state="frozen"/>
      <selection pane="bottomLeft" activeCell="G21" sqref="G21"/>
    </sheetView>
  </sheetViews>
  <sheetFormatPr baseColWidth="10" defaultColWidth="9.140625" defaultRowHeight="15" x14ac:dyDescent="0.25"/>
  <cols>
    <col min="2" max="2" width="11.85546875" bestFit="1" customWidth="1"/>
    <col min="3" max="3" width="17.140625" bestFit="1" customWidth="1"/>
    <col min="4" max="4" width="14.5703125" customWidth="1"/>
    <col min="5" max="7" width="14.5703125" bestFit="1" customWidth="1"/>
    <col min="8" max="8" width="18.7109375" bestFit="1" customWidth="1"/>
    <col min="9" max="9" width="16.28515625" bestFit="1" customWidth="1"/>
    <col min="10" max="10" width="14" bestFit="1" customWidth="1"/>
    <col min="12" max="12" width="11.85546875" bestFit="1" customWidth="1"/>
    <col min="13" max="13" width="17.140625" bestFit="1" customWidth="1"/>
    <col min="14" max="14" width="14.42578125" bestFit="1" customWidth="1"/>
    <col min="15" max="15" width="8.7109375" customWidth="1"/>
    <col min="17" max="17" width="14.85546875" bestFit="1" customWidth="1"/>
    <col min="18" max="18" width="17.140625" bestFit="1" customWidth="1"/>
    <col min="19" max="19" width="14.85546875" bestFit="1" customWidth="1"/>
    <col min="20" max="20" width="12.42578125" bestFit="1" customWidth="1"/>
    <col min="22" max="23" width="14.5703125" bestFit="1" customWidth="1"/>
    <col min="24" max="24" width="15.85546875" bestFit="1" customWidth="1"/>
    <col min="26" max="26" width="15.85546875" bestFit="1" customWidth="1"/>
  </cols>
  <sheetData>
    <row r="1" spans="1:20" ht="15.75" thickBot="1" x14ac:dyDescent="0.3">
      <c r="C1" s="1" t="s">
        <v>0</v>
      </c>
      <c r="D1" s="2" t="s">
        <v>1</v>
      </c>
      <c r="E1" s="1" t="s">
        <v>2</v>
      </c>
      <c r="F1" s="2" t="s">
        <v>3</v>
      </c>
      <c r="G1" s="63" t="s">
        <v>4</v>
      </c>
      <c r="H1" s="81" t="s">
        <v>24</v>
      </c>
      <c r="I1" s="66" t="s">
        <v>5</v>
      </c>
      <c r="J1" s="3">
        <v>368</v>
      </c>
      <c r="M1" s="1" t="s">
        <v>5</v>
      </c>
      <c r="N1" s="4" t="s">
        <v>6</v>
      </c>
      <c r="P1" t="s">
        <v>0</v>
      </c>
      <c r="Q1">
        <f>SUM(E10:E54)</f>
        <v>0</v>
      </c>
      <c r="R1" t="s">
        <v>2</v>
      </c>
      <c r="S1">
        <f>(M3/M2)*Q1</f>
        <v>0</v>
      </c>
    </row>
    <row r="2" spans="1:20" ht="15.75" thickBot="1" x14ac:dyDescent="0.3">
      <c r="B2" s="5" t="s">
        <v>7</v>
      </c>
      <c r="C2" s="6">
        <f>SUMPRODUCT(C10:C118,E10:E118)</f>
        <v>0</v>
      </c>
      <c r="D2" s="7">
        <f>SUMPRODUCT(H10:H118,J10:J118)</f>
        <v>0</v>
      </c>
      <c r="E2" s="6">
        <f>SUMPRODUCT(M10:M348,O10:O348)</f>
        <v>0</v>
      </c>
      <c r="F2" s="7">
        <f>SUMPRODUCT(R10:R348,T10:T348)</f>
        <v>0</v>
      </c>
      <c r="G2" s="64">
        <f>C2+D2+E2+F2</f>
        <v>0</v>
      </c>
      <c r="H2" s="82">
        <v>24786935</v>
      </c>
      <c r="I2" s="67" t="s">
        <v>6</v>
      </c>
      <c r="J2" s="8">
        <v>334</v>
      </c>
      <c r="L2" s="5" t="s">
        <v>8</v>
      </c>
      <c r="M2" s="9">
        <v>0.6</v>
      </c>
      <c r="N2" s="10">
        <v>0.25</v>
      </c>
      <c r="P2" t="s">
        <v>3</v>
      </c>
      <c r="Q2">
        <f>SUM(T10:T64)</f>
        <v>0</v>
      </c>
      <c r="R2" t="s">
        <v>1</v>
      </c>
      <c r="S2">
        <f>(N2/N3)*Q2</f>
        <v>0</v>
      </c>
    </row>
    <row r="3" spans="1:20" ht="15.75" thickBot="1" x14ac:dyDescent="0.3">
      <c r="B3" s="11" t="s">
        <v>9</v>
      </c>
      <c r="C3" s="12">
        <f>SUMPRODUCT(B10:B118,E10:E118)</f>
        <v>0</v>
      </c>
      <c r="D3" s="13">
        <f>SUMPRODUCT(G10:G118,J10:J118)</f>
        <v>0</v>
      </c>
      <c r="E3" s="12">
        <f>SUMPRODUCT(L10:L348,O10:O348)</f>
        <v>0</v>
      </c>
      <c r="F3" s="13">
        <f>SUMPRODUCT(Q10:Q348,T10:T348)</f>
        <v>0</v>
      </c>
      <c r="G3" s="65">
        <f>SUM(C3:F3)</f>
        <v>0</v>
      </c>
      <c r="H3" s="80" t="e">
        <f>(H2-G2)/G2</f>
        <v>#DIV/0!</v>
      </c>
      <c r="I3" s="67" t="s">
        <v>10</v>
      </c>
      <c r="J3" s="8">
        <f>11160</f>
        <v>11160</v>
      </c>
      <c r="L3" s="14" t="s">
        <v>11</v>
      </c>
      <c r="M3" s="15">
        <v>0.4</v>
      </c>
      <c r="N3" s="16">
        <v>0.75</v>
      </c>
      <c r="P3" t="s">
        <v>0</v>
      </c>
      <c r="Q3">
        <v>1</v>
      </c>
      <c r="R3" t="s">
        <v>2</v>
      </c>
      <c r="S3">
        <f>(M3/M2)*Q3</f>
        <v>0.66666666666666674</v>
      </c>
    </row>
    <row r="4" spans="1:20" ht="15.75" thickBot="1" x14ac:dyDescent="0.3">
      <c r="B4" s="14" t="s">
        <v>12</v>
      </c>
      <c r="C4" s="17">
        <f>SUM(E10:E118)*J3</f>
        <v>0</v>
      </c>
      <c r="D4" s="18">
        <f>SUM(J10:J118)*J3</f>
        <v>0</v>
      </c>
      <c r="E4" s="17">
        <f>SUM(O10:O348)*J3</f>
        <v>0</v>
      </c>
      <c r="F4" s="18">
        <f>SUM(T10:T348)*J3</f>
        <v>0</v>
      </c>
      <c r="G4" s="19">
        <f>SUM(C4:F4)</f>
        <v>0</v>
      </c>
      <c r="H4" s="20"/>
      <c r="I4" s="21" t="s">
        <v>13</v>
      </c>
      <c r="J4" s="22">
        <v>100000</v>
      </c>
      <c r="L4" s="5" t="s">
        <v>14</v>
      </c>
      <c r="M4" s="76" t="e">
        <f>C4/(C4+E4)</f>
        <v>#DIV/0!</v>
      </c>
      <c r="N4" s="77" t="e">
        <f>D4/(D4+F4)</f>
        <v>#DIV/0!</v>
      </c>
      <c r="O4" s="23"/>
      <c r="P4" t="s">
        <v>3</v>
      </c>
      <c r="Q4">
        <v>1</v>
      </c>
      <c r="R4" t="s">
        <v>1</v>
      </c>
      <c r="S4">
        <f>(N2/N3)*Q4</f>
        <v>0.33333333333333331</v>
      </c>
    </row>
    <row r="5" spans="1:20" ht="15.75" thickBot="1" x14ac:dyDescent="0.3">
      <c r="B5" s="24" t="s">
        <v>15</v>
      </c>
      <c r="C5" s="25">
        <v>217620</v>
      </c>
      <c r="D5" s="26">
        <v>74400</v>
      </c>
      <c r="E5" s="27">
        <v>145080</v>
      </c>
      <c r="F5" s="26">
        <v>223200</v>
      </c>
      <c r="G5" s="28">
        <f>SUM(C5:F5)</f>
        <v>660300</v>
      </c>
      <c r="H5" s="20"/>
      <c r="I5" s="20"/>
      <c r="L5" s="29" t="s">
        <v>16</v>
      </c>
      <c r="M5" s="78" t="e">
        <f>E4/(C4+E4)</f>
        <v>#DIV/0!</v>
      </c>
      <c r="N5" s="79" t="e">
        <f>F4/(D4+F4)</f>
        <v>#DIV/0!</v>
      </c>
      <c r="O5" s="23"/>
      <c r="P5" t="s">
        <v>0</v>
      </c>
      <c r="Q5" s="88">
        <v>27146.957706093192</v>
      </c>
      <c r="R5" t="s">
        <v>2</v>
      </c>
      <c r="S5" s="88">
        <v>29405.772043010755</v>
      </c>
      <c r="T5">
        <f>Q5*Q3+S5*S3</f>
        <v>46750.805734767026</v>
      </c>
    </row>
    <row r="6" spans="1:20" ht="15.75" thickBot="1" x14ac:dyDescent="0.3">
      <c r="B6" s="24" t="s">
        <v>17</v>
      </c>
      <c r="C6" s="27">
        <f>C5-C4</f>
        <v>217620</v>
      </c>
      <c r="D6" s="30">
        <f>D5-D4</f>
        <v>74400</v>
      </c>
      <c r="E6" s="27">
        <f>E5-E4</f>
        <v>145080</v>
      </c>
      <c r="F6" s="30">
        <f>F5-F4</f>
        <v>223200</v>
      </c>
      <c r="H6" s="20"/>
      <c r="I6" s="20"/>
      <c r="J6" s="62"/>
      <c r="N6" s="23"/>
      <c r="O6" s="23"/>
      <c r="P6" t="s">
        <v>3</v>
      </c>
      <c r="Q6" s="88">
        <v>24785.014695340502</v>
      </c>
      <c r="R6" t="s">
        <v>1</v>
      </c>
      <c r="S6" s="88">
        <v>25114.615232974909</v>
      </c>
      <c r="T6">
        <f>Q6*Q4+S6*S4</f>
        <v>33156.55310633214</v>
      </c>
    </row>
    <row r="7" spans="1:20" ht="15.75" thickBot="1" x14ac:dyDescent="0.3"/>
    <row r="8" spans="1:20" ht="15.75" thickBot="1" x14ac:dyDescent="0.3">
      <c r="A8" s="113" t="s">
        <v>18</v>
      </c>
      <c r="B8" s="114"/>
      <c r="C8" s="114"/>
      <c r="D8" s="115"/>
      <c r="E8" s="31"/>
      <c r="F8" s="113" t="s">
        <v>19</v>
      </c>
      <c r="G8" s="114"/>
      <c r="H8" s="114"/>
      <c r="I8" s="115"/>
      <c r="J8" s="31"/>
      <c r="K8" s="113" t="s">
        <v>20</v>
      </c>
      <c r="L8" s="114"/>
      <c r="M8" s="114"/>
      <c r="N8" s="115"/>
      <c r="O8" s="31"/>
      <c r="P8" s="113" t="s">
        <v>21</v>
      </c>
      <c r="Q8" s="114"/>
      <c r="R8" s="114"/>
      <c r="S8" s="115"/>
    </row>
    <row r="9" spans="1:20" ht="15.75" thickBot="1" x14ac:dyDescent="0.3">
      <c r="A9" s="32" t="s">
        <v>22</v>
      </c>
      <c r="B9" s="33" t="s">
        <v>9</v>
      </c>
      <c r="C9" s="33" t="s">
        <v>7</v>
      </c>
      <c r="D9" s="34" t="s">
        <v>23</v>
      </c>
      <c r="E9" s="31"/>
      <c r="F9" s="32" t="s">
        <v>22</v>
      </c>
      <c r="G9" s="33" t="s">
        <v>9</v>
      </c>
      <c r="H9" s="33" t="s">
        <v>7</v>
      </c>
      <c r="I9" s="34" t="s">
        <v>23</v>
      </c>
      <c r="J9" s="31"/>
      <c r="K9" s="32" t="s">
        <v>22</v>
      </c>
      <c r="L9" s="33" t="s">
        <v>9</v>
      </c>
      <c r="M9" s="33" t="s">
        <v>7</v>
      </c>
      <c r="N9" s="34" t="s">
        <v>23</v>
      </c>
      <c r="O9" s="31"/>
      <c r="P9" s="35" t="s">
        <v>22</v>
      </c>
      <c r="Q9" s="36" t="s">
        <v>9</v>
      </c>
      <c r="R9" s="36" t="s">
        <v>7</v>
      </c>
      <c r="S9" s="37" t="s">
        <v>23</v>
      </c>
    </row>
    <row r="10" spans="1:20" x14ac:dyDescent="0.25">
      <c r="A10" s="86">
        <v>15</v>
      </c>
      <c r="B10" s="68">
        <f>$J$3/$J$1</f>
        <v>30.326086956521738</v>
      </c>
      <c r="C10" s="87">
        <v>823261</v>
      </c>
      <c r="D10" s="69">
        <f>C10/B10</f>
        <v>27146.957706093192</v>
      </c>
      <c r="F10" s="86">
        <v>9</v>
      </c>
      <c r="G10" s="68">
        <f>$J$3/$J$2</f>
        <v>33.41317365269461</v>
      </c>
      <c r="H10" s="87">
        <v>839159</v>
      </c>
      <c r="I10" s="69">
        <f>H10/G10</f>
        <v>25114.615232974909</v>
      </c>
      <c r="K10" s="86">
        <v>99</v>
      </c>
      <c r="L10" s="68">
        <f>$J$3/$J$1</f>
        <v>30.326086956521738</v>
      </c>
      <c r="M10" s="87">
        <v>891762</v>
      </c>
      <c r="N10" s="69">
        <f>M10/L10</f>
        <v>29405.772043010755</v>
      </c>
      <c r="P10" s="86">
        <v>31</v>
      </c>
      <c r="Q10" s="68">
        <f>$J$3/$J$2</f>
        <v>33.41317365269461</v>
      </c>
      <c r="R10" s="87">
        <v>828146</v>
      </c>
      <c r="S10" s="69">
        <f>R10/Q10</f>
        <v>24785.014695340502</v>
      </c>
    </row>
    <row r="11" spans="1:20" x14ac:dyDescent="0.25">
      <c r="A11" s="58">
        <v>4</v>
      </c>
      <c r="B11" s="68">
        <f>$J$3/$J$1</f>
        <v>30.326086956521738</v>
      </c>
      <c r="C11" s="54">
        <v>748702</v>
      </c>
      <c r="D11" s="69">
        <f t="shared" ref="D11:D54" si="0">C11/B11</f>
        <v>24688.381362007171</v>
      </c>
      <c r="F11" s="58">
        <v>1</v>
      </c>
      <c r="G11" s="68">
        <f>$J$3/$J$2</f>
        <v>33.41317365269461</v>
      </c>
      <c r="H11" s="54">
        <v>816679</v>
      </c>
      <c r="I11" s="69">
        <f t="shared" ref="I11:I54" si="1">H11/G11</f>
        <v>24441.826702508963</v>
      </c>
      <c r="K11" s="58">
        <v>22</v>
      </c>
      <c r="L11" s="68">
        <f>$J$3/$J$1</f>
        <v>30.326086956521738</v>
      </c>
      <c r="M11" s="54">
        <v>787867</v>
      </c>
      <c r="N11" s="69">
        <f t="shared" ref="N11:N64" si="2">M11/L11</f>
        <v>25979.843727598567</v>
      </c>
      <c r="P11" s="58">
        <v>95</v>
      </c>
      <c r="Q11" s="68">
        <f>$J$3/$J$2</f>
        <v>33.41317365269461</v>
      </c>
      <c r="R11" s="54">
        <v>778683</v>
      </c>
      <c r="S11" s="69">
        <f t="shared" ref="S11:S64" si="3">R11/Q11</f>
        <v>23304.670430107526</v>
      </c>
    </row>
    <row r="12" spans="1:20" x14ac:dyDescent="0.25">
      <c r="A12" s="58">
        <v>75</v>
      </c>
      <c r="B12" s="68">
        <f>$J$3/$J$1</f>
        <v>30.326086956521738</v>
      </c>
      <c r="C12" s="54">
        <v>700923</v>
      </c>
      <c r="D12" s="69">
        <f t="shared" si="0"/>
        <v>23112.873118279571</v>
      </c>
      <c r="F12" s="58">
        <v>3</v>
      </c>
      <c r="G12" s="68">
        <f>$J$3/$J$2</f>
        <v>33.41317365269461</v>
      </c>
      <c r="H12" s="54">
        <v>637399</v>
      </c>
      <c r="I12" s="69">
        <f t="shared" si="1"/>
        <v>19076.278315412186</v>
      </c>
      <c r="K12" s="58">
        <v>83</v>
      </c>
      <c r="L12" s="68">
        <f>$J$3/$J$1</f>
        <v>30.326086956521738</v>
      </c>
      <c r="M12" s="54">
        <v>776669</v>
      </c>
      <c r="N12" s="69">
        <f t="shared" si="2"/>
        <v>25610.590681003585</v>
      </c>
      <c r="P12" s="58">
        <v>32</v>
      </c>
      <c r="Q12" s="68">
        <f>$J$3/$J$2</f>
        <v>33.41317365269461</v>
      </c>
      <c r="R12" s="54">
        <v>742165</v>
      </c>
      <c r="S12" s="69">
        <f t="shared" si="3"/>
        <v>22211.748207885306</v>
      </c>
    </row>
    <row r="13" spans="1:20" x14ac:dyDescent="0.25">
      <c r="A13" s="58">
        <v>61</v>
      </c>
      <c r="B13" s="68">
        <f>$J$3/$J$1</f>
        <v>30.326086956521738</v>
      </c>
      <c r="C13" s="54">
        <v>594344</v>
      </c>
      <c r="D13" s="69">
        <f t="shared" si="0"/>
        <v>19598.440143369175</v>
      </c>
      <c r="F13" s="58">
        <v>89</v>
      </c>
      <c r="G13" s="68">
        <f>$J$3/$J$2</f>
        <v>33.41317365269461</v>
      </c>
      <c r="H13" s="54">
        <v>626952</v>
      </c>
      <c r="I13" s="69">
        <f t="shared" si="1"/>
        <v>18763.617204301077</v>
      </c>
      <c r="K13" s="58">
        <v>57</v>
      </c>
      <c r="L13" s="68">
        <f>$J$3/$J$1</f>
        <v>30.326086956521738</v>
      </c>
      <c r="M13" s="54">
        <v>764937</v>
      </c>
      <c r="N13" s="69">
        <f t="shared" si="2"/>
        <v>25223.729032258067</v>
      </c>
      <c r="P13" s="58">
        <v>86</v>
      </c>
      <c r="Q13" s="68">
        <f>$J$3/$J$2</f>
        <v>33.41317365269461</v>
      </c>
      <c r="R13" s="54">
        <v>708838</v>
      </c>
      <c r="S13" s="69">
        <f t="shared" si="3"/>
        <v>21214.327240143371</v>
      </c>
    </row>
    <row r="14" spans="1:20" x14ac:dyDescent="0.25">
      <c r="A14" s="58">
        <v>2</v>
      </c>
      <c r="B14" s="68">
        <f>$J$3/$J$1</f>
        <v>30.326086956521738</v>
      </c>
      <c r="C14" s="54">
        <v>573963</v>
      </c>
      <c r="D14" s="69">
        <f t="shared" si="0"/>
        <v>18926.378494623656</v>
      </c>
      <c r="F14" s="58">
        <v>74</v>
      </c>
      <c r="G14" s="68">
        <f>$J$3/$J$2</f>
        <v>33.41317365269461</v>
      </c>
      <c r="H14" s="54">
        <v>528188</v>
      </c>
      <c r="I14" s="69">
        <f t="shared" si="1"/>
        <v>15807.7770609319</v>
      </c>
      <c r="K14" s="58">
        <v>33</v>
      </c>
      <c r="L14" s="68">
        <f>$J$3/$J$1</f>
        <v>30.326086956521738</v>
      </c>
      <c r="M14" s="54">
        <v>739492</v>
      </c>
      <c r="N14" s="69">
        <f t="shared" si="2"/>
        <v>24384.682437275987</v>
      </c>
      <c r="P14" s="58">
        <v>44</v>
      </c>
      <c r="Q14" s="68">
        <f>$J$3/$J$2</f>
        <v>33.41317365269461</v>
      </c>
      <c r="R14" s="54">
        <v>644475</v>
      </c>
      <c r="S14" s="69">
        <f t="shared" si="3"/>
        <v>19288.051075268817</v>
      </c>
    </row>
    <row r="15" spans="1:20" x14ac:dyDescent="0.25">
      <c r="A15" s="58">
        <v>66</v>
      </c>
      <c r="B15" s="68">
        <f>$J$3/$J$1</f>
        <v>30.326086956521738</v>
      </c>
      <c r="C15" s="54">
        <v>543888</v>
      </c>
      <c r="D15" s="69">
        <f t="shared" si="0"/>
        <v>17934.65806451613</v>
      </c>
      <c r="F15" s="58">
        <v>7</v>
      </c>
      <c r="G15" s="68">
        <f>$J$3/$J$2</f>
        <v>33.41317365269461</v>
      </c>
      <c r="H15" s="54">
        <v>517706</v>
      </c>
      <c r="I15" s="69">
        <f t="shared" si="1"/>
        <v>15494.068458781363</v>
      </c>
      <c r="K15" s="58">
        <v>34</v>
      </c>
      <c r="L15" s="68">
        <f>$J$3/$J$1</f>
        <v>30.326086956521738</v>
      </c>
      <c r="M15" s="54">
        <v>706466</v>
      </c>
      <c r="N15" s="69">
        <f t="shared" si="2"/>
        <v>23295.653046594984</v>
      </c>
      <c r="P15" s="58">
        <v>43</v>
      </c>
      <c r="Q15" s="68">
        <f>$J$3/$J$2</f>
        <v>33.41317365269461</v>
      </c>
      <c r="R15" s="54">
        <v>600711</v>
      </c>
      <c r="S15" s="69">
        <f t="shared" si="3"/>
        <v>17978.268279569893</v>
      </c>
    </row>
    <row r="16" spans="1:20" x14ac:dyDescent="0.25">
      <c r="A16" s="58">
        <v>9</v>
      </c>
      <c r="B16" s="68">
        <f>$J$3/$J$1</f>
        <v>30.326086956521738</v>
      </c>
      <c r="C16" s="54">
        <v>458407</v>
      </c>
      <c r="D16" s="69">
        <f t="shared" si="0"/>
        <v>15115.929749103943</v>
      </c>
      <c r="F16" s="58">
        <v>16</v>
      </c>
      <c r="G16" s="68">
        <f>$J$3/$J$2</f>
        <v>33.41317365269461</v>
      </c>
      <c r="H16" s="54">
        <v>471825</v>
      </c>
      <c r="I16" s="69">
        <f t="shared" si="1"/>
        <v>14120.927419354839</v>
      </c>
      <c r="K16" s="58">
        <v>54</v>
      </c>
      <c r="L16" s="68">
        <f>$J$3/$J$1</f>
        <v>30.326086956521738</v>
      </c>
      <c r="M16" s="54">
        <v>704680</v>
      </c>
      <c r="N16" s="69">
        <f t="shared" si="2"/>
        <v>23236.759856630826</v>
      </c>
      <c r="P16" s="58">
        <v>54</v>
      </c>
      <c r="Q16" s="68">
        <f>$J$3/$J$2</f>
        <v>33.41317365269461</v>
      </c>
      <c r="R16" s="54">
        <v>600526</v>
      </c>
      <c r="S16" s="69">
        <f t="shared" si="3"/>
        <v>17972.73154121864</v>
      </c>
    </row>
    <row r="17" spans="1:19" x14ac:dyDescent="0.25">
      <c r="A17" s="58">
        <v>6</v>
      </c>
      <c r="B17" s="68">
        <f>$J$3/$J$1</f>
        <v>30.326086956521738</v>
      </c>
      <c r="C17" s="54">
        <v>413342</v>
      </c>
      <c r="D17" s="69">
        <f t="shared" si="0"/>
        <v>13629.915412186379</v>
      </c>
      <c r="F17" s="58">
        <v>20</v>
      </c>
      <c r="G17" s="68">
        <f>$J$3/$J$2</f>
        <v>33.41317365269461</v>
      </c>
      <c r="H17" s="54">
        <v>465526</v>
      </c>
      <c r="I17" s="69">
        <f t="shared" si="1"/>
        <v>13932.408960573477</v>
      </c>
      <c r="K17" s="58">
        <v>46</v>
      </c>
      <c r="L17" s="68">
        <f>$J$3/$J$1</f>
        <v>30.326086956521738</v>
      </c>
      <c r="M17" s="54">
        <v>647685</v>
      </c>
      <c r="N17" s="69">
        <f t="shared" si="2"/>
        <v>21357.354838709678</v>
      </c>
      <c r="P17" s="58">
        <v>33</v>
      </c>
      <c r="Q17" s="68">
        <f>$J$3/$J$2</f>
        <v>33.41317365269461</v>
      </c>
      <c r="R17" s="54">
        <v>533105</v>
      </c>
      <c r="S17" s="69">
        <f t="shared" si="3"/>
        <v>15954.934587813621</v>
      </c>
    </row>
    <row r="18" spans="1:19" x14ac:dyDescent="0.25">
      <c r="A18" s="58">
        <v>90</v>
      </c>
      <c r="B18" s="68">
        <f>$J$3/$J$1</f>
        <v>30.326086956521738</v>
      </c>
      <c r="C18" s="54">
        <v>390167</v>
      </c>
      <c r="D18" s="69">
        <f t="shared" si="0"/>
        <v>12865.721863799283</v>
      </c>
      <c r="F18" s="58">
        <v>71</v>
      </c>
      <c r="G18" s="68">
        <f>$J$3/$J$2</f>
        <v>33.41317365269461</v>
      </c>
      <c r="H18" s="54">
        <v>459240</v>
      </c>
      <c r="I18" s="69">
        <f t="shared" si="1"/>
        <v>13744.279569892473</v>
      </c>
      <c r="K18" s="58">
        <v>35</v>
      </c>
      <c r="L18" s="68">
        <f>$J$3/$J$1</f>
        <v>30.326086956521738</v>
      </c>
      <c r="M18" s="54">
        <v>520964</v>
      </c>
      <c r="N18" s="69">
        <f t="shared" si="2"/>
        <v>17178.741218637992</v>
      </c>
      <c r="P18" s="58">
        <v>29</v>
      </c>
      <c r="Q18" s="68">
        <f>$J$3/$J$2</f>
        <v>33.41317365269461</v>
      </c>
      <c r="R18" s="54">
        <v>466819</v>
      </c>
      <c r="S18" s="69">
        <f t="shared" si="3"/>
        <v>13971.106272401434</v>
      </c>
    </row>
    <row r="19" spans="1:19" x14ac:dyDescent="0.25">
      <c r="A19" s="58">
        <v>10</v>
      </c>
      <c r="B19" s="68">
        <f>$J$3/$J$1</f>
        <v>30.326086956521738</v>
      </c>
      <c r="C19" s="54">
        <v>374487</v>
      </c>
      <c r="D19" s="69">
        <f t="shared" si="0"/>
        <v>12348.675268817206</v>
      </c>
      <c r="F19" s="58">
        <v>73</v>
      </c>
      <c r="G19" s="68">
        <f>$J$3/$J$2</f>
        <v>33.41317365269461</v>
      </c>
      <c r="H19" s="54">
        <v>435675</v>
      </c>
      <c r="I19" s="69">
        <f t="shared" si="1"/>
        <v>13039.018817204302</v>
      </c>
      <c r="K19" s="58">
        <v>28</v>
      </c>
      <c r="L19" s="68">
        <f>$J$3/$J$1</f>
        <v>30.326086956521738</v>
      </c>
      <c r="M19" s="54">
        <v>485282</v>
      </c>
      <c r="N19" s="69">
        <f t="shared" si="2"/>
        <v>16002.130465949822</v>
      </c>
      <c r="P19" s="58">
        <v>39</v>
      </c>
      <c r="Q19" s="68">
        <f>$J$3/$J$2</f>
        <v>33.41317365269461</v>
      </c>
      <c r="R19" s="54">
        <v>443533</v>
      </c>
      <c r="S19" s="69">
        <f t="shared" si="3"/>
        <v>13274.195519713261</v>
      </c>
    </row>
    <row r="20" spans="1:19" x14ac:dyDescent="0.25">
      <c r="A20" s="58">
        <v>72</v>
      </c>
      <c r="B20" s="68">
        <f>$J$3/$J$1</f>
        <v>30.326086956521738</v>
      </c>
      <c r="C20" s="54">
        <v>339217</v>
      </c>
      <c r="D20" s="69">
        <f t="shared" si="0"/>
        <v>11185.65017921147</v>
      </c>
      <c r="F20" s="58">
        <v>4</v>
      </c>
      <c r="G20" s="68">
        <f>$J$3/$J$2</f>
        <v>33.41317365269461</v>
      </c>
      <c r="H20" s="54">
        <v>435251</v>
      </c>
      <c r="I20" s="69">
        <f t="shared" si="1"/>
        <v>13026.329211469534</v>
      </c>
      <c r="K20" s="58">
        <v>25</v>
      </c>
      <c r="L20" s="68">
        <f>$J$3/$J$1</f>
        <v>30.326086956521738</v>
      </c>
      <c r="M20" s="54">
        <v>428682</v>
      </c>
      <c r="N20" s="69">
        <f t="shared" si="2"/>
        <v>14135.750537634409</v>
      </c>
      <c r="P20" s="58">
        <v>85</v>
      </c>
      <c r="Q20" s="68">
        <f>$J$3/$J$2</f>
        <v>33.41317365269461</v>
      </c>
      <c r="R20" s="54">
        <v>400656</v>
      </c>
      <c r="S20" s="69">
        <f t="shared" si="3"/>
        <v>11990.959139784947</v>
      </c>
    </row>
    <row r="21" spans="1:19" x14ac:dyDescent="0.25">
      <c r="A21" s="58">
        <v>63</v>
      </c>
      <c r="B21" s="68">
        <f>$J$3/$J$1</f>
        <v>30.326086956521738</v>
      </c>
      <c r="C21" s="54">
        <v>148379</v>
      </c>
      <c r="D21" s="69">
        <f t="shared" si="0"/>
        <v>4892.7842293906815</v>
      </c>
      <c r="F21" s="58">
        <v>58</v>
      </c>
      <c r="G21" s="68">
        <f>$J$3/$J$2</f>
        <v>33.41317365269461</v>
      </c>
      <c r="H21" s="54">
        <v>425212</v>
      </c>
      <c r="I21" s="69">
        <f t="shared" si="1"/>
        <v>12725.878853046595</v>
      </c>
      <c r="K21" s="58">
        <v>53</v>
      </c>
      <c r="L21" s="68">
        <f>$J$3/$J$1</f>
        <v>30.326086956521738</v>
      </c>
      <c r="M21" s="54">
        <v>427876</v>
      </c>
      <c r="N21" s="69">
        <f t="shared" si="2"/>
        <v>14109.17275985663</v>
      </c>
      <c r="P21" s="58">
        <v>51</v>
      </c>
      <c r="Q21" s="68">
        <f>$J$3/$J$2</f>
        <v>33.41317365269461</v>
      </c>
      <c r="R21" s="54">
        <v>295735</v>
      </c>
      <c r="S21" s="69">
        <f t="shared" si="3"/>
        <v>8850.8503584229402</v>
      </c>
    </row>
    <row r="22" spans="1:19" x14ac:dyDescent="0.25">
      <c r="A22" s="58">
        <v>5</v>
      </c>
      <c r="B22" s="68">
        <f>$J$3/$J$1</f>
        <v>30.326086956521738</v>
      </c>
      <c r="C22" s="54">
        <v>135603</v>
      </c>
      <c r="D22" s="69">
        <f t="shared" si="0"/>
        <v>4471.4967741935488</v>
      </c>
      <c r="F22" s="58">
        <v>69</v>
      </c>
      <c r="G22" s="68">
        <f>$J$3/$J$2</f>
        <v>33.41317365269461</v>
      </c>
      <c r="H22" s="54">
        <v>301059</v>
      </c>
      <c r="I22" s="69">
        <f t="shared" si="1"/>
        <v>9010.188709677419</v>
      </c>
      <c r="K22" s="58">
        <v>30</v>
      </c>
      <c r="L22" s="68">
        <f>$J$3/$J$1</f>
        <v>30.326086956521738</v>
      </c>
      <c r="M22" s="54">
        <v>412457</v>
      </c>
      <c r="N22" s="69">
        <f t="shared" si="2"/>
        <v>13600.732616487456</v>
      </c>
      <c r="P22" s="58">
        <v>84</v>
      </c>
      <c r="Q22" s="68">
        <f>$J$3/$J$2</f>
        <v>33.41317365269461</v>
      </c>
      <c r="R22" s="54">
        <v>277116</v>
      </c>
      <c r="S22" s="69">
        <f t="shared" si="3"/>
        <v>8293.6150537634403</v>
      </c>
    </row>
    <row r="23" spans="1:19" x14ac:dyDescent="0.25">
      <c r="A23" s="58">
        <v>89</v>
      </c>
      <c r="B23" s="68">
        <f>$J$3/$J$1</f>
        <v>30.326086956521738</v>
      </c>
      <c r="C23" s="54">
        <v>43767</v>
      </c>
      <c r="D23" s="69">
        <f t="shared" si="0"/>
        <v>1443.2129032258065</v>
      </c>
      <c r="F23" s="58">
        <v>91</v>
      </c>
      <c r="G23" s="68">
        <f>$J$3/$J$2</f>
        <v>33.41317365269461</v>
      </c>
      <c r="H23" s="54">
        <v>248437</v>
      </c>
      <c r="I23" s="69">
        <f t="shared" si="1"/>
        <v>7435.3008960573479</v>
      </c>
      <c r="K23" s="58">
        <v>45</v>
      </c>
      <c r="L23" s="68">
        <f>$J$3/$J$1</f>
        <v>30.326086956521738</v>
      </c>
      <c r="M23" s="54">
        <v>411553</v>
      </c>
      <c r="N23" s="69">
        <f t="shared" si="2"/>
        <v>13570.923297491039</v>
      </c>
      <c r="P23" s="58">
        <v>100</v>
      </c>
      <c r="Q23" s="68">
        <f>$J$3/$J$2</f>
        <v>33.41317365269461</v>
      </c>
      <c r="R23" s="54">
        <v>196154</v>
      </c>
      <c r="S23" s="69">
        <f t="shared" si="3"/>
        <v>5870.5587813620077</v>
      </c>
    </row>
    <row r="24" spans="1:19" x14ac:dyDescent="0.25">
      <c r="A24" s="58">
        <v>8</v>
      </c>
      <c r="B24" s="68">
        <f>$J$3/$J$1</f>
        <v>30.326086956521738</v>
      </c>
      <c r="C24" s="54">
        <v>-31569</v>
      </c>
      <c r="D24" s="69">
        <f t="shared" si="0"/>
        <v>-1040.9849462365592</v>
      </c>
      <c r="F24" s="58">
        <v>75</v>
      </c>
      <c r="G24" s="68">
        <f>$J$3/$J$2</f>
        <v>33.41317365269461</v>
      </c>
      <c r="H24" s="54">
        <v>241104</v>
      </c>
      <c r="I24" s="69">
        <f t="shared" si="1"/>
        <v>7215.8365591397851</v>
      </c>
      <c r="K24" s="58">
        <v>43</v>
      </c>
      <c r="L24" s="68">
        <f>$J$3/$J$1</f>
        <v>30.326086956521738</v>
      </c>
      <c r="M24" s="54">
        <v>287718</v>
      </c>
      <c r="N24" s="69">
        <f t="shared" si="2"/>
        <v>9487.4752688172048</v>
      </c>
      <c r="P24" s="58">
        <v>56</v>
      </c>
      <c r="Q24" s="68">
        <f>$J$3/$J$2</f>
        <v>33.41317365269461</v>
      </c>
      <c r="R24" s="54">
        <v>175558</v>
      </c>
      <c r="S24" s="69">
        <f t="shared" si="3"/>
        <v>5254.1551971326162</v>
      </c>
    </row>
    <row r="25" spans="1:19" x14ac:dyDescent="0.25">
      <c r="A25" s="58">
        <v>62</v>
      </c>
      <c r="B25" s="68">
        <f>$J$3/$J$1</f>
        <v>30.326086956521738</v>
      </c>
      <c r="C25" s="54">
        <v>-50310</v>
      </c>
      <c r="D25" s="69">
        <f t="shared" si="0"/>
        <v>-1658.9677419354839</v>
      </c>
      <c r="F25" s="58">
        <v>21</v>
      </c>
      <c r="G25" s="68">
        <f>$J$3/$J$2</f>
        <v>33.41317365269461</v>
      </c>
      <c r="H25" s="54">
        <v>182068</v>
      </c>
      <c r="I25" s="69">
        <f t="shared" si="1"/>
        <v>5448.9885304659501</v>
      </c>
      <c r="K25" s="58">
        <v>47</v>
      </c>
      <c r="L25" s="68">
        <f>$J$3/$J$1</f>
        <v>30.326086956521738</v>
      </c>
      <c r="M25" s="54">
        <v>244892</v>
      </c>
      <c r="N25" s="69">
        <f t="shared" si="2"/>
        <v>8075.2917562724015</v>
      </c>
      <c r="P25" s="58">
        <v>24</v>
      </c>
      <c r="Q25" s="68">
        <f>$J$3/$J$2</f>
        <v>33.41317365269461</v>
      </c>
      <c r="R25" s="54">
        <v>71007</v>
      </c>
      <c r="S25" s="69">
        <f t="shared" si="3"/>
        <v>2125.1198924731184</v>
      </c>
    </row>
    <row r="26" spans="1:19" x14ac:dyDescent="0.25">
      <c r="A26" s="58">
        <v>20</v>
      </c>
      <c r="B26" s="68">
        <f>$J$3/$J$1</f>
        <v>30.326086956521738</v>
      </c>
      <c r="C26" s="54">
        <v>-55320</v>
      </c>
      <c r="D26" s="69">
        <f t="shared" si="0"/>
        <v>-1824.1720430107528</v>
      </c>
      <c r="F26" s="58">
        <v>59</v>
      </c>
      <c r="G26" s="68">
        <f>$J$3/$J$2</f>
        <v>33.41317365269461</v>
      </c>
      <c r="H26" s="54">
        <v>167225</v>
      </c>
      <c r="I26" s="69">
        <f t="shared" si="1"/>
        <v>5004.7625448028675</v>
      </c>
      <c r="K26" s="58">
        <v>27</v>
      </c>
      <c r="L26" s="68">
        <f>$J$3/$J$1</f>
        <v>30.326086956521738</v>
      </c>
      <c r="M26" s="54">
        <v>217246</v>
      </c>
      <c r="N26" s="69">
        <f t="shared" si="2"/>
        <v>7163.6673835125448</v>
      </c>
      <c r="P26" s="58">
        <v>94</v>
      </c>
      <c r="Q26" s="68">
        <f>$J$3/$J$2</f>
        <v>33.41317365269461</v>
      </c>
      <c r="R26" s="54">
        <v>48569</v>
      </c>
      <c r="S26" s="69">
        <f t="shared" si="3"/>
        <v>1453.5883512544804</v>
      </c>
    </row>
    <row r="27" spans="1:19" x14ac:dyDescent="0.25">
      <c r="A27" s="58">
        <v>14</v>
      </c>
      <c r="B27" s="68">
        <f>$J$3/$J$1</f>
        <v>30.326086956521738</v>
      </c>
      <c r="C27" s="54">
        <v>-99929</v>
      </c>
      <c r="D27" s="69">
        <f t="shared" si="0"/>
        <v>-3295.1498207885306</v>
      </c>
      <c r="F27" s="58">
        <v>63</v>
      </c>
      <c r="G27" s="68">
        <f>$J$3/$J$2</f>
        <v>33.41317365269461</v>
      </c>
      <c r="H27" s="54">
        <v>-59023</v>
      </c>
      <c r="I27" s="69">
        <f t="shared" si="1"/>
        <v>-1766.4589605734768</v>
      </c>
      <c r="K27" s="58">
        <v>98</v>
      </c>
      <c r="L27" s="68">
        <f>$J$3/$J$1</f>
        <v>30.326086956521738</v>
      </c>
      <c r="M27" s="54">
        <v>186371</v>
      </c>
      <c r="N27" s="69">
        <f t="shared" si="2"/>
        <v>6145.5670250896055</v>
      </c>
      <c r="P27" s="58">
        <v>98</v>
      </c>
      <c r="Q27" s="68">
        <f>$J$3/$J$2</f>
        <v>33.41317365269461</v>
      </c>
      <c r="R27" s="54">
        <v>42432</v>
      </c>
      <c r="S27" s="69">
        <f t="shared" si="3"/>
        <v>1269.9182795698925</v>
      </c>
    </row>
    <row r="28" spans="1:19" x14ac:dyDescent="0.25">
      <c r="A28" s="58">
        <v>59</v>
      </c>
      <c r="B28" s="68">
        <f>$J$3/$J$1</f>
        <v>30.326086956521738</v>
      </c>
      <c r="C28" s="54">
        <v>-120499</v>
      </c>
      <c r="D28" s="69">
        <f t="shared" si="0"/>
        <v>-3973.4437275985665</v>
      </c>
      <c r="F28" s="58">
        <v>70</v>
      </c>
      <c r="G28" s="68">
        <f>$J$3/$J$2</f>
        <v>33.41317365269461</v>
      </c>
      <c r="H28" s="54">
        <v>-82956</v>
      </c>
      <c r="I28" s="69">
        <f t="shared" si="1"/>
        <v>-2482.7333333333336</v>
      </c>
      <c r="K28" s="58">
        <v>82</v>
      </c>
      <c r="L28" s="68">
        <f>$J$3/$J$1</f>
        <v>30.326086956521738</v>
      </c>
      <c r="M28" s="54">
        <v>157735</v>
      </c>
      <c r="N28" s="69">
        <f t="shared" si="2"/>
        <v>5201.2974910394269</v>
      </c>
      <c r="P28" s="58">
        <v>79</v>
      </c>
      <c r="Q28" s="68">
        <f>$J$3/$J$2</f>
        <v>33.41317365269461</v>
      </c>
      <c r="R28" s="54">
        <v>-17472</v>
      </c>
      <c r="S28" s="69">
        <f t="shared" si="3"/>
        <v>-522.9075268817204</v>
      </c>
    </row>
    <row r="29" spans="1:19" x14ac:dyDescent="0.25">
      <c r="A29" s="58">
        <v>11</v>
      </c>
      <c r="B29" s="68">
        <f>$J$3/$J$1</f>
        <v>30.326086956521738</v>
      </c>
      <c r="C29" s="54">
        <v>-150180</v>
      </c>
      <c r="D29" s="69">
        <f t="shared" si="0"/>
        <v>-4952.1720430107525</v>
      </c>
      <c r="F29" s="58">
        <v>64</v>
      </c>
      <c r="G29" s="68">
        <f>$J$3/$J$2</f>
        <v>33.41317365269461</v>
      </c>
      <c r="H29" s="54">
        <v>-163863</v>
      </c>
      <c r="I29" s="69">
        <f t="shared" si="1"/>
        <v>-4904.1435483870973</v>
      </c>
      <c r="K29" s="58">
        <v>39</v>
      </c>
      <c r="L29" s="68">
        <f>$J$3/$J$1</f>
        <v>30.326086956521738</v>
      </c>
      <c r="M29" s="54">
        <v>75371</v>
      </c>
      <c r="N29" s="69">
        <f t="shared" si="2"/>
        <v>2485.3519713261649</v>
      </c>
      <c r="P29" s="58">
        <v>30</v>
      </c>
      <c r="Q29" s="68">
        <f>$J$3/$J$2</f>
        <v>33.41317365269461</v>
      </c>
      <c r="R29" s="54">
        <v>-18899</v>
      </c>
      <c r="S29" s="69">
        <f t="shared" si="3"/>
        <v>-565.61523297491044</v>
      </c>
    </row>
    <row r="30" spans="1:19" x14ac:dyDescent="0.25">
      <c r="A30" s="58">
        <v>19</v>
      </c>
      <c r="B30" s="68">
        <f>$J$3/$J$1</f>
        <v>30.326086956521738</v>
      </c>
      <c r="C30" s="54">
        <v>-212225</v>
      </c>
      <c r="D30" s="69">
        <f t="shared" si="0"/>
        <v>-6998.1003584229393</v>
      </c>
      <c r="F30" s="58">
        <v>8</v>
      </c>
      <c r="G30" s="68">
        <f>$J$3/$J$2</f>
        <v>33.41317365269461</v>
      </c>
      <c r="H30" s="54">
        <v>-187009</v>
      </c>
      <c r="I30" s="69">
        <f t="shared" si="1"/>
        <v>-5596.8643369175625</v>
      </c>
      <c r="K30" s="58">
        <v>79</v>
      </c>
      <c r="L30" s="68">
        <f>$J$3/$J$1</f>
        <v>30.326086956521738</v>
      </c>
      <c r="M30" s="54">
        <v>42924</v>
      </c>
      <c r="N30" s="69">
        <f t="shared" si="2"/>
        <v>1415.4150537634409</v>
      </c>
      <c r="P30" s="58">
        <v>99</v>
      </c>
      <c r="Q30" s="68">
        <f>$J$3/$J$2</f>
        <v>33.41317365269461</v>
      </c>
      <c r="R30" s="54">
        <v>-53380</v>
      </c>
      <c r="S30" s="69">
        <f t="shared" si="3"/>
        <v>-1597.573476702509</v>
      </c>
    </row>
    <row r="31" spans="1:19" x14ac:dyDescent="0.25">
      <c r="A31" s="58">
        <v>7</v>
      </c>
      <c r="B31" s="68">
        <f>$J$3/$J$1</f>
        <v>30.326086956521738</v>
      </c>
      <c r="C31" s="54">
        <v>-425925</v>
      </c>
      <c r="D31" s="69">
        <f t="shared" si="0"/>
        <v>-14044.83870967742</v>
      </c>
      <c r="F31" s="58">
        <v>61</v>
      </c>
      <c r="G31" s="68">
        <f>$J$3/$J$2</f>
        <v>33.41317365269461</v>
      </c>
      <c r="H31" s="54">
        <v>-223907</v>
      </c>
      <c r="I31" s="69">
        <f t="shared" si="1"/>
        <v>-6701.159318996416</v>
      </c>
      <c r="K31" s="58">
        <v>49</v>
      </c>
      <c r="L31" s="68">
        <f>$J$3/$J$1</f>
        <v>30.326086956521738</v>
      </c>
      <c r="M31" s="54">
        <v>-35135</v>
      </c>
      <c r="N31" s="69">
        <f t="shared" si="2"/>
        <v>-1158.573476702509</v>
      </c>
      <c r="P31" s="58">
        <v>76</v>
      </c>
      <c r="Q31" s="68">
        <f>$J$3/$J$2</f>
        <v>33.41317365269461</v>
      </c>
      <c r="R31" s="54">
        <v>-134133</v>
      </c>
      <c r="S31" s="69">
        <f t="shared" si="3"/>
        <v>-4014.3747311827956</v>
      </c>
    </row>
    <row r="32" spans="1:19" x14ac:dyDescent="0.25">
      <c r="A32" s="58">
        <v>88</v>
      </c>
      <c r="B32" s="68">
        <f>$J$3/$J$1</f>
        <v>30.326086956521738</v>
      </c>
      <c r="C32" s="54">
        <v>-426293</v>
      </c>
      <c r="D32" s="69">
        <f t="shared" si="0"/>
        <v>-14056.973476702509</v>
      </c>
      <c r="F32" s="58">
        <v>92</v>
      </c>
      <c r="G32" s="68">
        <f>$J$3/$J$2</f>
        <v>33.41317365269461</v>
      </c>
      <c r="H32" s="54">
        <v>-299484</v>
      </c>
      <c r="I32" s="69">
        <f t="shared" si="1"/>
        <v>-8963.0516129032258</v>
      </c>
      <c r="K32" s="58">
        <v>86</v>
      </c>
      <c r="L32" s="68">
        <f>$J$3/$J$1</f>
        <v>30.326086956521738</v>
      </c>
      <c r="M32" s="54">
        <v>-36114</v>
      </c>
      <c r="N32" s="69">
        <f t="shared" si="2"/>
        <v>-1190.8559139784948</v>
      </c>
      <c r="P32" s="58">
        <v>27</v>
      </c>
      <c r="Q32" s="68">
        <f>$J$3/$J$2</f>
        <v>33.41317365269461</v>
      </c>
      <c r="R32" s="54">
        <v>-237585</v>
      </c>
      <c r="S32" s="69">
        <f t="shared" si="3"/>
        <v>-7110.5188172043008</v>
      </c>
    </row>
    <row r="33" spans="1:19" x14ac:dyDescent="0.25">
      <c r="A33" s="58">
        <v>1</v>
      </c>
      <c r="B33" s="68">
        <f>$J$3/$J$1</f>
        <v>30.326086956521738</v>
      </c>
      <c r="C33" s="54">
        <v>-436549</v>
      </c>
      <c r="D33" s="69">
        <f t="shared" si="0"/>
        <v>-14395.164157706093</v>
      </c>
      <c r="F33" s="58">
        <v>93</v>
      </c>
      <c r="G33" s="68">
        <f>$J$3/$J$2</f>
        <v>33.41317365269461</v>
      </c>
      <c r="H33" s="54">
        <v>-392062</v>
      </c>
      <c r="I33" s="69">
        <f t="shared" si="1"/>
        <v>-11733.755197132617</v>
      </c>
      <c r="K33" s="58">
        <v>95</v>
      </c>
      <c r="L33" s="68">
        <f>$J$3/$J$1</f>
        <v>30.326086956521738</v>
      </c>
      <c r="M33" s="54">
        <v>-117870</v>
      </c>
      <c r="N33" s="69">
        <f t="shared" si="2"/>
        <v>-3886.7526881720432</v>
      </c>
      <c r="P33" s="58">
        <v>49</v>
      </c>
      <c r="Q33" s="68">
        <f>$J$3/$J$2</f>
        <v>33.41317365269461</v>
      </c>
      <c r="R33" s="54">
        <v>-320509</v>
      </c>
      <c r="S33" s="69">
        <f t="shared" si="3"/>
        <v>-9592.2944444444438</v>
      </c>
    </row>
    <row r="34" spans="1:19" x14ac:dyDescent="0.25">
      <c r="A34" s="58">
        <v>16</v>
      </c>
      <c r="B34" s="68">
        <f>$J$3/$J$1</f>
        <v>30.326086956521738</v>
      </c>
      <c r="C34" s="54">
        <v>-516654</v>
      </c>
      <c r="D34" s="69">
        <f t="shared" si="0"/>
        <v>-17036.619354838709</v>
      </c>
      <c r="F34" s="58">
        <v>17</v>
      </c>
      <c r="G34" s="68">
        <f>$J$3/$J$2</f>
        <v>33.41317365269461</v>
      </c>
      <c r="H34" s="54">
        <v>-421127</v>
      </c>
      <c r="I34" s="69">
        <f t="shared" si="1"/>
        <v>-12603.621684587813</v>
      </c>
      <c r="K34" s="58">
        <v>42</v>
      </c>
      <c r="L34" s="68">
        <f>$J$3/$J$1</f>
        <v>30.326086956521738</v>
      </c>
      <c r="M34" s="54">
        <v>-137859</v>
      </c>
      <c r="N34" s="69">
        <f t="shared" si="2"/>
        <v>-4545.8881720430109</v>
      </c>
      <c r="P34" s="58">
        <v>47</v>
      </c>
      <c r="Q34" s="68">
        <f>$J$3/$J$2</f>
        <v>33.41317365269461</v>
      </c>
      <c r="R34" s="54">
        <v>-338573</v>
      </c>
      <c r="S34" s="69">
        <f t="shared" si="3"/>
        <v>-10132.919534050179</v>
      </c>
    </row>
    <row r="35" spans="1:19" x14ac:dyDescent="0.25">
      <c r="A35" s="58">
        <v>73</v>
      </c>
      <c r="B35" s="68">
        <f>$J$3/$J$1</f>
        <v>30.326086956521738</v>
      </c>
      <c r="C35" s="54">
        <v>-526062</v>
      </c>
      <c r="D35" s="69">
        <f t="shared" si="0"/>
        <v>-17346.847311827958</v>
      </c>
      <c r="F35" s="58">
        <v>5</v>
      </c>
      <c r="G35" s="68">
        <f>$J$3/$J$2</f>
        <v>33.41317365269461</v>
      </c>
      <c r="H35" s="54">
        <v>-473972</v>
      </c>
      <c r="I35" s="69">
        <f t="shared" si="1"/>
        <v>-14185.183512544803</v>
      </c>
      <c r="K35" s="58">
        <v>50</v>
      </c>
      <c r="L35" s="68">
        <f>$J$3/$J$1</f>
        <v>30.326086956521738</v>
      </c>
      <c r="M35" s="54">
        <v>-141217</v>
      </c>
      <c r="N35" s="69">
        <f t="shared" si="2"/>
        <v>-4656.6179211469534</v>
      </c>
      <c r="P35" s="58">
        <v>34</v>
      </c>
      <c r="Q35" s="68">
        <f>$J$3/$J$2</f>
        <v>33.41317365269461</v>
      </c>
      <c r="R35" s="54">
        <v>-343537</v>
      </c>
      <c r="S35" s="69">
        <f t="shared" si="3"/>
        <v>-10281.483691756273</v>
      </c>
    </row>
    <row r="36" spans="1:19" x14ac:dyDescent="0.25">
      <c r="A36" s="58">
        <v>69</v>
      </c>
      <c r="B36" s="68">
        <f>$J$3/$J$1</f>
        <v>30.326086956521738</v>
      </c>
      <c r="C36" s="54">
        <v>-582190</v>
      </c>
      <c r="D36" s="69">
        <f t="shared" si="0"/>
        <v>-19197.663082437277</v>
      </c>
      <c r="F36" s="58">
        <v>67</v>
      </c>
      <c r="G36" s="68">
        <f>$J$3/$J$2</f>
        <v>33.41317365269461</v>
      </c>
      <c r="H36" s="54">
        <v>-479440</v>
      </c>
      <c r="I36" s="69">
        <f t="shared" si="1"/>
        <v>-14348.831541218638</v>
      </c>
      <c r="K36" s="58">
        <v>24</v>
      </c>
      <c r="L36" s="68">
        <f>$J$3/$J$1</f>
        <v>30.326086956521738</v>
      </c>
      <c r="M36" s="54">
        <v>-265494</v>
      </c>
      <c r="N36" s="69">
        <f t="shared" si="2"/>
        <v>-8754.6408602150532</v>
      </c>
      <c r="P36" s="58">
        <v>26</v>
      </c>
      <c r="Q36" s="68">
        <f>$J$3/$J$2</f>
        <v>33.41317365269461</v>
      </c>
      <c r="R36" s="54">
        <v>-410208</v>
      </c>
      <c r="S36" s="69">
        <f t="shared" si="3"/>
        <v>-12276.834408602152</v>
      </c>
    </row>
    <row r="37" spans="1:19" x14ac:dyDescent="0.25">
      <c r="A37" s="58">
        <v>17</v>
      </c>
      <c r="B37" s="68">
        <f>$J$3/$J$1</f>
        <v>30.326086956521738</v>
      </c>
      <c r="C37" s="54">
        <v>-710390</v>
      </c>
      <c r="D37" s="69">
        <f t="shared" si="0"/>
        <v>-23425.046594982079</v>
      </c>
      <c r="F37" s="58">
        <v>65</v>
      </c>
      <c r="G37" s="68">
        <f>$J$3/$J$2</f>
        <v>33.41317365269461</v>
      </c>
      <c r="H37" s="54">
        <v>-681880</v>
      </c>
      <c r="I37" s="69">
        <f t="shared" si="1"/>
        <v>-20407.519713261649</v>
      </c>
      <c r="K37" s="58">
        <v>44</v>
      </c>
      <c r="L37" s="68">
        <f>$J$3/$J$1</f>
        <v>30.326086956521738</v>
      </c>
      <c r="M37" s="54">
        <v>-279807</v>
      </c>
      <c r="N37" s="69">
        <f t="shared" si="2"/>
        <v>-9226.6107526881715</v>
      </c>
      <c r="P37" s="58">
        <v>55</v>
      </c>
      <c r="Q37" s="68">
        <f>$J$3/$J$2</f>
        <v>33.41317365269461</v>
      </c>
      <c r="R37" s="54">
        <v>-412943</v>
      </c>
      <c r="S37" s="69">
        <f t="shared" si="3"/>
        <v>-12358.688351254481</v>
      </c>
    </row>
    <row r="38" spans="1:19" x14ac:dyDescent="0.25">
      <c r="A38" s="58">
        <v>12</v>
      </c>
      <c r="B38" s="68">
        <f>$J$3/$J$1</f>
        <v>30.326086956521738</v>
      </c>
      <c r="C38" s="54">
        <v>-753136</v>
      </c>
      <c r="D38" s="69">
        <f t="shared" si="0"/>
        <v>-24834.592114695341</v>
      </c>
      <c r="F38" s="58">
        <v>15</v>
      </c>
      <c r="G38" s="68">
        <f>$J$3/$J$2</f>
        <v>33.41317365269461</v>
      </c>
      <c r="H38" s="54">
        <v>-737370</v>
      </c>
      <c r="I38" s="69">
        <f t="shared" si="1"/>
        <v>-22068.241935483871</v>
      </c>
      <c r="K38" s="58">
        <v>78</v>
      </c>
      <c r="L38" s="68">
        <f>$J$3/$J$1</f>
        <v>30.326086956521738</v>
      </c>
      <c r="M38" s="54">
        <v>-450754</v>
      </c>
      <c r="N38" s="69">
        <f t="shared" si="2"/>
        <v>-14863.572759856632</v>
      </c>
      <c r="P38" s="58">
        <v>22</v>
      </c>
      <c r="Q38" s="68">
        <f>$J$3/$J$2</f>
        <v>33.41317365269461</v>
      </c>
      <c r="R38" s="54">
        <v>-443480</v>
      </c>
      <c r="S38" s="69">
        <f t="shared" si="3"/>
        <v>-13272.609318996416</v>
      </c>
    </row>
    <row r="39" spans="1:19" x14ac:dyDescent="0.25">
      <c r="A39" s="58">
        <v>58</v>
      </c>
      <c r="B39" s="68">
        <f>$J$3/$J$1</f>
        <v>30.326086956521738</v>
      </c>
      <c r="C39" s="54">
        <v>-793953</v>
      </c>
      <c r="D39" s="69">
        <f t="shared" si="0"/>
        <v>-26180.529032258066</v>
      </c>
      <c r="F39" s="58">
        <v>6</v>
      </c>
      <c r="G39" s="68">
        <f>$J$3/$J$2</f>
        <v>33.41317365269461</v>
      </c>
      <c r="H39" s="54">
        <v>-760719</v>
      </c>
      <c r="I39" s="69">
        <f t="shared" si="1"/>
        <v>-22767.038172043012</v>
      </c>
      <c r="K39" s="58">
        <v>81</v>
      </c>
      <c r="L39" s="68">
        <f>$J$3/$J$1</f>
        <v>30.326086956521738</v>
      </c>
      <c r="M39" s="54">
        <v>-460974</v>
      </c>
      <c r="N39" s="69">
        <f t="shared" si="2"/>
        <v>-15200.576344086023</v>
      </c>
      <c r="P39" s="58">
        <v>97</v>
      </c>
      <c r="Q39" s="68">
        <f>$J$3/$J$2</f>
        <v>33.41317365269461</v>
      </c>
      <c r="R39" s="54">
        <v>-474669</v>
      </c>
      <c r="S39" s="69">
        <f t="shared" si="3"/>
        <v>-14206.043548387097</v>
      </c>
    </row>
    <row r="40" spans="1:19" x14ac:dyDescent="0.25">
      <c r="A40" s="58">
        <v>68</v>
      </c>
      <c r="B40" s="68">
        <f>$J$3/$J$1</f>
        <v>30.326086956521738</v>
      </c>
      <c r="C40" s="54">
        <v>-803861</v>
      </c>
      <c r="D40" s="69">
        <f t="shared" si="0"/>
        <v>-26507.244444444445</v>
      </c>
      <c r="F40" s="58">
        <v>18</v>
      </c>
      <c r="G40" s="68">
        <f>$J$3/$J$2</f>
        <v>33.41317365269461</v>
      </c>
      <c r="H40" s="54">
        <v>-824942</v>
      </c>
      <c r="I40" s="69">
        <f t="shared" si="1"/>
        <v>-24689.124372759856</v>
      </c>
      <c r="K40" s="58">
        <v>48</v>
      </c>
      <c r="L40" s="68">
        <f>$J$3/$J$1</f>
        <v>30.326086956521738</v>
      </c>
      <c r="M40" s="54">
        <v>-522318</v>
      </c>
      <c r="N40" s="69">
        <f t="shared" si="2"/>
        <v>-17223.389247311829</v>
      </c>
      <c r="P40" s="58">
        <v>57</v>
      </c>
      <c r="Q40" s="68">
        <f>$J$3/$J$2</f>
        <v>33.41317365269461</v>
      </c>
      <c r="R40" s="54">
        <v>-519769</v>
      </c>
      <c r="S40" s="69">
        <f t="shared" si="3"/>
        <v>-15555.810573476703</v>
      </c>
    </row>
    <row r="41" spans="1:19" x14ac:dyDescent="0.25">
      <c r="A41" s="58">
        <v>60</v>
      </c>
      <c r="B41" s="68">
        <f>$J$3/$J$1</f>
        <v>30.326086956521738</v>
      </c>
      <c r="C41" s="54">
        <v>-850901</v>
      </c>
      <c r="D41" s="69">
        <f t="shared" si="0"/>
        <v>-28058.384229390682</v>
      </c>
      <c r="F41" s="58">
        <v>11</v>
      </c>
      <c r="G41" s="68">
        <f>$J$3/$J$2</f>
        <v>33.41317365269461</v>
      </c>
      <c r="H41" s="54">
        <v>-906527</v>
      </c>
      <c r="I41" s="69">
        <f t="shared" si="1"/>
        <v>-27130.825985663083</v>
      </c>
      <c r="K41" s="58">
        <v>87</v>
      </c>
      <c r="L41" s="68">
        <f>$J$3/$J$1</f>
        <v>30.326086956521738</v>
      </c>
      <c r="M41" s="54">
        <v>-542332</v>
      </c>
      <c r="N41" s="69">
        <f t="shared" si="2"/>
        <v>-17883.349103942652</v>
      </c>
      <c r="P41" s="58">
        <v>35</v>
      </c>
      <c r="Q41" s="68">
        <f>$J$3/$J$2</f>
        <v>33.41317365269461</v>
      </c>
      <c r="R41" s="54">
        <v>-552149</v>
      </c>
      <c r="S41" s="69">
        <f t="shared" si="3"/>
        <v>-16524.889426523299</v>
      </c>
    </row>
    <row r="42" spans="1:19" x14ac:dyDescent="0.25">
      <c r="A42" s="58">
        <v>74</v>
      </c>
      <c r="B42" s="68">
        <f>$J$3/$J$1</f>
        <v>30.326086956521738</v>
      </c>
      <c r="C42" s="54">
        <v>-871942</v>
      </c>
      <c r="D42" s="69">
        <f t="shared" si="0"/>
        <v>-28752.209318996418</v>
      </c>
      <c r="F42" s="58">
        <v>14</v>
      </c>
      <c r="G42" s="68">
        <f>$J$3/$J$2</f>
        <v>33.41317365269461</v>
      </c>
      <c r="H42" s="54">
        <v>-923878</v>
      </c>
      <c r="I42" s="69">
        <f t="shared" si="1"/>
        <v>-27650.112186379931</v>
      </c>
      <c r="K42" s="58">
        <v>41</v>
      </c>
      <c r="L42" s="68">
        <f>$J$3/$J$1</f>
        <v>30.326086956521738</v>
      </c>
      <c r="M42" s="54">
        <v>-545075</v>
      </c>
      <c r="N42" s="69">
        <f t="shared" si="2"/>
        <v>-17973.799283154123</v>
      </c>
      <c r="P42" s="58">
        <v>81</v>
      </c>
      <c r="Q42" s="68">
        <f>$J$3/$J$2</f>
        <v>33.41317365269461</v>
      </c>
      <c r="R42" s="54">
        <v>-553719</v>
      </c>
      <c r="S42" s="69">
        <f t="shared" si="3"/>
        <v>-16571.876881720429</v>
      </c>
    </row>
    <row r="43" spans="1:19" x14ac:dyDescent="0.25">
      <c r="A43" s="58">
        <v>71</v>
      </c>
      <c r="B43" s="68">
        <f>$J$3/$J$1</f>
        <v>30.326086956521738</v>
      </c>
      <c r="C43" s="54">
        <v>-879757</v>
      </c>
      <c r="D43" s="69">
        <f t="shared" si="0"/>
        <v>-29009.908243727601</v>
      </c>
      <c r="F43" s="58">
        <v>90</v>
      </c>
      <c r="G43" s="68">
        <f>$J$3/$J$2</f>
        <v>33.41317365269461</v>
      </c>
      <c r="H43" s="54">
        <v>-944796</v>
      </c>
      <c r="I43" s="69">
        <f t="shared" si="1"/>
        <v>-28276.152688172042</v>
      </c>
      <c r="K43" s="58">
        <v>23</v>
      </c>
      <c r="L43" s="68">
        <f>$J$3/$J$1</f>
        <v>30.326086956521738</v>
      </c>
      <c r="M43" s="54">
        <v>-550483</v>
      </c>
      <c r="N43" s="69">
        <f t="shared" si="2"/>
        <v>-18152.127598566309</v>
      </c>
      <c r="P43" s="58">
        <v>25</v>
      </c>
      <c r="Q43" s="68">
        <f>$J$3/$J$2</f>
        <v>33.41317365269461</v>
      </c>
      <c r="R43" s="54">
        <v>-602771</v>
      </c>
      <c r="S43" s="69">
        <f t="shared" si="3"/>
        <v>-18039.920609318997</v>
      </c>
    </row>
    <row r="44" spans="1:19" x14ac:dyDescent="0.25">
      <c r="A44" s="58">
        <v>13</v>
      </c>
      <c r="B44" s="68">
        <f>$J$3/$J$1</f>
        <v>30.326086956521738</v>
      </c>
      <c r="C44" s="54">
        <v>-1072053</v>
      </c>
      <c r="D44" s="69">
        <f t="shared" si="0"/>
        <v>-35350.851612903229</v>
      </c>
      <c r="F44" s="58">
        <v>88</v>
      </c>
      <c r="G44" s="68">
        <f>$J$3/$J$2</f>
        <v>33.41317365269461</v>
      </c>
      <c r="H44" s="54">
        <v>-964689</v>
      </c>
      <c r="I44" s="69">
        <f t="shared" si="1"/>
        <v>-28871.516666666666</v>
      </c>
      <c r="K44" s="58">
        <v>55</v>
      </c>
      <c r="L44" s="68">
        <f>$J$3/$J$1</f>
        <v>30.326086956521738</v>
      </c>
      <c r="M44" s="54">
        <v>-592287</v>
      </c>
      <c r="N44" s="69">
        <f t="shared" si="2"/>
        <v>-19530.610752688171</v>
      </c>
      <c r="P44" s="58">
        <v>23</v>
      </c>
      <c r="Q44" s="68">
        <f>$J$3/$J$2</f>
        <v>33.41317365269461</v>
      </c>
      <c r="R44" s="54">
        <v>-625997</v>
      </c>
      <c r="S44" s="69">
        <f t="shared" si="3"/>
        <v>-18735.035663082439</v>
      </c>
    </row>
    <row r="45" spans="1:19" x14ac:dyDescent="0.25">
      <c r="A45" s="58">
        <v>92</v>
      </c>
      <c r="B45" s="68">
        <f>$J$3/$J$1</f>
        <v>30.326086956521738</v>
      </c>
      <c r="C45" s="54">
        <v>-1105120</v>
      </c>
      <c r="D45" s="69">
        <f t="shared" si="0"/>
        <v>-36441.232974910396</v>
      </c>
      <c r="F45" s="58">
        <v>10</v>
      </c>
      <c r="G45" s="68">
        <f>$J$3/$J$2</f>
        <v>33.41317365269461</v>
      </c>
      <c r="H45" s="54">
        <v>-1019506</v>
      </c>
      <c r="I45" s="69">
        <f t="shared" si="1"/>
        <v>-30512.097132616487</v>
      </c>
      <c r="K45" s="58">
        <v>31</v>
      </c>
      <c r="L45" s="68">
        <f>$J$3/$J$1</f>
        <v>30.326086956521738</v>
      </c>
      <c r="M45" s="54">
        <v>-620072</v>
      </c>
      <c r="N45" s="69">
        <f t="shared" si="2"/>
        <v>-20446.818637992834</v>
      </c>
      <c r="P45" s="58">
        <v>78</v>
      </c>
      <c r="Q45" s="68">
        <f>$J$3/$J$2</f>
        <v>33.41317365269461</v>
      </c>
      <c r="R45" s="54">
        <v>-732192</v>
      </c>
      <c r="S45" s="69">
        <f t="shared" si="3"/>
        <v>-21913.273118279569</v>
      </c>
    </row>
    <row r="46" spans="1:19" x14ac:dyDescent="0.25">
      <c r="A46" s="58">
        <v>21</v>
      </c>
      <c r="B46" s="68">
        <f>$J$3/$J$1</f>
        <v>30.326086956521738</v>
      </c>
      <c r="C46" s="54">
        <v>-1124143</v>
      </c>
      <c r="D46" s="69">
        <f t="shared" si="0"/>
        <v>-37068.514695340506</v>
      </c>
      <c r="F46" s="58">
        <v>2</v>
      </c>
      <c r="G46" s="68">
        <f>$J$3/$J$2</f>
        <v>33.41317365269461</v>
      </c>
      <c r="H46" s="54">
        <v>-1048073</v>
      </c>
      <c r="I46" s="69">
        <f t="shared" si="1"/>
        <v>-31367.059318996417</v>
      </c>
      <c r="K46" s="58">
        <v>40</v>
      </c>
      <c r="L46" s="68">
        <f>$J$3/$J$1</f>
        <v>30.326086956521738</v>
      </c>
      <c r="M46" s="54">
        <v>-658386</v>
      </c>
      <c r="N46" s="69">
        <f t="shared" si="2"/>
        <v>-21710.219354838711</v>
      </c>
      <c r="P46" s="58">
        <v>41</v>
      </c>
      <c r="Q46" s="68">
        <f>$J$3/$J$2</f>
        <v>33.41317365269461</v>
      </c>
      <c r="R46" s="54">
        <v>-890843</v>
      </c>
      <c r="S46" s="69">
        <f t="shared" si="3"/>
        <v>-26661.430286738352</v>
      </c>
    </row>
    <row r="47" spans="1:19" x14ac:dyDescent="0.25">
      <c r="A47" s="58">
        <v>64</v>
      </c>
      <c r="B47" s="68">
        <f>$J$3/$J$1</f>
        <v>30.326086956521738</v>
      </c>
      <c r="C47" s="54">
        <v>-1198677</v>
      </c>
      <c r="D47" s="69">
        <f t="shared" si="0"/>
        <v>-39526.26666666667</v>
      </c>
      <c r="F47" s="58">
        <v>12</v>
      </c>
      <c r="G47" s="68">
        <f>$J$3/$J$2</f>
        <v>33.41317365269461</v>
      </c>
      <c r="H47" s="54">
        <v>-1098022</v>
      </c>
      <c r="I47" s="69">
        <f t="shared" si="1"/>
        <v>-32861.948745519716</v>
      </c>
      <c r="K47" s="58">
        <v>97</v>
      </c>
      <c r="L47" s="68">
        <f>$J$3/$J$1</f>
        <v>30.326086956521738</v>
      </c>
      <c r="M47" s="54">
        <v>-661431</v>
      </c>
      <c r="N47" s="69">
        <f t="shared" si="2"/>
        <v>-21810.627956989247</v>
      </c>
      <c r="P47" s="58">
        <v>48</v>
      </c>
      <c r="Q47" s="68">
        <f>$J$3/$J$2</f>
        <v>33.41317365269461</v>
      </c>
      <c r="R47" s="54">
        <v>-914243</v>
      </c>
      <c r="S47" s="69">
        <f t="shared" si="3"/>
        <v>-27361.752867383515</v>
      </c>
    </row>
    <row r="48" spans="1:19" x14ac:dyDescent="0.25">
      <c r="A48" s="58">
        <v>3</v>
      </c>
      <c r="B48" s="68">
        <f>$J$3/$J$1</f>
        <v>30.326086956521738</v>
      </c>
      <c r="C48" s="54">
        <v>-1231829</v>
      </c>
      <c r="D48" s="69">
        <f t="shared" si="0"/>
        <v>-40619.450896057351</v>
      </c>
      <c r="F48" s="58">
        <v>72</v>
      </c>
      <c r="G48" s="68">
        <f>$J$3/$J$2</f>
        <v>33.41317365269461</v>
      </c>
      <c r="H48" s="54">
        <v>-1168137</v>
      </c>
      <c r="I48" s="69">
        <f t="shared" si="1"/>
        <v>-34960.372580645162</v>
      </c>
      <c r="K48" s="58">
        <v>56</v>
      </c>
      <c r="L48" s="68">
        <f>$J$3/$J$1</f>
        <v>30.326086956521738</v>
      </c>
      <c r="M48" s="54">
        <v>-736742</v>
      </c>
      <c r="N48" s="69">
        <f t="shared" si="2"/>
        <v>-24294.001433691756</v>
      </c>
      <c r="P48" s="58">
        <v>96</v>
      </c>
      <c r="Q48" s="68">
        <f>$J$3/$J$2</f>
        <v>33.41317365269461</v>
      </c>
      <c r="R48" s="54">
        <v>-944950</v>
      </c>
      <c r="S48" s="69">
        <f t="shared" si="3"/>
        <v>-28280.76164874552</v>
      </c>
    </row>
    <row r="49" spans="1:19" x14ac:dyDescent="0.25">
      <c r="A49" s="58">
        <v>70</v>
      </c>
      <c r="B49" s="68">
        <f>$J$3/$J$1</f>
        <v>30.326086956521738</v>
      </c>
      <c r="C49" s="54">
        <v>-1290356</v>
      </c>
      <c r="D49" s="69">
        <f t="shared" si="0"/>
        <v>-42549.373476702509</v>
      </c>
      <c r="F49" s="58">
        <v>62</v>
      </c>
      <c r="G49" s="68">
        <f>$J$3/$J$2</f>
        <v>33.41317365269461</v>
      </c>
      <c r="H49" s="54">
        <v>-1177761</v>
      </c>
      <c r="I49" s="69">
        <f t="shared" si="1"/>
        <v>-35248.402688172042</v>
      </c>
      <c r="K49" s="58">
        <v>85</v>
      </c>
      <c r="L49" s="68">
        <f>$J$3/$J$1</f>
        <v>30.326086956521738</v>
      </c>
      <c r="M49" s="54">
        <v>-789944</v>
      </c>
      <c r="N49" s="69">
        <f t="shared" si="2"/>
        <v>-26048.332616487456</v>
      </c>
      <c r="P49" s="58">
        <v>82</v>
      </c>
      <c r="Q49" s="68">
        <f>$J$3/$J$2</f>
        <v>33.41317365269461</v>
      </c>
      <c r="R49" s="54">
        <v>-954865</v>
      </c>
      <c r="S49" s="69">
        <f t="shared" si="3"/>
        <v>-28577.500896057347</v>
      </c>
    </row>
    <row r="50" spans="1:19" x14ac:dyDescent="0.25">
      <c r="A50" s="58">
        <v>65</v>
      </c>
      <c r="B50" s="68">
        <f>$J$3/$J$1</f>
        <v>30.326086956521738</v>
      </c>
      <c r="C50" s="54">
        <v>-1335361</v>
      </c>
      <c r="D50" s="69">
        <f t="shared" si="0"/>
        <v>-44033.409318996419</v>
      </c>
      <c r="F50" s="58">
        <v>19</v>
      </c>
      <c r="G50" s="68">
        <f>$J$3/$J$2</f>
        <v>33.41317365269461</v>
      </c>
      <c r="H50" s="54">
        <v>-1251057</v>
      </c>
      <c r="I50" s="69">
        <f t="shared" si="1"/>
        <v>-37442.028494623657</v>
      </c>
      <c r="K50" s="58">
        <v>26</v>
      </c>
      <c r="L50" s="68">
        <f>$J$3/$J$1</f>
        <v>30.326086956521738</v>
      </c>
      <c r="M50" s="54">
        <v>-946136</v>
      </c>
      <c r="N50" s="69">
        <f t="shared" si="2"/>
        <v>-31198.749820788533</v>
      </c>
      <c r="P50" s="58">
        <v>50</v>
      </c>
      <c r="Q50" s="68">
        <f>$J$3/$J$2</f>
        <v>33.41317365269461</v>
      </c>
      <c r="R50" s="54">
        <v>-1011749</v>
      </c>
      <c r="S50" s="69">
        <f t="shared" si="3"/>
        <v>-30279.943189964157</v>
      </c>
    </row>
    <row r="51" spans="1:19" x14ac:dyDescent="0.25">
      <c r="A51" s="58">
        <v>18</v>
      </c>
      <c r="B51" s="68">
        <f>$J$3/$J$1</f>
        <v>30.326086956521738</v>
      </c>
      <c r="C51" s="54">
        <v>-1388548</v>
      </c>
      <c r="D51" s="69">
        <f t="shared" si="0"/>
        <v>-45787.2458781362</v>
      </c>
      <c r="F51" s="58">
        <v>68</v>
      </c>
      <c r="G51" s="68">
        <f>$J$3/$J$2</f>
        <v>33.41317365269461</v>
      </c>
      <c r="H51" s="54">
        <v>-1292553</v>
      </c>
      <c r="I51" s="69">
        <f t="shared" si="1"/>
        <v>-38683.933870967739</v>
      </c>
      <c r="K51" s="58">
        <v>84</v>
      </c>
      <c r="L51" s="68">
        <f>$J$3/$J$1</f>
        <v>30.326086956521738</v>
      </c>
      <c r="M51" s="54">
        <v>-948146</v>
      </c>
      <c r="N51" s="69">
        <f t="shared" si="2"/>
        <v>-31265.029390681004</v>
      </c>
      <c r="P51" s="58">
        <v>40</v>
      </c>
      <c r="Q51" s="68">
        <f>$J$3/$J$2</f>
        <v>33.41317365269461</v>
      </c>
      <c r="R51" s="54">
        <v>-1028317</v>
      </c>
      <c r="S51" s="69">
        <f t="shared" si="3"/>
        <v>-30775.795519713261</v>
      </c>
    </row>
    <row r="52" spans="1:19" x14ac:dyDescent="0.25">
      <c r="A52" s="58">
        <v>91</v>
      </c>
      <c r="B52" s="68">
        <f>$J$3/$J$1</f>
        <v>30.326086956521738</v>
      </c>
      <c r="C52" s="54">
        <v>-1477388</v>
      </c>
      <c r="D52" s="69">
        <f t="shared" si="0"/>
        <v>-48716.736917562725</v>
      </c>
      <c r="F52" s="58">
        <v>60</v>
      </c>
      <c r="G52" s="68">
        <f>$J$3/$J$2</f>
        <v>33.41317365269461</v>
      </c>
      <c r="H52" s="54">
        <v>-1363928</v>
      </c>
      <c r="I52" s="69">
        <f t="shared" si="1"/>
        <v>-40820.067383512549</v>
      </c>
      <c r="K52" s="58">
        <v>37</v>
      </c>
      <c r="L52" s="68">
        <f>$J$3/$J$1</f>
        <v>30.326086956521738</v>
      </c>
      <c r="M52" s="54">
        <v>-1123636</v>
      </c>
      <c r="N52" s="69">
        <f t="shared" si="2"/>
        <v>-37051.796415770608</v>
      </c>
      <c r="P52" s="58">
        <v>45</v>
      </c>
      <c r="Q52" s="68">
        <f>$J$3/$J$2</f>
        <v>33.41317365269461</v>
      </c>
      <c r="R52" s="54">
        <v>-1108132</v>
      </c>
      <c r="S52" s="69">
        <f t="shared" si="3"/>
        <v>-33164.524014336916</v>
      </c>
    </row>
    <row r="53" spans="1:19" x14ac:dyDescent="0.25">
      <c r="A53" s="58">
        <v>67</v>
      </c>
      <c r="B53" s="68">
        <f>$J$3/$J$1</f>
        <v>30.326086956521738</v>
      </c>
      <c r="C53" s="54">
        <v>-1558535</v>
      </c>
      <c r="D53" s="69">
        <f t="shared" si="0"/>
        <v>-51392.551971326167</v>
      </c>
      <c r="F53" s="58">
        <v>66</v>
      </c>
      <c r="G53" s="68">
        <f>$J$3/$J$2</f>
        <v>33.41317365269461</v>
      </c>
      <c r="H53" s="54">
        <v>-1541082</v>
      </c>
      <c r="I53" s="69">
        <f t="shared" si="1"/>
        <v>-46121.988172043013</v>
      </c>
      <c r="K53" s="58">
        <v>77</v>
      </c>
      <c r="L53" s="68">
        <f>$J$3/$J$1</f>
        <v>30.326086956521738</v>
      </c>
      <c r="M53" s="54">
        <v>-1136517</v>
      </c>
      <c r="N53" s="69">
        <f t="shared" si="2"/>
        <v>-37476.546236559137</v>
      </c>
      <c r="P53" s="58">
        <v>37</v>
      </c>
      <c r="Q53" s="68">
        <f>$J$3/$J$2</f>
        <v>33.41317365269461</v>
      </c>
      <c r="R53" s="54">
        <v>-1231599</v>
      </c>
      <c r="S53" s="69">
        <f t="shared" si="3"/>
        <v>-36859.683333333334</v>
      </c>
    </row>
    <row r="54" spans="1:19" x14ac:dyDescent="0.25">
      <c r="A54" s="58">
        <v>93</v>
      </c>
      <c r="B54" s="68">
        <f>$J$3/$J$1</f>
        <v>30.326086956521738</v>
      </c>
      <c r="C54" s="54">
        <v>-1560391</v>
      </c>
      <c r="D54" s="69">
        <f t="shared" si="0"/>
        <v>-51453.753405017924</v>
      </c>
      <c r="F54" s="58">
        <v>13</v>
      </c>
      <c r="G54" s="68">
        <f>$J$3/$J$2</f>
        <v>33.41317365269461</v>
      </c>
      <c r="H54" s="54">
        <v>-1570807</v>
      </c>
      <c r="I54" s="69">
        <f t="shared" si="1"/>
        <v>-47011.607347670251</v>
      </c>
      <c r="K54" s="58">
        <v>94</v>
      </c>
      <c r="L54" s="68">
        <f>$J$3/$J$1</f>
        <v>30.326086956521738</v>
      </c>
      <c r="M54" s="54">
        <v>-1189690</v>
      </c>
      <c r="N54" s="69">
        <f t="shared" si="2"/>
        <v>-39229.921146953406</v>
      </c>
      <c r="P54" s="58">
        <v>80</v>
      </c>
      <c r="Q54" s="68">
        <f>$J$3/$J$2</f>
        <v>33.41317365269461</v>
      </c>
      <c r="R54" s="54">
        <v>-1261366</v>
      </c>
      <c r="S54" s="69">
        <f t="shared" si="3"/>
        <v>-37750.559498207884</v>
      </c>
    </row>
    <row r="55" spans="1:19" x14ac:dyDescent="0.25">
      <c r="A55" s="58"/>
      <c r="B55" s="59"/>
      <c r="C55" s="54"/>
      <c r="D55" s="55"/>
      <c r="F55" s="58"/>
      <c r="G55" s="59"/>
      <c r="H55" s="54"/>
      <c r="I55" s="55"/>
      <c r="K55" s="58">
        <v>32</v>
      </c>
      <c r="L55" s="68">
        <f>$J$3/$J$1</f>
        <v>30.326086956521738</v>
      </c>
      <c r="M55" s="54">
        <v>-1238968</v>
      </c>
      <c r="N55" s="69">
        <f t="shared" si="2"/>
        <v>-40854.858781362011</v>
      </c>
      <c r="P55" s="58">
        <v>52</v>
      </c>
      <c r="Q55" s="68">
        <f>$J$3/$J$2</f>
        <v>33.41317365269461</v>
      </c>
      <c r="R55" s="54">
        <v>-1306284</v>
      </c>
      <c r="S55" s="69">
        <f t="shared" si="3"/>
        <v>-39094.879569892473</v>
      </c>
    </row>
    <row r="56" spans="1:19" x14ac:dyDescent="0.25">
      <c r="A56" s="58"/>
      <c r="B56" s="59"/>
      <c r="C56" s="54"/>
      <c r="D56" s="55"/>
      <c r="F56" s="58"/>
      <c r="G56" s="59"/>
      <c r="H56" s="54"/>
      <c r="I56" s="55"/>
      <c r="K56" s="58">
        <v>36</v>
      </c>
      <c r="L56" s="68">
        <f>$J$3/$J$1</f>
        <v>30.326086956521738</v>
      </c>
      <c r="M56" s="54">
        <v>-1281241</v>
      </c>
      <c r="N56" s="69">
        <f t="shared" si="2"/>
        <v>-42248.807168458785</v>
      </c>
      <c r="P56" s="58">
        <v>38</v>
      </c>
      <c r="Q56" s="68">
        <f>$J$3/$J$2</f>
        <v>33.41317365269461</v>
      </c>
      <c r="R56" s="54">
        <v>-1308829</v>
      </c>
      <c r="S56" s="69">
        <f t="shared" si="3"/>
        <v>-39171.047132616492</v>
      </c>
    </row>
    <row r="57" spans="1:19" x14ac:dyDescent="0.25">
      <c r="A57" s="58"/>
      <c r="B57" s="59"/>
      <c r="C57" s="54"/>
      <c r="D57" s="55"/>
      <c r="F57" s="58"/>
      <c r="G57" s="59"/>
      <c r="H57" s="54"/>
      <c r="I57" s="55"/>
      <c r="K57" s="58">
        <v>29</v>
      </c>
      <c r="L57" s="68">
        <f>$J$3/$J$1</f>
        <v>30.326086956521738</v>
      </c>
      <c r="M57" s="54">
        <v>-1329121</v>
      </c>
      <c r="N57" s="69">
        <f t="shared" si="2"/>
        <v>-43827.645878136202</v>
      </c>
      <c r="P57" s="58">
        <v>46</v>
      </c>
      <c r="Q57" s="68">
        <f>$J$3/$J$2</f>
        <v>33.41317365269461</v>
      </c>
      <c r="R57" s="54">
        <v>-1311822</v>
      </c>
      <c r="S57" s="69">
        <f t="shared" si="3"/>
        <v>-39260.622580645162</v>
      </c>
    </row>
    <row r="58" spans="1:19" x14ac:dyDescent="0.25">
      <c r="A58" s="58"/>
      <c r="B58" s="59"/>
      <c r="C58" s="54"/>
      <c r="D58" s="55"/>
      <c r="F58" s="58"/>
      <c r="G58" s="59"/>
      <c r="H58" s="54"/>
      <c r="I58" s="55"/>
      <c r="K58" s="58">
        <v>80</v>
      </c>
      <c r="L58" s="68">
        <f>$J$3/$J$1</f>
        <v>30.326086956521738</v>
      </c>
      <c r="M58" s="54">
        <v>-1382584</v>
      </c>
      <c r="N58" s="69">
        <f t="shared" si="2"/>
        <v>-45590.583512544807</v>
      </c>
      <c r="P58" s="58">
        <v>53</v>
      </c>
      <c r="Q58" s="68">
        <f>$J$3/$J$2</f>
        <v>33.41317365269461</v>
      </c>
      <c r="R58" s="54">
        <v>-1316172</v>
      </c>
      <c r="S58" s="69">
        <f t="shared" si="3"/>
        <v>-39390.810752688172</v>
      </c>
    </row>
    <row r="59" spans="1:19" x14ac:dyDescent="0.25">
      <c r="A59" s="58"/>
      <c r="B59" s="59"/>
      <c r="C59" s="54"/>
      <c r="D59" s="55"/>
      <c r="F59" s="58"/>
      <c r="G59" s="59"/>
      <c r="H59" s="54"/>
      <c r="I59" s="55"/>
      <c r="K59" s="58">
        <v>38</v>
      </c>
      <c r="L59" s="68">
        <f>$J$3/$J$1</f>
        <v>30.326086956521738</v>
      </c>
      <c r="M59" s="54">
        <v>-1454904</v>
      </c>
      <c r="N59" s="69">
        <f t="shared" si="2"/>
        <v>-47975.329032258065</v>
      </c>
      <c r="P59" s="58">
        <v>87</v>
      </c>
      <c r="Q59" s="68">
        <f>$J$3/$J$2</f>
        <v>33.41317365269461</v>
      </c>
      <c r="R59" s="54">
        <v>-1394051</v>
      </c>
      <c r="S59" s="69">
        <f t="shared" si="3"/>
        <v>-41721.598028673834</v>
      </c>
    </row>
    <row r="60" spans="1:19" x14ac:dyDescent="0.25">
      <c r="A60" s="58"/>
      <c r="B60" s="59"/>
      <c r="C60" s="54"/>
      <c r="D60" s="55"/>
      <c r="F60" s="58"/>
      <c r="G60" s="59"/>
      <c r="H60" s="54"/>
      <c r="I60" s="55"/>
      <c r="K60" s="58">
        <v>96</v>
      </c>
      <c r="L60" s="68">
        <f>$J$3/$J$1</f>
        <v>30.326086956521738</v>
      </c>
      <c r="M60" s="54">
        <v>-1495940</v>
      </c>
      <c r="N60" s="69">
        <f t="shared" si="2"/>
        <v>-49328.487455197137</v>
      </c>
      <c r="P60" s="58">
        <v>36</v>
      </c>
      <c r="Q60" s="68">
        <f>$J$3/$J$2</f>
        <v>33.41317365269461</v>
      </c>
      <c r="R60" s="54">
        <v>-1395762</v>
      </c>
      <c r="S60" s="69">
        <f t="shared" si="3"/>
        <v>-41772.805376344084</v>
      </c>
    </row>
    <row r="61" spans="1:19" x14ac:dyDescent="0.25">
      <c r="A61" s="58"/>
      <c r="B61" s="59"/>
      <c r="C61" s="54"/>
      <c r="D61" s="55"/>
      <c r="F61" s="58"/>
      <c r="G61" s="59"/>
      <c r="H61" s="54"/>
      <c r="I61" s="55"/>
      <c r="K61" s="58">
        <v>76</v>
      </c>
      <c r="L61" s="68">
        <f>$J$3/$J$1</f>
        <v>30.326086956521738</v>
      </c>
      <c r="M61" s="54">
        <v>-1505954</v>
      </c>
      <c r="N61" s="69">
        <f t="shared" si="2"/>
        <v>-49658.698207885303</v>
      </c>
      <c r="P61" s="58">
        <v>42</v>
      </c>
      <c r="Q61" s="68">
        <f>$J$3/$J$2</f>
        <v>33.41317365269461</v>
      </c>
      <c r="R61" s="54">
        <v>-1449513</v>
      </c>
      <c r="S61" s="69">
        <f t="shared" si="3"/>
        <v>-43381.48225806452</v>
      </c>
    </row>
    <row r="62" spans="1:19" x14ac:dyDescent="0.25">
      <c r="A62" s="58"/>
      <c r="B62" s="59"/>
      <c r="C62" s="54"/>
      <c r="D62" s="55"/>
      <c r="F62" s="58"/>
      <c r="G62" s="59"/>
      <c r="H62" s="54"/>
      <c r="I62" s="55"/>
      <c r="K62" s="58">
        <v>52</v>
      </c>
      <c r="L62" s="68">
        <f>$J$3/$J$1</f>
        <v>30.326086956521738</v>
      </c>
      <c r="M62" s="54">
        <v>-1572435</v>
      </c>
      <c r="N62" s="69">
        <f t="shared" si="2"/>
        <v>-51850.903225806454</v>
      </c>
      <c r="P62" s="58">
        <v>28</v>
      </c>
      <c r="Q62" s="68">
        <f>$J$3/$J$2</f>
        <v>33.41317365269461</v>
      </c>
      <c r="R62" s="54">
        <v>-1475625</v>
      </c>
      <c r="S62" s="69">
        <f t="shared" si="3"/>
        <v>-44162.970430107525</v>
      </c>
    </row>
    <row r="63" spans="1:19" x14ac:dyDescent="0.25">
      <c r="A63" s="58"/>
      <c r="B63" s="59"/>
      <c r="C63" s="54"/>
      <c r="D63" s="55"/>
      <c r="F63" s="58"/>
      <c r="G63" s="59"/>
      <c r="H63" s="54"/>
      <c r="I63" s="55"/>
      <c r="K63" s="58">
        <v>100</v>
      </c>
      <c r="L63" s="68">
        <f>$J$3/$J$1</f>
        <v>30.326086956521738</v>
      </c>
      <c r="M63" s="54">
        <v>-1597710</v>
      </c>
      <c r="N63" s="69">
        <f t="shared" si="2"/>
        <v>-52684.344086021505</v>
      </c>
      <c r="P63" s="58">
        <v>83</v>
      </c>
      <c r="Q63" s="68">
        <f>$J$3/$J$2</f>
        <v>33.41317365269461</v>
      </c>
      <c r="R63" s="54">
        <v>-1533913</v>
      </c>
      <c r="S63" s="69">
        <f t="shared" si="3"/>
        <v>-45907.432078853046</v>
      </c>
    </row>
    <row r="64" spans="1:19" x14ac:dyDescent="0.25">
      <c r="A64" s="58"/>
      <c r="B64" s="59"/>
      <c r="C64" s="54"/>
      <c r="D64" s="55"/>
      <c r="F64" s="58"/>
      <c r="G64" s="59"/>
      <c r="H64" s="54"/>
      <c r="I64" s="55"/>
      <c r="K64" s="58">
        <v>51</v>
      </c>
      <c r="L64" s="68">
        <f>$J$3/$J$1</f>
        <v>30.326086956521738</v>
      </c>
      <c r="M64" s="54">
        <v>-1602000</v>
      </c>
      <c r="N64" s="69">
        <f t="shared" si="2"/>
        <v>-52825.806451612902</v>
      </c>
      <c r="P64" s="58">
        <v>77</v>
      </c>
      <c r="Q64" s="68">
        <f>$J$3/$J$2</f>
        <v>33.41317365269461</v>
      </c>
      <c r="R64" s="54">
        <v>-1545855</v>
      </c>
      <c r="S64" s="69">
        <f t="shared" si="3"/>
        <v>-46264.836021505376</v>
      </c>
    </row>
    <row r="65" spans="1:19" x14ac:dyDescent="0.25">
      <c r="A65" s="58"/>
      <c r="B65" s="59"/>
      <c r="C65" s="54"/>
      <c r="D65" s="55"/>
      <c r="F65" s="58"/>
      <c r="G65" s="59"/>
      <c r="H65" s="54"/>
      <c r="I65" s="55"/>
      <c r="K65" s="58"/>
      <c r="L65" s="59"/>
      <c r="M65" s="54"/>
      <c r="N65" s="55"/>
      <c r="P65" s="58"/>
      <c r="Q65" s="59"/>
      <c r="R65" s="54"/>
      <c r="S65" s="55"/>
    </row>
    <row r="66" spans="1:19" x14ac:dyDescent="0.25">
      <c r="A66" s="58"/>
      <c r="B66" s="59"/>
      <c r="C66" s="54"/>
      <c r="D66" s="55"/>
      <c r="F66" s="58"/>
      <c r="G66" s="59"/>
      <c r="H66" s="54"/>
      <c r="I66" s="55"/>
      <c r="K66" s="58"/>
      <c r="L66" s="59"/>
      <c r="M66" s="54"/>
      <c r="N66" s="55"/>
      <c r="P66" s="58"/>
      <c r="Q66" s="59"/>
      <c r="R66" s="54"/>
      <c r="S66" s="55"/>
    </row>
    <row r="67" spans="1:19" x14ac:dyDescent="0.25">
      <c r="A67" s="58"/>
      <c r="B67" s="59"/>
      <c r="C67" s="54"/>
      <c r="D67" s="55"/>
      <c r="F67" s="58"/>
      <c r="G67" s="59"/>
      <c r="H67" s="54"/>
      <c r="I67" s="55"/>
      <c r="K67" s="58"/>
      <c r="L67" s="59"/>
      <c r="M67" s="54"/>
      <c r="N67" s="55"/>
      <c r="P67" s="58"/>
      <c r="Q67" s="59"/>
      <c r="R67" s="54"/>
      <c r="S67" s="55"/>
    </row>
    <row r="68" spans="1:19" x14ac:dyDescent="0.25">
      <c r="A68" s="58"/>
      <c r="B68" s="59"/>
      <c r="C68" s="54"/>
      <c r="D68" s="55"/>
      <c r="F68" s="58"/>
      <c r="G68" s="59"/>
      <c r="H68" s="54"/>
      <c r="I68" s="55"/>
      <c r="K68" s="58"/>
      <c r="L68" s="59"/>
      <c r="M68" s="54"/>
      <c r="N68" s="55"/>
      <c r="P68" s="58"/>
      <c r="Q68" s="59"/>
      <c r="R68" s="54"/>
      <c r="S68" s="55"/>
    </row>
    <row r="69" spans="1:19" x14ac:dyDescent="0.25">
      <c r="A69" s="58"/>
      <c r="B69" s="59"/>
      <c r="C69" s="54"/>
      <c r="D69" s="55"/>
      <c r="F69" s="58"/>
      <c r="G69" s="59"/>
      <c r="H69" s="54"/>
      <c r="I69" s="55"/>
      <c r="K69" s="58"/>
      <c r="L69" s="59"/>
      <c r="M69" s="54"/>
      <c r="N69" s="55"/>
      <c r="P69" s="58"/>
      <c r="Q69" s="59"/>
      <c r="R69" s="54"/>
      <c r="S69" s="55"/>
    </row>
    <row r="70" spans="1:19" x14ac:dyDescent="0.25">
      <c r="A70" s="58"/>
      <c r="B70" s="59"/>
      <c r="C70" s="54"/>
      <c r="D70" s="55"/>
      <c r="F70" s="58"/>
      <c r="G70" s="59"/>
      <c r="H70" s="54"/>
      <c r="I70" s="55"/>
      <c r="K70" s="58"/>
      <c r="L70" s="59"/>
      <c r="M70" s="54"/>
      <c r="N70" s="55"/>
      <c r="P70" s="58"/>
      <c r="Q70" s="59"/>
      <c r="R70" s="54"/>
      <c r="S70" s="55"/>
    </row>
    <row r="71" spans="1:19" x14ac:dyDescent="0.25">
      <c r="A71" s="58"/>
      <c r="B71" s="59"/>
      <c r="C71" s="54"/>
      <c r="D71" s="55"/>
      <c r="F71" s="58"/>
      <c r="G71" s="59"/>
      <c r="H71" s="54"/>
      <c r="I71" s="55"/>
      <c r="K71" s="58"/>
      <c r="L71" s="59"/>
      <c r="M71" s="54"/>
      <c r="N71" s="55"/>
      <c r="P71" s="58"/>
      <c r="Q71" s="59"/>
      <c r="R71" s="54"/>
      <c r="S71" s="55"/>
    </row>
    <row r="72" spans="1:19" x14ac:dyDescent="0.25">
      <c r="A72" s="58"/>
      <c r="B72" s="59"/>
      <c r="C72" s="54"/>
      <c r="D72" s="55"/>
      <c r="F72" s="58"/>
      <c r="G72" s="59"/>
      <c r="H72" s="54"/>
      <c r="I72" s="55"/>
      <c r="K72" s="58"/>
      <c r="L72" s="59"/>
      <c r="M72" s="54"/>
      <c r="N72" s="55"/>
      <c r="P72" s="58"/>
      <c r="Q72" s="59"/>
      <c r="R72" s="54"/>
      <c r="S72" s="55"/>
    </row>
    <row r="73" spans="1:19" x14ac:dyDescent="0.25">
      <c r="A73" s="58"/>
      <c r="B73" s="59"/>
      <c r="C73" s="54"/>
      <c r="D73" s="55"/>
      <c r="F73" s="58"/>
      <c r="G73" s="59"/>
      <c r="H73" s="54"/>
      <c r="I73" s="55"/>
      <c r="K73" s="58"/>
      <c r="L73" s="59"/>
      <c r="M73" s="54"/>
      <c r="N73" s="55"/>
      <c r="P73" s="58"/>
      <c r="Q73" s="59"/>
      <c r="R73" s="54"/>
      <c r="S73" s="55"/>
    </row>
    <row r="74" spans="1:19" x14ac:dyDescent="0.25">
      <c r="A74" s="58"/>
      <c r="B74" s="59"/>
      <c r="C74" s="54"/>
      <c r="D74" s="55"/>
      <c r="F74" s="58"/>
      <c r="G74" s="59"/>
      <c r="H74" s="54"/>
      <c r="I74" s="55"/>
      <c r="K74" s="58"/>
      <c r="L74" s="59"/>
      <c r="M74" s="54"/>
      <c r="N74" s="55"/>
      <c r="P74" s="58"/>
      <c r="Q74" s="59"/>
      <c r="R74" s="54"/>
      <c r="S74" s="55"/>
    </row>
    <row r="75" spans="1:19" x14ac:dyDescent="0.25">
      <c r="A75" s="58"/>
      <c r="B75" s="59"/>
      <c r="C75" s="54"/>
      <c r="D75" s="55"/>
      <c r="F75" s="58"/>
      <c r="G75" s="59"/>
      <c r="H75" s="54"/>
      <c r="I75" s="55"/>
      <c r="K75" s="58"/>
      <c r="L75" s="59"/>
      <c r="M75" s="54"/>
      <c r="N75" s="55"/>
      <c r="P75" s="58"/>
      <c r="Q75" s="59"/>
      <c r="R75" s="54"/>
      <c r="S75" s="55"/>
    </row>
    <row r="76" spans="1:19" x14ac:dyDescent="0.25">
      <c r="A76" s="58"/>
      <c r="B76" s="59"/>
      <c r="C76" s="54"/>
      <c r="D76" s="55"/>
      <c r="F76" s="58"/>
      <c r="G76" s="59"/>
      <c r="H76" s="54"/>
      <c r="I76" s="55"/>
      <c r="K76" s="58"/>
      <c r="L76" s="59"/>
      <c r="M76" s="54"/>
      <c r="N76" s="55"/>
      <c r="P76" s="58"/>
      <c r="Q76" s="59"/>
      <c r="R76" s="54"/>
      <c r="S76" s="55"/>
    </row>
    <row r="77" spans="1:19" x14ac:dyDescent="0.25">
      <c r="A77" s="58"/>
      <c r="B77" s="59"/>
      <c r="C77" s="54"/>
      <c r="D77" s="55"/>
      <c r="F77" s="58"/>
      <c r="G77" s="59"/>
      <c r="H77" s="54"/>
      <c r="I77" s="55"/>
      <c r="K77" s="58"/>
      <c r="L77" s="59"/>
      <c r="M77" s="54"/>
      <c r="N77" s="55"/>
      <c r="P77" s="58"/>
      <c r="Q77" s="59"/>
      <c r="R77" s="54"/>
      <c r="S77" s="55"/>
    </row>
    <row r="78" spans="1:19" x14ac:dyDescent="0.25">
      <c r="A78" s="58"/>
      <c r="B78" s="59"/>
      <c r="C78" s="54"/>
      <c r="D78" s="55"/>
      <c r="F78" s="58"/>
      <c r="G78" s="59"/>
      <c r="H78" s="54"/>
      <c r="I78" s="55"/>
      <c r="K78" s="58"/>
      <c r="L78" s="59"/>
      <c r="M78" s="54"/>
      <c r="N78" s="55"/>
      <c r="P78" s="58"/>
      <c r="Q78" s="59"/>
      <c r="R78" s="54"/>
      <c r="S78" s="55"/>
    </row>
    <row r="79" spans="1:19" x14ac:dyDescent="0.25">
      <c r="A79" s="58"/>
      <c r="B79" s="59"/>
      <c r="C79" s="54"/>
      <c r="D79" s="55"/>
      <c r="F79" s="58"/>
      <c r="G79" s="59"/>
      <c r="H79" s="54"/>
      <c r="I79" s="55"/>
      <c r="K79" s="58"/>
      <c r="L79" s="59"/>
      <c r="M79" s="54"/>
      <c r="N79" s="55"/>
      <c r="P79" s="58"/>
      <c r="Q79" s="59"/>
      <c r="R79" s="54"/>
      <c r="S79" s="55"/>
    </row>
    <row r="80" spans="1:19" x14ac:dyDescent="0.25">
      <c r="A80" s="58"/>
      <c r="B80" s="59"/>
      <c r="C80" s="54"/>
      <c r="D80" s="55"/>
      <c r="F80" s="58"/>
      <c r="G80" s="59"/>
      <c r="H80" s="54"/>
      <c r="I80" s="55"/>
      <c r="K80" s="58"/>
      <c r="L80" s="59"/>
      <c r="M80" s="54"/>
      <c r="N80" s="55"/>
      <c r="P80" s="58"/>
      <c r="Q80" s="59"/>
      <c r="R80" s="54"/>
      <c r="S80" s="55"/>
    </row>
    <row r="81" spans="1:19" x14ac:dyDescent="0.25">
      <c r="A81" s="58"/>
      <c r="B81" s="59"/>
      <c r="C81" s="54"/>
      <c r="D81" s="55"/>
      <c r="F81" s="58"/>
      <c r="G81" s="59"/>
      <c r="H81" s="54"/>
      <c r="I81" s="55"/>
      <c r="K81" s="58"/>
      <c r="L81" s="59"/>
      <c r="M81" s="54"/>
      <c r="N81" s="55"/>
      <c r="P81" s="58"/>
      <c r="Q81" s="59"/>
      <c r="R81" s="54"/>
      <c r="S81" s="55"/>
    </row>
    <row r="82" spans="1:19" x14ac:dyDescent="0.25">
      <c r="A82" s="58"/>
      <c r="B82" s="59"/>
      <c r="C82" s="54"/>
      <c r="D82" s="55"/>
      <c r="F82" s="58"/>
      <c r="G82" s="59"/>
      <c r="H82" s="54"/>
      <c r="I82" s="55"/>
      <c r="K82" s="58"/>
      <c r="L82" s="59"/>
      <c r="M82" s="54"/>
      <c r="N82" s="55"/>
      <c r="P82" s="58"/>
      <c r="Q82" s="59"/>
      <c r="R82" s="54"/>
      <c r="S82" s="55"/>
    </row>
    <row r="83" spans="1:19" x14ac:dyDescent="0.25">
      <c r="A83" s="58"/>
      <c r="B83" s="59"/>
      <c r="C83" s="54"/>
      <c r="D83" s="55"/>
      <c r="F83" s="58"/>
      <c r="G83" s="59"/>
      <c r="H83" s="54"/>
      <c r="I83" s="55"/>
      <c r="K83" s="58"/>
      <c r="L83" s="59"/>
      <c r="M83" s="54"/>
      <c r="N83" s="55"/>
      <c r="P83" s="58"/>
      <c r="Q83" s="59"/>
      <c r="R83" s="54"/>
      <c r="S83" s="55"/>
    </row>
    <row r="84" spans="1:19" x14ac:dyDescent="0.25">
      <c r="A84" s="58"/>
      <c r="B84" s="59"/>
      <c r="C84" s="54"/>
      <c r="D84" s="55"/>
      <c r="F84" s="58"/>
      <c r="G84" s="59"/>
      <c r="H84" s="54"/>
      <c r="I84" s="55"/>
      <c r="K84" s="58"/>
      <c r="L84" s="59"/>
      <c r="M84" s="54"/>
      <c r="N84" s="55"/>
      <c r="P84" s="58"/>
      <c r="Q84" s="59"/>
      <c r="R84" s="54"/>
      <c r="S84" s="55"/>
    </row>
    <row r="85" spans="1:19" x14ac:dyDescent="0.25">
      <c r="A85" s="58"/>
      <c r="B85" s="59"/>
      <c r="C85" s="54"/>
      <c r="D85" s="55"/>
      <c r="F85" s="58"/>
      <c r="G85" s="59"/>
      <c r="H85" s="54"/>
      <c r="I85" s="55"/>
      <c r="K85" s="58"/>
      <c r="L85" s="59"/>
      <c r="M85" s="54"/>
      <c r="N85" s="55"/>
      <c r="P85" s="58"/>
      <c r="Q85" s="59"/>
      <c r="R85" s="54"/>
      <c r="S85" s="55"/>
    </row>
    <row r="86" spans="1:19" x14ac:dyDescent="0.25">
      <c r="A86" s="58"/>
      <c r="B86" s="59"/>
      <c r="C86" s="54"/>
      <c r="D86" s="55"/>
      <c r="F86" s="58"/>
      <c r="G86" s="59"/>
      <c r="H86" s="54"/>
      <c r="I86" s="55"/>
      <c r="K86" s="58"/>
      <c r="L86" s="59"/>
      <c r="M86" s="54"/>
      <c r="N86" s="55"/>
      <c r="P86" s="58"/>
      <c r="Q86" s="59"/>
      <c r="R86" s="54"/>
      <c r="S86" s="55"/>
    </row>
    <row r="87" spans="1:19" x14ac:dyDescent="0.25">
      <c r="A87" s="58"/>
      <c r="B87" s="59"/>
      <c r="C87" s="54"/>
      <c r="D87" s="55"/>
      <c r="F87" s="58"/>
      <c r="G87" s="59"/>
      <c r="H87" s="54"/>
      <c r="I87" s="55"/>
      <c r="K87" s="58"/>
      <c r="L87" s="59"/>
      <c r="M87" s="54"/>
      <c r="N87" s="55"/>
      <c r="P87" s="58"/>
      <c r="Q87" s="59"/>
      <c r="R87" s="54"/>
      <c r="S87" s="55"/>
    </row>
    <row r="88" spans="1:19" x14ac:dyDescent="0.25">
      <c r="A88" s="58"/>
      <c r="B88" s="59"/>
      <c r="C88" s="54"/>
      <c r="D88" s="55"/>
      <c r="F88" s="58"/>
      <c r="G88" s="59"/>
      <c r="H88" s="54"/>
      <c r="I88" s="55"/>
      <c r="K88" s="58"/>
      <c r="L88" s="59"/>
      <c r="M88" s="54"/>
      <c r="N88" s="55"/>
      <c r="P88" s="58"/>
      <c r="Q88" s="59"/>
      <c r="R88" s="54"/>
      <c r="S88" s="55"/>
    </row>
    <row r="89" spans="1:19" x14ac:dyDescent="0.25">
      <c r="A89" s="58"/>
      <c r="B89" s="59"/>
      <c r="C89" s="54"/>
      <c r="D89" s="55"/>
      <c r="F89" s="58"/>
      <c r="G89" s="59"/>
      <c r="H89" s="54"/>
      <c r="I89" s="55"/>
      <c r="K89" s="58"/>
      <c r="L89" s="59"/>
      <c r="M89" s="54"/>
      <c r="N89" s="55"/>
      <c r="P89" s="58"/>
      <c r="Q89" s="59"/>
      <c r="R89" s="54"/>
      <c r="S89" s="55"/>
    </row>
    <row r="90" spans="1:19" x14ac:dyDescent="0.25">
      <c r="A90" s="58"/>
      <c r="B90" s="59"/>
      <c r="C90" s="54"/>
      <c r="D90" s="55"/>
      <c r="F90" s="58"/>
      <c r="G90" s="59"/>
      <c r="H90" s="54"/>
      <c r="I90" s="55"/>
      <c r="K90" s="58"/>
      <c r="L90" s="59"/>
      <c r="M90" s="54"/>
      <c r="N90" s="55"/>
      <c r="P90" s="58"/>
      <c r="Q90" s="59"/>
      <c r="R90" s="54"/>
      <c r="S90" s="55"/>
    </row>
    <row r="91" spans="1:19" x14ac:dyDescent="0.25">
      <c r="A91" s="58"/>
      <c r="B91" s="59"/>
      <c r="C91" s="54"/>
      <c r="D91" s="55"/>
      <c r="F91" s="58"/>
      <c r="G91" s="59"/>
      <c r="H91" s="54"/>
      <c r="I91" s="55"/>
      <c r="K91" s="58"/>
      <c r="L91" s="59"/>
      <c r="M91" s="54"/>
      <c r="N91" s="55"/>
      <c r="P91" s="58"/>
      <c r="Q91" s="59"/>
      <c r="R91" s="54"/>
      <c r="S91" s="55"/>
    </row>
    <row r="92" spans="1:19" x14ac:dyDescent="0.25">
      <c r="A92" s="58"/>
      <c r="B92" s="59"/>
      <c r="C92" s="54"/>
      <c r="D92" s="55"/>
      <c r="F92" s="58"/>
      <c r="G92" s="59"/>
      <c r="H92" s="54"/>
      <c r="I92" s="55"/>
      <c r="K92" s="58"/>
      <c r="L92" s="59"/>
      <c r="M92" s="54"/>
      <c r="N92" s="55"/>
      <c r="P92" s="58"/>
      <c r="Q92" s="59"/>
      <c r="R92" s="54"/>
      <c r="S92" s="55"/>
    </row>
    <row r="93" spans="1:19" x14ac:dyDescent="0.25">
      <c r="A93" s="58"/>
      <c r="B93" s="59"/>
      <c r="C93" s="54"/>
      <c r="D93" s="55"/>
      <c r="F93" s="58"/>
      <c r="G93" s="59"/>
      <c r="H93" s="54"/>
      <c r="I93" s="55"/>
      <c r="K93" s="58"/>
      <c r="L93" s="59"/>
      <c r="M93" s="54"/>
      <c r="N93" s="55"/>
      <c r="P93" s="58"/>
      <c r="Q93" s="59"/>
      <c r="R93" s="54"/>
      <c r="S93" s="55"/>
    </row>
    <row r="94" spans="1:19" x14ac:dyDescent="0.25">
      <c r="A94" s="58"/>
      <c r="B94" s="59"/>
      <c r="C94" s="54"/>
      <c r="D94" s="55"/>
      <c r="F94" s="58"/>
      <c r="G94" s="59"/>
      <c r="H94" s="54"/>
      <c r="I94" s="55"/>
      <c r="K94" s="58"/>
      <c r="L94" s="59"/>
      <c r="M94" s="54"/>
      <c r="N94" s="55"/>
      <c r="P94" s="58"/>
      <c r="Q94" s="59"/>
      <c r="R94" s="54"/>
      <c r="S94" s="55"/>
    </row>
    <row r="95" spans="1:19" x14ac:dyDescent="0.25">
      <c r="A95" s="58"/>
      <c r="B95" s="59"/>
      <c r="C95" s="54"/>
      <c r="D95" s="55"/>
      <c r="F95" s="58"/>
      <c r="G95" s="59"/>
      <c r="H95" s="54"/>
      <c r="I95" s="55"/>
      <c r="K95" s="58"/>
      <c r="L95" s="59"/>
      <c r="M95" s="54"/>
      <c r="N95" s="55"/>
      <c r="P95" s="58"/>
      <c r="Q95" s="59"/>
      <c r="R95" s="54"/>
      <c r="S95" s="55"/>
    </row>
    <row r="96" spans="1:19" x14ac:dyDescent="0.25">
      <c r="A96" s="58"/>
      <c r="B96" s="59"/>
      <c r="C96" s="54"/>
      <c r="D96" s="55"/>
      <c r="F96" s="58"/>
      <c r="G96" s="59"/>
      <c r="H96" s="54"/>
      <c r="I96" s="55"/>
      <c r="K96" s="58"/>
      <c r="L96" s="59"/>
      <c r="M96" s="54"/>
      <c r="N96" s="55"/>
      <c r="P96" s="58"/>
      <c r="Q96" s="59"/>
      <c r="R96" s="54"/>
      <c r="S96" s="55"/>
    </row>
    <row r="97" spans="1:19" x14ac:dyDescent="0.25">
      <c r="A97" s="58"/>
      <c r="B97" s="59"/>
      <c r="C97" s="54"/>
      <c r="D97" s="55"/>
      <c r="F97" s="58"/>
      <c r="G97" s="59"/>
      <c r="H97" s="54"/>
      <c r="I97" s="55"/>
      <c r="K97" s="58"/>
      <c r="L97" s="59"/>
      <c r="M97" s="54"/>
      <c r="N97" s="55"/>
      <c r="P97" s="58"/>
      <c r="Q97" s="59"/>
      <c r="R97" s="54"/>
      <c r="S97" s="55"/>
    </row>
    <row r="98" spans="1:19" x14ac:dyDescent="0.25">
      <c r="A98" s="58"/>
      <c r="B98" s="59"/>
      <c r="C98" s="54"/>
      <c r="D98" s="55"/>
      <c r="F98" s="58"/>
      <c r="G98" s="59"/>
      <c r="H98" s="54"/>
      <c r="I98" s="55"/>
      <c r="K98" s="58"/>
      <c r="L98" s="59"/>
      <c r="M98" s="54"/>
      <c r="N98" s="55"/>
      <c r="P98" s="58"/>
      <c r="Q98" s="59"/>
      <c r="R98" s="54"/>
      <c r="S98" s="55"/>
    </row>
    <row r="99" spans="1:19" x14ac:dyDescent="0.25">
      <c r="A99" s="58"/>
      <c r="B99" s="59"/>
      <c r="C99" s="54"/>
      <c r="D99" s="55"/>
      <c r="F99" s="58"/>
      <c r="G99" s="59"/>
      <c r="H99" s="54"/>
      <c r="I99" s="55"/>
      <c r="K99" s="58"/>
      <c r="L99" s="59"/>
      <c r="M99" s="54"/>
      <c r="N99" s="55"/>
      <c r="P99" s="58"/>
      <c r="Q99" s="59"/>
      <c r="R99" s="54"/>
      <c r="S99" s="55"/>
    </row>
    <row r="100" spans="1:19" x14ac:dyDescent="0.25">
      <c r="A100" s="58"/>
      <c r="B100" s="59"/>
      <c r="C100" s="54"/>
      <c r="D100" s="55"/>
      <c r="F100" s="58"/>
      <c r="G100" s="59"/>
      <c r="H100" s="54"/>
      <c r="I100" s="55"/>
      <c r="K100" s="58"/>
      <c r="L100" s="59"/>
      <c r="M100" s="54"/>
      <c r="N100" s="55"/>
      <c r="P100" s="58"/>
      <c r="Q100" s="59"/>
      <c r="R100" s="54"/>
      <c r="S100" s="55"/>
    </row>
    <row r="101" spans="1:19" x14ac:dyDescent="0.25">
      <c r="A101" s="58"/>
      <c r="B101" s="59"/>
      <c r="C101" s="54"/>
      <c r="D101" s="55"/>
      <c r="F101" s="58"/>
      <c r="G101" s="59"/>
      <c r="H101" s="54"/>
      <c r="I101" s="55"/>
      <c r="K101" s="58"/>
      <c r="L101" s="59"/>
      <c r="M101" s="54"/>
      <c r="N101" s="55"/>
      <c r="P101" s="58"/>
      <c r="Q101" s="59"/>
      <c r="R101" s="54"/>
      <c r="S101" s="55"/>
    </row>
    <row r="102" spans="1:19" x14ac:dyDescent="0.25">
      <c r="A102" s="58"/>
      <c r="B102" s="59"/>
      <c r="C102" s="54"/>
      <c r="D102" s="55"/>
      <c r="F102" s="58"/>
      <c r="G102" s="59"/>
      <c r="H102" s="54"/>
      <c r="I102" s="55"/>
      <c r="K102" s="58"/>
      <c r="L102" s="59"/>
      <c r="M102" s="54"/>
      <c r="N102" s="55"/>
      <c r="P102" s="58"/>
      <c r="Q102" s="59"/>
      <c r="R102" s="54"/>
      <c r="S102" s="55"/>
    </row>
    <row r="103" spans="1:19" x14ac:dyDescent="0.25">
      <c r="A103" s="58"/>
      <c r="B103" s="59"/>
      <c r="C103" s="54"/>
      <c r="D103" s="55"/>
      <c r="F103" s="58"/>
      <c r="G103" s="59"/>
      <c r="H103" s="54"/>
      <c r="I103" s="55"/>
      <c r="K103" s="58"/>
      <c r="L103" s="59"/>
      <c r="M103" s="54"/>
      <c r="N103" s="55"/>
      <c r="P103" s="58"/>
      <c r="Q103" s="59"/>
      <c r="R103" s="54"/>
      <c r="S103" s="55"/>
    </row>
    <row r="104" spans="1:19" x14ac:dyDescent="0.25">
      <c r="A104" s="58"/>
      <c r="B104" s="59"/>
      <c r="C104" s="54"/>
      <c r="D104" s="55"/>
      <c r="F104" s="58"/>
      <c r="G104" s="59"/>
      <c r="H104" s="54"/>
      <c r="I104" s="55"/>
      <c r="K104" s="58"/>
      <c r="L104" s="59"/>
      <c r="M104" s="54"/>
      <c r="N104" s="55"/>
      <c r="P104" s="58"/>
      <c r="Q104" s="59"/>
      <c r="R104" s="54"/>
      <c r="S104" s="55"/>
    </row>
    <row r="105" spans="1:19" x14ac:dyDescent="0.25">
      <c r="A105" s="58"/>
      <c r="B105" s="59"/>
      <c r="C105" s="54"/>
      <c r="D105" s="55"/>
      <c r="F105" s="58"/>
      <c r="G105" s="59"/>
      <c r="H105" s="54"/>
      <c r="I105" s="55"/>
      <c r="K105" s="58"/>
      <c r="L105" s="59"/>
      <c r="M105" s="54"/>
      <c r="N105" s="55"/>
      <c r="P105" s="58"/>
      <c r="Q105" s="59"/>
      <c r="R105" s="54"/>
      <c r="S105" s="55"/>
    </row>
    <row r="106" spans="1:19" x14ac:dyDescent="0.25">
      <c r="A106" s="58"/>
      <c r="B106" s="59"/>
      <c r="C106" s="54"/>
      <c r="D106" s="55"/>
      <c r="F106" s="58"/>
      <c r="G106" s="59"/>
      <c r="H106" s="54"/>
      <c r="I106" s="55"/>
      <c r="K106" s="58"/>
      <c r="L106" s="59"/>
      <c r="M106" s="54"/>
      <c r="N106" s="55"/>
      <c r="P106" s="58"/>
      <c r="Q106" s="59"/>
      <c r="R106" s="54"/>
      <c r="S106" s="55"/>
    </row>
    <row r="107" spans="1:19" x14ac:dyDescent="0.25">
      <c r="A107" s="58"/>
      <c r="B107" s="59"/>
      <c r="C107" s="54"/>
      <c r="D107" s="55"/>
      <c r="F107" s="58"/>
      <c r="G107" s="59"/>
      <c r="H107" s="54"/>
      <c r="I107" s="55"/>
      <c r="K107" s="58"/>
      <c r="L107" s="59"/>
      <c r="M107" s="54"/>
      <c r="N107" s="55"/>
      <c r="P107" s="58"/>
      <c r="Q107" s="59"/>
      <c r="R107" s="54"/>
      <c r="S107" s="55"/>
    </row>
    <row r="108" spans="1:19" x14ac:dyDescent="0.25">
      <c r="A108" s="58"/>
      <c r="B108" s="59"/>
      <c r="C108" s="54"/>
      <c r="D108" s="55"/>
      <c r="F108" s="58"/>
      <c r="G108" s="59"/>
      <c r="H108" s="54"/>
      <c r="I108" s="55"/>
      <c r="K108" s="58"/>
      <c r="L108" s="59"/>
      <c r="M108" s="54"/>
      <c r="N108" s="55"/>
      <c r="P108" s="58"/>
      <c r="Q108" s="59"/>
      <c r="R108" s="54"/>
      <c r="S108" s="55"/>
    </row>
    <row r="109" spans="1:19" x14ac:dyDescent="0.25">
      <c r="A109" s="58"/>
      <c r="B109" s="59"/>
      <c r="C109" s="54"/>
      <c r="D109" s="55"/>
      <c r="F109" s="58"/>
      <c r="G109" s="59"/>
      <c r="H109" s="54"/>
      <c r="I109" s="55"/>
      <c r="K109" s="58"/>
      <c r="L109" s="59"/>
      <c r="M109" s="54"/>
      <c r="N109" s="55"/>
      <c r="P109" s="58"/>
      <c r="Q109" s="59"/>
      <c r="R109" s="54"/>
      <c r="S109" s="55"/>
    </row>
    <row r="110" spans="1:19" x14ac:dyDescent="0.25">
      <c r="A110" s="58"/>
      <c r="B110" s="59"/>
      <c r="C110" s="54"/>
      <c r="D110" s="55"/>
      <c r="F110" s="58"/>
      <c r="G110" s="59"/>
      <c r="H110" s="54"/>
      <c r="I110" s="55"/>
      <c r="K110" s="58"/>
      <c r="L110" s="59"/>
      <c r="M110" s="54"/>
      <c r="N110" s="55"/>
      <c r="P110" s="58"/>
      <c r="Q110" s="59"/>
      <c r="R110" s="54"/>
      <c r="S110" s="55"/>
    </row>
    <row r="111" spans="1:19" x14ac:dyDescent="0.25">
      <c r="A111" s="58"/>
      <c r="B111" s="59"/>
      <c r="C111" s="54"/>
      <c r="D111" s="55"/>
      <c r="F111" s="58"/>
      <c r="G111" s="59"/>
      <c r="H111" s="54"/>
      <c r="I111" s="55"/>
      <c r="K111" s="58"/>
      <c r="L111" s="59"/>
      <c r="M111" s="54"/>
      <c r="N111" s="55"/>
      <c r="P111" s="58"/>
      <c r="Q111" s="59"/>
      <c r="R111" s="54"/>
      <c r="S111" s="55"/>
    </row>
    <row r="112" spans="1:19" x14ac:dyDescent="0.25">
      <c r="A112" s="58"/>
      <c r="B112" s="59"/>
      <c r="C112" s="54"/>
      <c r="D112" s="55"/>
      <c r="F112" s="58"/>
      <c r="G112" s="59"/>
      <c r="H112" s="54"/>
      <c r="I112" s="55"/>
      <c r="K112" s="58"/>
      <c r="L112" s="59"/>
      <c r="M112" s="54"/>
      <c r="N112" s="55"/>
      <c r="P112" s="58"/>
      <c r="Q112" s="59"/>
      <c r="R112" s="54"/>
      <c r="S112" s="55"/>
    </row>
    <row r="113" spans="1:19" x14ac:dyDescent="0.25">
      <c r="A113" s="58"/>
      <c r="B113" s="59"/>
      <c r="C113" s="54"/>
      <c r="D113" s="55"/>
      <c r="F113" s="58"/>
      <c r="G113" s="59"/>
      <c r="H113" s="54"/>
      <c r="I113" s="55"/>
      <c r="K113" s="58"/>
      <c r="L113" s="59"/>
      <c r="M113" s="54"/>
      <c r="N113" s="55"/>
      <c r="P113" s="58"/>
      <c r="Q113" s="59"/>
      <c r="R113" s="54"/>
      <c r="S113" s="55"/>
    </row>
    <row r="114" spans="1:19" x14ac:dyDescent="0.25">
      <c r="A114" s="58"/>
      <c r="B114" s="59"/>
      <c r="C114" s="54"/>
      <c r="D114" s="55"/>
      <c r="F114" s="58"/>
      <c r="G114" s="59"/>
      <c r="H114" s="54"/>
      <c r="I114" s="55"/>
      <c r="K114" s="58"/>
      <c r="L114" s="59"/>
      <c r="M114" s="54"/>
      <c r="N114" s="55"/>
      <c r="P114" s="58"/>
      <c r="Q114" s="59"/>
      <c r="R114" s="54"/>
      <c r="S114" s="55"/>
    </row>
    <row r="115" spans="1:19" x14ac:dyDescent="0.25">
      <c r="A115" s="58"/>
      <c r="B115" s="59"/>
      <c r="C115" s="54"/>
      <c r="D115" s="55"/>
      <c r="F115" s="58"/>
      <c r="G115" s="59"/>
      <c r="H115" s="54"/>
      <c r="I115" s="55"/>
      <c r="K115" s="58"/>
      <c r="L115" s="59"/>
      <c r="M115" s="54"/>
      <c r="N115" s="55"/>
      <c r="P115" s="58"/>
      <c r="Q115" s="59"/>
      <c r="R115" s="54"/>
      <c r="S115" s="55"/>
    </row>
    <row r="116" spans="1:19" x14ac:dyDescent="0.25">
      <c r="A116" s="58"/>
      <c r="B116" s="59"/>
      <c r="C116" s="54"/>
      <c r="D116" s="55"/>
      <c r="F116" s="58"/>
      <c r="G116" s="59"/>
      <c r="H116" s="54"/>
      <c r="I116" s="55"/>
      <c r="K116" s="58"/>
      <c r="L116" s="59"/>
      <c r="M116" s="54"/>
      <c r="N116" s="55"/>
      <c r="P116" s="58"/>
      <c r="Q116" s="59"/>
      <c r="R116" s="54"/>
      <c r="S116" s="55"/>
    </row>
    <row r="117" spans="1:19" x14ac:dyDescent="0.25">
      <c r="A117" s="58"/>
      <c r="B117" s="59"/>
      <c r="C117" s="54"/>
      <c r="D117" s="55"/>
      <c r="F117" s="58"/>
      <c r="G117" s="59"/>
      <c r="H117" s="54"/>
      <c r="I117" s="55"/>
      <c r="K117" s="58"/>
      <c r="L117" s="59"/>
      <c r="M117" s="54"/>
      <c r="N117" s="55"/>
      <c r="P117" s="58"/>
      <c r="Q117" s="59"/>
      <c r="R117" s="54"/>
      <c r="S117" s="55"/>
    </row>
    <row r="118" spans="1:19" ht="15.75" thickBot="1" x14ac:dyDescent="0.3">
      <c r="A118" s="60"/>
      <c r="B118" s="61"/>
      <c r="C118" s="56"/>
      <c r="D118" s="57"/>
      <c r="F118" s="60"/>
      <c r="G118" s="61"/>
      <c r="H118" s="56"/>
      <c r="I118" s="57"/>
      <c r="K118" s="58"/>
      <c r="L118" s="59"/>
      <c r="M118" s="54"/>
      <c r="N118" s="55"/>
      <c r="P118" s="58"/>
      <c r="Q118" s="59"/>
      <c r="R118" s="54"/>
      <c r="S118" s="55"/>
    </row>
    <row r="119" spans="1:19" x14ac:dyDescent="0.25">
      <c r="K119" s="58"/>
      <c r="L119" s="59"/>
      <c r="M119" s="54"/>
      <c r="N119" s="55"/>
      <c r="P119" s="58"/>
      <c r="Q119" s="59"/>
      <c r="R119" s="54"/>
      <c r="S119" s="55"/>
    </row>
    <row r="120" spans="1:19" x14ac:dyDescent="0.25">
      <c r="K120" s="58"/>
      <c r="L120" s="59"/>
      <c r="M120" s="54"/>
      <c r="N120" s="55"/>
      <c r="P120" s="58"/>
      <c r="Q120" s="59"/>
      <c r="R120" s="54"/>
      <c r="S120" s="55"/>
    </row>
    <row r="121" spans="1:19" x14ac:dyDescent="0.25">
      <c r="K121" s="58"/>
      <c r="L121" s="59"/>
      <c r="M121" s="54"/>
      <c r="N121" s="55"/>
      <c r="P121" s="58"/>
      <c r="Q121" s="59"/>
      <c r="R121" s="54"/>
      <c r="S121" s="55"/>
    </row>
    <row r="122" spans="1:19" x14ac:dyDescent="0.25">
      <c r="K122" s="58"/>
      <c r="L122" s="59"/>
      <c r="M122" s="54"/>
      <c r="N122" s="55"/>
      <c r="P122" s="58"/>
      <c r="Q122" s="59"/>
      <c r="R122" s="54"/>
      <c r="S122" s="55"/>
    </row>
    <row r="123" spans="1:19" x14ac:dyDescent="0.25">
      <c r="K123" s="58"/>
      <c r="L123" s="59"/>
      <c r="M123" s="54"/>
      <c r="N123" s="55"/>
      <c r="P123" s="58"/>
      <c r="Q123" s="59"/>
      <c r="R123" s="54"/>
      <c r="S123" s="55"/>
    </row>
    <row r="124" spans="1:19" x14ac:dyDescent="0.25">
      <c r="K124" s="58"/>
      <c r="L124" s="59"/>
      <c r="M124" s="54"/>
      <c r="N124" s="55"/>
      <c r="P124" s="58"/>
      <c r="Q124" s="59"/>
      <c r="R124" s="54"/>
      <c r="S124" s="55"/>
    </row>
    <row r="125" spans="1:19" x14ac:dyDescent="0.25">
      <c r="K125" s="58"/>
      <c r="L125" s="59"/>
      <c r="M125" s="54"/>
      <c r="N125" s="55"/>
      <c r="P125" s="58"/>
      <c r="Q125" s="59"/>
      <c r="R125" s="54"/>
      <c r="S125" s="55"/>
    </row>
    <row r="126" spans="1:19" x14ac:dyDescent="0.25">
      <c r="K126" s="58"/>
      <c r="L126" s="59"/>
      <c r="M126" s="54"/>
      <c r="N126" s="55"/>
      <c r="P126" s="58"/>
      <c r="Q126" s="59"/>
      <c r="R126" s="54"/>
      <c r="S126" s="55"/>
    </row>
    <row r="127" spans="1:19" x14ac:dyDescent="0.25">
      <c r="K127" s="58"/>
      <c r="L127" s="59"/>
      <c r="M127" s="54"/>
      <c r="N127" s="55"/>
      <c r="P127" s="58"/>
      <c r="Q127" s="59"/>
      <c r="R127" s="54"/>
      <c r="S127" s="55"/>
    </row>
    <row r="128" spans="1:19" x14ac:dyDescent="0.25">
      <c r="K128" s="58"/>
      <c r="L128" s="59"/>
      <c r="M128" s="54"/>
      <c r="N128" s="55"/>
      <c r="P128" s="58"/>
      <c r="Q128" s="59"/>
      <c r="R128" s="54"/>
      <c r="S128" s="55"/>
    </row>
    <row r="129" spans="11:19" x14ac:dyDescent="0.25">
      <c r="K129" s="58"/>
      <c r="L129" s="59"/>
      <c r="M129" s="54"/>
      <c r="N129" s="55"/>
      <c r="P129" s="58"/>
      <c r="Q129" s="59"/>
      <c r="R129" s="54"/>
      <c r="S129" s="55"/>
    </row>
    <row r="130" spans="11:19" x14ac:dyDescent="0.25">
      <c r="K130" s="58"/>
      <c r="L130" s="59"/>
      <c r="M130" s="54"/>
      <c r="N130" s="55"/>
      <c r="P130" s="58"/>
      <c r="Q130" s="59"/>
      <c r="R130" s="54"/>
      <c r="S130" s="55"/>
    </row>
    <row r="131" spans="11:19" x14ac:dyDescent="0.25">
      <c r="K131" s="58"/>
      <c r="L131" s="59"/>
      <c r="M131" s="54"/>
      <c r="N131" s="55"/>
      <c r="P131" s="58"/>
      <c r="Q131" s="59"/>
      <c r="R131" s="54"/>
      <c r="S131" s="55"/>
    </row>
    <row r="132" spans="11:19" x14ac:dyDescent="0.25">
      <c r="K132" s="58"/>
      <c r="L132" s="59"/>
      <c r="M132" s="54"/>
      <c r="N132" s="55"/>
      <c r="P132" s="58"/>
      <c r="Q132" s="59"/>
      <c r="R132" s="54"/>
      <c r="S132" s="55"/>
    </row>
    <row r="133" spans="11:19" x14ac:dyDescent="0.25">
      <c r="K133" s="58"/>
      <c r="L133" s="59"/>
      <c r="M133" s="54"/>
      <c r="N133" s="55"/>
      <c r="P133" s="58"/>
      <c r="Q133" s="59"/>
      <c r="R133" s="54"/>
      <c r="S133" s="55"/>
    </row>
    <row r="134" spans="11:19" x14ac:dyDescent="0.25">
      <c r="K134" s="58"/>
      <c r="L134" s="59"/>
      <c r="M134" s="54"/>
      <c r="N134" s="55"/>
      <c r="P134" s="58"/>
      <c r="Q134" s="59"/>
      <c r="R134" s="54"/>
      <c r="S134" s="55"/>
    </row>
    <row r="135" spans="11:19" x14ac:dyDescent="0.25">
      <c r="K135" s="58"/>
      <c r="L135" s="59"/>
      <c r="M135" s="54"/>
      <c r="N135" s="55"/>
      <c r="P135" s="58"/>
      <c r="Q135" s="59"/>
      <c r="R135" s="54"/>
      <c r="S135" s="55"/>
    </row>
    <row r="136" spans="11:19" x14ac:dyDescent="0.25">
      <c r="K136" s="58"/>
      <c r="L136" s="59"/>
      <c r="M136" s="54"/>
      <c r="N136" s="55"/>
      <c r="P136" s="58"/>
      <c r="Q136" s="59"/>
      <c r="R136" s="54"/>
      <c r="S136" s="55"/>
    </row>
    <row r="137" spans="11:19" x14ac:dyDescent="0.25">
      <c r="K137" s="58"/>
      <c r="L137" s="59"/>
      <c r="M137" s="54"/>
      <c r="N137" s="55"/>
      <c r="P137" s="58"/>
      <c r="Q137" s="59"/>
      <c r="R137" s="54"/>
      <c r="S137" s="55"/>
    </row>
    <row r="138" spans="11:19" x14ac:dyDescent="0.25">
      <c r="K138" s="58"/>
      <c r="L138" s="59"/>
      <c r="M138" s="54"/>
      <c r="N138" s="55"/>
      <c r="P138" s="58"/>
      <c r="Q138" s="59"/>
      <c r="R138" s="54"/>
      <c r="S138" s="55"/>
    </row>
    <row r="139" spans="11:19" x14ac:dyDescent="0.25">
      <c r="K139" s="58"/>
      <c r="L139" s="59"/>
      <c r="M139" s="54"/>
      <c r="N139" s="55"/>
      <c r="P139" s="58"/>
      <c r="Q139" s="59"/>
      <c r="R139" s="54"/>
      <c r="S139" s="55"/>
    </row>
    <row r="140" spans="11:19" x14ac:dyDescent="0.25">
      <c r="K140" s="58"/>
      <c r="L140" s="59"/>
      <c r="M140" s="54"/>
      <c r="N140" s="55"/>
      <c r="P140" s="58"/>
      <c r="Q140" s="59"/>
      <c r="R140" s="54"/>
      <c r="S140" s="55"/>
    </row>
    <row r="141" spans="11:19" x14ac:dyDescent="0.25">
      <c r="K141" s="58"/>
      <c r="L141" s="59"/>
      <c r="M141" s="54"/>
      <c r="N141" s="55"/>
      <c r="P141" s="58"/>
      <c r="Q141" s="59"/>
      <c r="R141" s="54"/>
      <c r="S141" s="55"/>
    </row>
    <row r="142" spans="11:19" x14ac:dyDescent="0.25">
      <c r="K142" s="58"/>
      <c r="L142" s="59"/>
      <c r="M142" s="54"/>
      <c r="N142" s="55"/>
      <c r="P142" s="58"/>
      <c r="Q142" s="59"/>
      <c r="R142" s="54"/>
      <c r="S142" s="55"/>
    </row>
    <row r="143" spans="11:19" x14ac:dyDescent="0.25">
      <c r="K143" s="58"/>
      <c r="L143" s="59"/>
      <c r="M143" s="54"/>
      <c r="N143" s="55"/>
      <c r="P143" s="58"/>
      <c r="Q143" s="59"/>
      <c r="R143" s="54"/>
      <c r="S143" s="55"/>
    </row>
    <row r="144" spans="11:19" x14ac:dyDescent="0.25">
      <c r="K144" s="58"/>
      <c r="L144" s="59"/>
      <c r="M144" s="54"/>
      <c r="N144" s="55"/>
      <c r="P144" s="58"/>
      <c r="Q144" s="59"/>
      <c r="R144" s="54"/>
      <c r="S144" s="55"/>
    </row>
    <row r="145" spans="11:19" x14ac:dyDescent="0.25">
      <c r="K145" s="58"/>
      <c r="L145" s="59"/>
      <c r="M145" s="54"/>
      <c r="N145" s="55"/>
      <c r="P145" s="58"/>
      <c r="Q145" s="59"/>
      <c r="R145" s="54"/>
      <c r="S145" s="55"/>
    </row>
    <row r="146" spans="11:19" x14ac:dyDescent="0.25">
      <c r="K146" s="58"/>
      <c r="L146" s="59"/>
      <c r="M146" s="54"/>
      <c r="N146" s="55"/>
      <c r="P146" s="58"/>
      <c r="Q146" s="59"/>
      <c r="R146" s="54"/>
      <c r="S146" s="55"/>
    </row>
    <row r="147" spans="11:19" x14ac:dyDescent="0.25">
      <c r="K147" s="58"/>
      <c r="L147" s="59"/>
      <c r="M147" s="54"/>
      <c r="N147" s="55"/>
      <c r="P147" s="58"/>
      <c r="Q147" s="59"/>
      <c r="R147" s="54"/>
      <c r="S147" s="55"/>
    </row>
    <row r="148" spans="11:19" x14ac:dyDescent="0.25">
      <c r="K148" s="58"/>
      <c r="L148" s="59"/>
      <c r="M148" s="54"/>
      <c r="N148" s="55"/>
      <c r="P148" s="58"/>
      <c r="Q148" s="59"/>
      <c r="R148" s="54"/>
      <c r="S148" s="55"/>
    </row>
    <row r="149" spans="11:19" x14ac:dyDescent="0.25">
      <c r="K149" s="58"/>
      <c r="L149" s="59"/>
      <c r="M149" s="54"/>
      <c r="N149" s="55"/>
      <c r="P149" s="58"/>
      <c r="Q149" s="59"/>
      <c r="R149" s="54"/>
      <c r="S149" s="55"/>
    </row>
    <row r="150" spans="11:19" x14ac:dyDescent="0.25">
      <c r="K150" s="58"/>
      <c r="L150" s="59"/>
      <c r="M150" s="54"/>
      <c r="N150" s="55"/>
      <c r="P150" s="58"/>
      <c r="Q150" s="59"/>
      <c r="R150" s="54"/>
      <c r="S150" s="55"/>
    </row>
    <row r="151" spans="11:19" x14ac:dyDescent="0.25">
      <c r="K151" s="58"/>
      <c r="L151" s="59"/>
      <c r="M151" s="54"/>
      <c r="N151" s="55"/>
      <c r="P151" s="58"/>
      <c r="Q151" s="59"/>
      <c r="R151" s="54"/>
      <c r="S151" s="55"/>
    </row>
    <row r="152" spans="11:19" x14ac:dyDescent="0.25">
      <c r="K152" s="58"/>
      <c r="L152" s="59"/>
      <c r="M152" s="54"/>
      <c r="N152" s="55"/>
      <c r="P152" s="58"/>
      <c r="Q152" s="59"/>
      <c r="R152" s="54"/>
      <c r="S152" s="55"/>
    </row>
    <row r="153" spans="11:19" x14ac:dyDescent="0.25">
      <c r="K153" s="58"/>
      <c r="L153" s="59"/>
      <c r="M153" s="54"/>
      <c r="N153" s="55"/>
      <c r="P153" s="58"/>
      <c r="Q153" s="59"/>
      <c r="R153" s="54"/>
      <c r="S153" s="55"/>
    </row>
    <row r="154" spans="11:19" x14ac:dyDescent="0.25">
      <c r="K154" s="58"/>
      <c r="L154" s="59"/>
      <c r="M154" s="54"/>
      <c r="N154" s="55"/>
      <c r="P154" s="58"/>
      <c r="Q154" s="59"/>
      <c r="R154" s="54"/>
      <c r="S154" s="55"/>
    </row>
    <row r="155" spans="11:19" x14ac:dyDescent="0.25">
      <c r="K155" s="58"/>
      <c r="L155" s="59"/>
      <c r="M155" s="54"/>
      <c r="N155" s="55"/>
      <c r="P155" s="58"/>
      <c r="Q155" s="59"/>
      <c r="R155" s="54"/>
      <c r="S155" s="55"/>
    </row>
    <row r="156" spans="11:19" x14ac:dyDescent="0.25">
      <c r="K156" s="58"/>
      <c r="L156" s="59"/>
      <c r="M156" s="54"/>
      <c r="N156" s="55"/>
      <c r="P156" s="58"/>
      <c r="Q156" s="59"/>
      <c r="R156" s="54"/>
      <c r="S156" s="55"/>
    </row>
    <row r="157" spans="11:19" x14ac:dyDescent="0.25">
      <c r="K157" s="58"/>
      <c r="L157" s="59"/>
      <c r="M157" s="54"/>
      <c r="N157" s="55"/>
      <c r="P157" s="58"/>
      <c r="Q157" s="59"/>
      <c r="R157" s="54"/>
      <c r="S157" s="55"/>
    </row>
    <row r="158" spans="11:19" x14ac:dyDescent="0.25">
      <c r="K158" s="58"/>
      <c r="L158" s="59"/>
      <c r="M158" s="54"/>
      <c r="N158" s="55"/>
      <c r="P158" s="58"/>
      <c r="Q158" s="59"/>
      <c r="R158" s="54"/>
      <c r="S158" s="55"/>
    </row>
    <row r="159" spans="11:19" x14ac:dyDescent="0.25">
      <c r="K159" s="58"/>
      <c r="L159" s="59"/>
      <c r="M159" s="54"/>
      <c r="N159" s="55"/>
      <c r="P159" s="58"/>
      <c r="Q159" s="59"/>
      <c r="R159" s="54"/>
      <c r="S159" s="55"/>
    </row>
    <row r="160" spans="11:19" x14ac:dyDescent="0.25">
      <c r="K160" s="58"/>
      <c r="L160" s="59"/>
      <c r="M160" s="54"/>
      <c r="N160" s="55"/>
      <c r="P160" s="58"/>
      <c r="Q160" s="59"/>
      <c r="R160" s="54"/>
      <c r="S160" s="55"/>
    </row>
    <row r="161" spans="11:19" x14ac:dyDescent="0.25">
      <c r="K161" s="58"/>
      <c r="L161" s="59"/>
      <c r="M161" s="54"/>
      <c r="N161" s="55"/>
      <c r="P161" s="58"/>
      <c r="Q161" s="59"/>
      <c r="R161" s="54"/>
      <c r="S161" s="55"/>
    </row>
    <row r="162" spans="11:19" x14ac:dyDescent="0.25">
      <c r="K162" s="58"/>
      <c r="L162" s="59"/>
      <c r="M162" s="54"/>
      <c r="N162" s="55"/>
      <c r="P162" s="58"/>
      <c r="Q162" s="59"/>
      <c r="R162" s="54"/>
      <c r="S162" s="55"/>
    </row>
    <row r="163" spans="11:19" x14ac:dyDescent="0.25">
      <c r="K163" s="58"/>
      <c r="L163" s="59"/>
      <c r="M163" s="54"/>
      <c r="N163" s="55"/>
      <c r="P163" s="58"/>
      <c r="Q163" s="59"/>
      <c r="R163" s="54"/>
      <c r="S163" s="55"/>
    </row>
    <row r="164" spans="11:19" x14ac:dyDescent="0.25">
      <c r="K164" s="58"/>
      <c r="L164" s="59"/>
      <c r="M164" s="54"/>
      <c r="N164" s="55"/>
      <c r="P164" s="58"/>
      <c r="Q164" s="59"/>
      <c r="R164" s="54"/>
      <c r="S164" s="55"/>
    </row>
    <row r="165" spans="11:19" x14ac:dyDescent="0.25">
      <c r="K165" s="58"/>
      <c r="L165" s="59"/>
      <c r="M165" s="54"/>
      <c r="N165" s="55"/>
      <c r="P165" s="58"/>
      <c r="Q165" s="59"/>
      <c r="R165" s="54"/>
      <c r="S165" s="55"/>
    </row>
    <row r="166" spans="11:19" x14ac:dyDescent="0.25">
      <c r="K166" s="58"/>
      <c r="L166" s="59"/>
      <c r="M166" s="54"/>
      <c r="N166" s="55"/>
      <c r="P166" s="58"/>
      <c r="Q166" s="59"/>
      <c r="R166" s="54"/>
      <c r="S166" s="55"/>
    </row>
    <row r="167" spans="11:19" x14ac:dyDescent="0.25">
      <c r="K167" s="58"/>
      <c r="L167" s="59"/>
      <c r="M167" s="54"/>
      <c r="N167" s="55"/>
      <c r="P167" s="58"/>
      <c r="Q167" s="59"/>
      <c r="R167" s="54"/>
      <c r="S167" s="55"/>
    </row>
    <row r="168" spans="11:19" x14ac:dyDescent="0.25">
      <c r="K168" s="58"/>
      <c r="L168" s="59"/>
      <c r="M168" s="54"/>
      <c r="N168" s="55"/>
      <c r="P168" s="58"/>
      <c r="Q168" s="59"/>
      <c r="R168" s="54"/>
      <c r="S168" s="55"/>
    </row>
    <row r="169" spans="11:19" x14ac:dyDescent="0.25">
      <c r="K169" s="58"/>
      <c r="L169" s="59"/>
      <c r="M169" s="54"/>
      <c r="N169" s="55"/>
      <c r="P169" s="58"/>
      <c r="Q169" s="59"/>
      <c r="R169" s="54"/>
      <c r="S169" s="55"/>
    </row>
    <row r="170" spans="11:19" x14ac:dyDescent="0.25">
      <c r="K170" s="58"/>
      <c r="L170" s="59"/>
      <c r="M170" s="54"/>
      <c r="N170" s="55"/>
      <c r="P170" s="58"/>
      <c r="Q170" s="59"/>
      <c r="R170" s="54"/>
      <c r="S170" s="55"/>
    </row>
    <row r="171" spans="11:19" x14ac:dyDescent="0.25">
      <c r="K171" s="58"/>
      <c r="L171" s="59"/>
      <c r="M171" s="54"/>
      <c r="N171" s="55"/>
      <c r="P171" s="58"/>
      <c r="Q171" s="59"/>
      <c r="R171" s="54"/>
      <c r="S171" s="55"/>
    </row>
    <row r="172" spans="11:19" x14ac:dyDescent="0.25">
      <c r="K172" s="58"/>
      <c r="L172" s="59"/>
      <c r="M172" s="54"/>
      <c r="N172" s="55"/>
      <c r="P172" s="58"/>
      <c r="Q172" s="59"/>
      <c r="R172" s="54"/>
      <c r="S172" s="55"/>
    </row>
    <row r="173" spans="11:19" x14ac:dyDescent="0.25">
      <c r="K173" s="58"/>
      <c r="L173" s="59"/>
      <c r="M173" s="54"/>
      <c r="N173" s="55"/>
      <c r="P173" s="58"/>
      <c r="Q173" s="59"/>
      <c r="R173" s="54"/>
      <c r="S173" s="55"/>
    </row>
    <row r="174" spans="11:19" x14ac:dyDescent="0.25">
      <c r="K174" s="58"/>
      <c r="L174" s="59"/>
      <c r="M174" s="54"/>
      <c r="N174" s="55"/>
      <c r="P174" s="58"/>
      <c r="Q174" s="59"/>
      <c r="R174" s="54"/>
      <c r="S174" s="55"/>
    </row>
    <row r="175" spans="11:19" x14ac:dyDescent="0.25">
      <c r="K175" s="58"/>
      <c r="L175" s="59"/>
      <c r="M175" s="54"/>
      <c r="N175" s="55"/>
      <c r="P175" s="58"/>
      <c r="Q175" s="59"/>
      <c r="R175" s="54"/>
      <c r="S175" s="55"/>
    </row>
    <row r="176" spans="11:19" x14ac:dyDescent="0.25">
      <c r="K176" s="58"/>
      <c r="L176" s="59"/>
      <c r="M176" s="54"/>
      <c r="N176" s="55"/>
      <c r="P176" s="58"/>
      <c r="Q176" s="59"/>
      <c r="R176" s="54"/>
      <c r="S176" s="55"/>
    </row>
    <row r="177" spans="11:19" x14ac:dyDescent="0.25">
      <c r="K177" s="58"/>
      <c r="L177" s="59"/>
      <c r="M177" s="54"/>
      <c r="N177" s="55"/>
      <c r="P177" s="58"/>
      <c r="Q177" s="59"/>
      <c r="R177" s="54"/>
      <c r="S177" s="55"/>
    </row>
    <row r="178" spans="11:19" x14ac:dyDescent="0.25">
      <c r="K178" s="58"/>
      <c r="L178" s="59"/>
      <c r="M178" s="54"/>
      <c r="N178" s="55"/>
      <c r="P178" s="58"/>
      <c r="Q178" s="59"/>
      <c r="R178" s="54"/>
      <c r="S178" s="55"/>
    </row>
    <row r="179" spans="11:19" x14ac:dyDescent="0.25">
      <c r="K179" s="58"/>
      <c r="L179" s="59"/>
      <c r="M179" s="54"/>
      <c r="N179" s="55"/>
      <c r="P179" s="58"/>
      <c r="Q179" s="59"/>
      <c r="R179" s="54"/>
      <c r="S179" s="55"/>
    </row>
    <row r="180" spans="11:19" x14ac:dyDescent="0.25">
      <c r="K180" s="58"/>
      <c r="L180" s="59"/>
      <c r="M180" s="54"/>
      <c r="N180" s="55"/>
      <c r="P180" s="58"/>
      <c r="Q180" s="59"/>
      <c r="R180" s="54"/>
      <c r="S180" s="55"/>
    </row>
    <row r="181" spans="11:19" x14ac:dyDescent="0.25">
      <c r="K181" s="58"/>
      <c r="L181" s="59"/>
      <c r="M181" s="54"/>
      <c r="N181" s="55"/>
      <c r="P181" s="58"/>
      <c r="Q181" s="59"/>
      <c r="R181" s="54"/>
      <c r="S181" s="55"/>
    </row>
    <row r="182" spans="11:19" x14ac:dyDescent="0.25">
      <c r="K182" s="58"/>
      <c r="L182" s="59"/>
      <c r="M182" s="54"/>
      <c r="N182" s="55"/>
      <c r="P182" s="58"/>
      <c r="Q182" s="59"/>
      <c r="R182" s="54"/>
      <c r="S182" s="55"/>
    </row>
    <row r="183" spans="11:19" x14ac:dyDescent="0.25">
      <c r="K183" s="58"/>
      <c r="L183" s="59"/>
      <c r="M183" s="54"/>
      <c r="N183" s="55"/>
      <c r="P183" s="58"/>
      <c r="Q183" s="59"/>
      <c r="R183" s="54"/>
      <c r="S183" s="55"/>
    </row>
    <row r="184" spans="11:19" x14ac:dyDescent="0.25">
      <c r="K184" s="58"/>
      <c r="L184" s="59"/>
      <c r="M184" s="54"/>
      <c r="N184" s="55"/>
      <c r="P184" s="58"/>
      <c r="Q184" s="59"/>
      <c r="R184" s="54"/>
      <c r="S184" s="55"/>
    </row>
    <row r="185" spans="11:19" x14ac:dyDescent="0.25">
      <c r="K185" s="58"/>
      <c r="L185" s="59"/>
      <c r="M185" s="54"/>
      <c r="N185" s="55"/>
      <c r="P185" s="58"/>
      <c r="Q185" s="59"/>
      <c r="R185" s="54"/>
      <c r="S185" s="55"/>
    </row>
    <row r="186" spans="11:19" x14ac:dyDescent="0.25">
      <c r="K186" s="58"/>
      <c r="L186" s="59"/>
      <c r="M186" s="54"/>
      <c r="N186" s="55"/>
      <c r="P186" s="58"/>
      <c r="Q186" s="59"/>
      <c r="R186" s="54"/>
      <c r="S186" s="55"/>
    </row>
    <row r="187" spans="11:19" x14ac:dyDescent="0.25">
      <c r="K187" s="58"/>
      <c r="L187" s="59"/>
      <c r="M187" s="54"/>
      <c r="N187" s="55"/>
      <c r="P187" s="58"/>
      <c r="Q187" s="59"/>
      <c r="R187" s="54"/>
      <c r="S187" s="55"/>
    </row>
    <row r="188" spans="11:19" x14ac:dyDescent="0.25">
      <c r="K188" s="58"/>
      <c r="L188" s="59"/>
      <c r="M188" s="54"/>
      <c r="N188" s="55"/>
      <c r="P188" s="58"/>
      <c r="Q188" s="59"/>
      <c r="R188" s="54"/>
      <c r="S188" s="55"/>
    </row>
    <row r="189" spans="11:19" x14ac:dyDescent="0.25">
      <c r="K189" s="58"/>
      <c r="L189" s="59"/>
      <c r="M189" s="54"/>
      <c r="N189" s="55"/>
      <c r="P189" s="58"/>
      <c r="Q189" s="59"/>
      <c r="R189" s="54"/>
      <c r="S189" s="55"/>
    </row>
    <row r="190" spans="11:19" x14ac:dyDescent="0.25">
      <c r="K190" s="58"/>
      <c r="L190" s="59"/>
      <c r="M190" s="54"/>
      <c r="N190" s="55"/>
      <c r="P190" s="58"/>
      <c r="Q190" s="59"/>
      <c r="R190" s="54"/>
      <c r="S190" s="55"/>
    </row>
    <row r="191" spans="11:19" x14ac:dyDescent="0.25">
      <c r="K191" s="58"/>
      <c r="L191" s="59"/>
      <c r="M191" s="54"/>
      <c r="N191" s="55"/>
      <c r="P191" s="58"/>
      <c r="Q191" s="59"/>
      <c r="R191" s="54"/>
      <c r="S191" s="55"/>
    </row>
    <row r="192" spans="11:19" x14ac:dyDescent="0.25">
      <c r="K192" s="58"/>
      <c r="L192" s="59"/>
      <c r="M192" s="54"/>
      <c r="N192" s="55"/>
      <c r="P192" s="58"/>
      <c r="Q192" s="59"/>
      <c r="R192" s="54"/>
      <c r="S192" s="55"/>
    </row>
    <row r="193" spans="11:19" x14ac:dyDescent="0.25">
      <c r="K193" s="58"/>
      <c r="L193" s="59"/>
      <c r="M193" s="54"/>
      <c r="N193" s="55"/>
      <c r="P193" s="58"/>
      <c r="Q193" s="59"/>
      <c r="R193" s="54"/>
      <c r="S193" s="55"/>
    </row>
    <row r="194" spans="11:19" x14ac:dyDescent="0.25">
      <c r="K194" s="58"/>
      <c r="L194" s="59"/>
      <c r="M194" s="54"/>
      <c r="N194" s="55"/>
      <c r="P194" s="58"/>
      <c r="Q194" s="59"/>
      <c r="R194" s="54"/>
      <c r="S194" s="55"/>
    </row>
    <row r="195" spans="11:19" x14ac:dyDescent="0.25">
      <c r="K195" s="58"/>
      <c r="L195" s="59"/>
      <c r="M195" s="54"/>
      <c r="N195" s="55"/>
      <c r="P195" s="58"/>
      <c r="Q195" s="59"/>
      <c r="R195" s="54"/>
      <c r="S195" s="55"/>
    </row>
    <row r="196" spans="11:19" x14ac:dyDescent="0.25">
      <c r="K196" s="58"/>
      <c r="L196" s="59"/>
      <c r="M196" s="54"/>
      <c r="N196" s="55"/>
      <c r="P196" s="58"/>
      <c r="Q196" s="59"/>
      <c r="R196" s="54"/>
      <c r="S196" s="55"/>
    </row>
    <row r="197" spans="11:19" x14ac:dyDescent="0.25">
      <c r="K197" s="58"/>
      <c r="L197" s="59"/>
      <c r="M197" s="54"/>
      <c r="N197" s="55"/>
      <c r="P197" s="58"/>
      <c r="Q197" s="59"/>
      <c r="R197" s="54"/>
      <c r="S197" s="55"/>
    </row>
    <row r="198" spans="11:19" x14ac:dyDescent="0.25">
      <c r="K198" s="58"/>
      <c r="L198" s="59"/>
      <c r="M198" s="54"/>
      <c r="N198" s="55"/>
      <c r="P198" s="58"/>
      <c r="Q198" s="59"/>
      <c r="R198" s="54"/>
      <c r="S198" s="55"/>
    </row>
    <row r="199" spans="11:19" x14ac:dyDescent="0.25">
      <c r="K199" s="58"/>
      <c r="L199" s="59"/>
      <c r="M199" s="54"/>
      <c r="N199" s="55"/>
      <c r="P199" s="58"/>
      <c r="Q199" s="59"/>
      <c r="R199" s="54"/>
      <c r="S199" s="55"/>
    </row>
    <row r="200" spans="11:19" x14ac:dyDescent="0.25">
      <c r="K200" s="58"/>
      <c r="L200" s="59"/>
      <c r="M200" s="54"/>
      <c r="N200" s="55"/>
      <c r="P200" s="58"/>
      <c r="Q200" s="59"/>
      <c r="R200" s="54"/>
      <c r="S200" s="55"/>
    </row>
    <row r="201" spans="11:19" x14ac:dyDescent="0.25">
      <c r="K201" s="58"/>
      <c r="L201" s="59"/>
      <c r="M201" s="54"/>
      <c r="N201" s="55"/>
      <c r="P201" s="58"/>
      <c r="Q201" s="59"/>
      <c r="R201" s="54"/>
      <c r="S201" s="55"/>
    </row>
    <row r="202" spans="11:19" x14ac:dyDescent="0.25">
      <c r="K202" s="58"/>
      <c r="L202" s="59"/>
      <c r="M202" s="54"/>
      <c r="N202" s="55"/>
      <c r="P202" s="58"/>
      <c r="Q202" s="59"/>
      <c r="R202" s="54"/>
      <c r="S202" s="55"/>
    </row>
    <row r="203" spans="11:19" x14ac:dyDescent="0.25">
      <c r="K203" s="58"/>
      <c r="L203" s="59"/>
      <c r="M203" s="54"/>
      <c r="N203" s="55"/>
      <c r="P203" s="58"/>
      <c r="Q203" s="59"/>
      <c r="R203" s="54"/>
      <c r="S203" s="55"/>
    </row>
    <row r="204" spans="11:19" x14ac:dyDescent="0.25">
      <c r="K204" s="58"/>
      <c r="L204" s="59"/>
      <c r="M204" s="54"/>
      <c r="N204" s="55"/>
      <c r="P204" s="58"/>
      <c r="Q204" s="59"/>
      <c r="R204" s="54"/>
      <c r="S204" s="55"/>
    </row>
    <row r="205" spans="11:19" x14ac:dyDescent="0.25">
      <c r="K205" s="58"/>
      <c r="L205" s="59"/>
      <c r="M205" s="54"/>
      <c r="N205" s="55"/>
      <c r="P205" s="58"/>
      <c r="Q205" s="59"/>
      <c r="R205" s="54"/>
      <c r="S205" s="55"/>
    </row>
    <row r="206" spans="11:19" x14ac:dyDescent="0.25">
      <c r="K206" s="58"/>
      <c r="L206" s="59"/>
      <c r="M206" s="54"/>
      <c r="N206" s="55"/>
      <c r="P206" s="58"/>
      <c r="Q206" s="59"/>
      <c r="R206" s="54"/>
      <c r="S206" s="55"/>
    </row>
    <row r="207" spans="11:19" x14ac:dyDescent="0.25">
      <c r="K207" s="58"/>
      <c r="L207" s="59"/>
      <c r="M207" s="54"/>
      <c r="N207" s="55"/>
      <c r="P207" s="58"/>
      <c r="Q207" s="59"/>
      <c r="R207" s="54"/>
      <c r="S207" s="55"/>
    </row>
    <row r="208" spans="11:19" x14ac:dyDescent="0.25">
      <c r="K208" s="58"/>
      <c r="L208" s="59"/>
      <c r="M208" s="54"/>
      <c r="N208" s="55"/>
      <c r="P208" s="58"/>
      <c r="Q208" s="59"/>
      <c r="R208" s="54"/>
      <c r="S208" s="55"/>
    </row>
    <row r="209" spans="11:19" x14ac:dyDescent="0.25">
      <c r="K209" s="58"/>
      <c r="L209" s="59"/>
      <c r="M209" s="54"/>
      <c r="N209" s="55"/>
      <c r="P209" s="58"/>
      <c r="Q209" s="59"/>
      <c r="R209" s="54"/>
      <c r="S209" s="55"/>
    </row>
    <row r="210" spans="11:19" x14ac:dyDescent="0.25">
      <c r="K210" s="58"/>
      <c r="L210" s="59"/>
      <c r="M210" s="54"/>
      <c r="N210" s="55"/>
      <c r="P210" s="58"/>
      <c r="Q210" s="59"/>
      <c r="R210" s="54"/>
      <c r="S210" s="55"/>
    </row>
    <row r="211" spans="11:19" x14ac:dyDescent="0.25">
      <c r="K211" s="58"/>
      <c r="L211" s="59"/>
      <c r="M211" s="54"/>
      <c r="N211" s="55"/>
      <c r="P211" s="58"/>
      <c r="Q211" s="59"/>
      <c r="R211" s="54"/>
      <c r="S211" s="55"/>
    </row>
    <row r="212" spans="11:19" x14ac:dyDescent="0.25">
      <c r="K212" s="58"/>
      <c r="L212" s="59"/>
      <c r="M212" s="54"/>
      <c r="N212" s="55"/>
      <c r="P212" s="58"/>
      <c r="Q212" s="59"/>
      <c r="R212" s="54"/>
      <c r="S212" s="55"/>
    </row>
    <row r="213" spans="11:19" x14ac:dyDescent="0.25">
      <c r="K213" s="58"/>
      <c r="L213" s="59"/>
      <c r="M213" s="54"/>
      <c r="N213" s="55"/>
      <c r="P213" s="58"/>
      <c r="Q213" s="59"/>
      <c r="R213" s="54"/>
      <c r="S213" s="55"/>
    </row>
    <row r="214" spans="11:19" x14ac:dyDescent="0.25">
      <c r="K214" s="58"/>
      <c r="L214" s="59"/>
      <c r="M214" s="54"/>
      <c r="N214" s="55"/>
      <c r="P214" s="58"/>
      <c r="Q214" s="59"/>
      <c r="R214" s="54"/>
      <c r="S214" s="55"/>
    </row>
    <row r="215" spans="11:19" x14ac:dyDescent="0.25">
      <c r="K215" s="58"/>
      <c r="L215" s="59"/>
      <c r="M215" s="54"/>
      <c r="N215" s="55"/>
      <c r="P215" s="58"/>
      <c r="Q215" s="59"/>
      <c r="R215" s="54"/>
      <c r="S215" s="55"/>
    </row>
    <row r="216" spans="11:19" x14ac:dyDescent="0.25">
      <c r="K216" s="58"/>
      <c r="L216" s="59"/>
      <c r="M216" s="54"/>
      <c r="N216" s="55"/>
      <c r="P216" s="58"/>
      <c r="Q216" s="59"/>
      <c r="R216" s="54"/>
      <c r="S216" s="55"/>
    </row>
    <row r="217" spans="11:19" x14ac:dyDescent="0.25">
      <c r="K217" s="58"/>
      <c r="L217" s="59"/>
      <c r="M217" s="54"/>
      <c r="N217" s="55"/>
      <c r="P217" s="58"/>
      <c r="Q217" s="59"/>
      <c r="R217" s="54"/>
      <c r="S217" s="55"/>
    </row>
    <row r="218" spans="11:19" x14ac:dyDescent="0.25">
      <c r="K218" s="58"/>
      <c r="L218" s="59"/>
      <c r="M218" s="54"/>
      <c r="N218" s="55"/>
      <c r="P218" s="58"/>
      <c r="Q218" s="59"/>
      <c r="R218" s="54"/>
      <c r="S218" s="55"/>
    </row>
    <row r="219" spans="11:19" x14ac:dyDescent="0.25">
      <c r="K219" s="58"/>
      <c r="L219" s="59"/>
      <c r="M219" s="54"/>
      <c r="N219" s="55"/>
      <c r="P219" s="58"/>
      <c r="Q219" s="59"/>
      <c r="R219" s="54"/>
      <c r="S219" s="55"/>
    </row>
    <row r="220" spans="11:19" x14ac:dyDescent="0.25">
      <c r="K220" s="58"/>
      <c r="L220" s="59"/>
      <c r="M220" s="54"/>
      <c r="N220" s="55"/>
      <c r="P220" s="58"/>
      <c r="Q220" s="59"/>
      <c r="R220" s="54"/>
      <c r="S220" s="55"/>
    </row>
    <row r="221" spans="11:19" x14ac:dyDescent="0.25">
      <c r="K221" s="58"/>
      <c r="L221" s="59"/>
      <c r="M221" s="54"/>
      <c r="N221" s="55"/>
      <c r="P221" s="58"/>
      <c r="Q221" s="59"/>
      <c r="R221" s="54"/>
      <c r="S221" s="55"/>
    </row>
    <row r="222" spans="11:19" x14ac:dyDescent="0.25">
      <c r="K222" s="58"/>
      <c r="L222" s="59"/>
      <c r="M222" s="54"/>
      <c r="N222" s="55"/>
      <c r="P222" s="58"/>
      <c r="Q222" s="59"/>
      <c r="R222" s="54"/>
      <c r="S222" s="55"/>
    </row>
    <row r="223" spans="11:19" x14ac:dyDescent="0.25">
      <c r="K223" s="58"/>
      <c r="L223" s="59"/>
      <c r="M223" s="54"/>
      <c r="N223" s="55"/>
      <c r="P223" s="58"/>
      <c r="Q223" s="59"/>
      <c r="R223" s="54"/>
      <c r="S223" s="55"/>
    </row>
    <row r="224" spans="11:19" x14ac:dyDescent="0.25">
      <c r="K224" s="58"/>
      <c r="L224" s="59"/>
      <c r="M224" s="54"/>
      <c r="N224" s="55"/>
      <c r="P224" s="58"/>
      <c r="Q224" s="59"/>
      <c r="R224" s="54"/>
      <c r="S224" s="55"/>
    </row>
    <row r="225" spans="11:19" x14ac:dyDescent="0.25">
      <c r="K225" s="58"/>
      <c r="L225" s="59"/>
      <c r="M225" s="54"/>
      <c r="N225" s="55"/>
      <c r="P225" s="58"/>
      <c r="Q225" s="59"/>
      <c r="R225" s="54"/>
      <c r="S225" s="55"/>
    </row>
    <row r="226" spans="11:19" x14ac:dyDescent="0.25">
      <c r="K226" s="58"/>
      <c r="L226" s="59"/>
      <c r="M226" s="54"/>
      <c r="N226" s="55"/>
      <c r="P226" s="58"/>
      <c r="Q226" s="59"/>
      <c r="R226" s="54"/>
      <c r="S226" s="55"/>
    </row>
    <row r="227" spans="11:19" x14ac:dyDescent="0.25">
      <c r="K227" s="58"/>
      <c r="L227" s="59"/>
      <c r="M227" s="54"/>
      <c r="N227" s="55"/>
      <c r="P227" s="58"/>
      <c r="Q227" s="59"/>
      <c r="R227" s="54"/>
      <c r="S227" s="55"/>
    </row>
    <row r="228" spans="11:19" x14ac:dyDescent="0.25">
      <c r="K228" s="58"/>
      <c r="L228" s="59"/>
      <c r="M228" s="54"/>
      <c r="N228" s="55"/>
      <c r="P228" s="58"/>
      <c r="Q228" s="59"/>
      <c r="R228" s="54"/>
      <c r="S228" s="55"/>
    </row>
    <row r="229" spans="11:19" x14ac:dyDescent="0.25">
      <c r="K229" s="58"/>
      <c r="L229" s="59"/>
      <c r="M229" s="54"/>
      <c r="N229" s="55"/>
      <c r="P229" s="58"/>
      <c r="Q229" s="59"/>
      <c r="R229" s="54"/>
      <c r="S229" s="55"/>
    </row>
    <row r="230" spans="11:19" x14ac:dyDescent="0.25">
      <c r="K230" s="58"/>
      <c r="L230" s="59"/>
      <c r="M230" s="54"/>
      <c r="N230" s="55"/>
      <c r="P230" s="58"/>
      <c r="Q230" s="59"/>
      <c r="R230" s="54"/>
      <c r="S230" s="55"/>
    </row>
    <row r="231" spans="11:19" x14ac:dyDescent="0.25">
      <c r="K231" s="58"/>
      <c r="L231" s="59"/>
      <c r="M231" s="54"/>
      <c r="N231" s="55"/>
      <c r="P231" s="58"/>
      <c r="Q231" s="59"/>
      <c r="R231" s="54"/>
      <c r="S231" s="55"/>
    </row>
    <row r="232" spans="11:19" x14ac:dyDescent="0.25">
      <c r="K232" s="58"/>
      <c r="L232" s="59"/>
      <c r="M232" s="54"/>
      <c r="N232" s="55"/>
      <c r="P232" s="58"/>
      <c r="Q232" s="59"/>
      <c r="R232" s="54"/>
      <c r="S232" s="55"/>
    </row>
    <row r="233" spans="11:19" x14ac:dyDescent="0.25">
      <c r="K233" s="58"/>
      <c r="L233" s="59"/>
      <c r="M233" s="54"/>
      <c r="N233" s="55"/>
      <c r="P233" s="58"/>
      <c r="Q233" s="59"/>
      <c r="R233" s="54"/>
      <c r="S233" s="55"/>
    </row>
    <row r="234" spans="11:19" x14ac:dyDescent="0.25">
      <c r="K234" s="58"/>
      <c r="L234" s="59"/>
      <c r="M234" s="54"/>
      <c r="N234" s="55"/>
      <c r="P234" s="58"/>
      <c r="Q234" s="59"/>
      <c r="R234" s="54"/>
      <c r="S234" s="55"/>
    </row>
    <row r="235" spans="11:19" x14ac:dyDescent="0.25">
      <c r="K235" s="58"/>
      <c r="L235" s="59"/>
      <c r="M235" s="54"/>
      <c r="N235" s="55"/>
      <c r="P235" s="58"/>
      <c r="Q235" s="59"/>
      <c r="R235" s="54"/>
      <c r="S235" s="55"/>
    </row>
    <row r="236" spans="11:19" x14ac:dyDescent="0.25">
      <c r="K236" s="58"/>
      <c r="L236" s="59"/>
      <c r="M236" s="54"/>
      <c r="N236" s="55"/>
      <c r="P236" s="58"/>
      <c r="Q236" s="59"/>
      <c r="R236" s="54"/>
      <c r="S236" s="55"/>
    </row>
    <row r="237" spans="11:19" x14ac:dyDescent="0.25">
      <c r="K237" s="58"/>
      <c r="L237" s="59"/>
      <c r="M237" s="54"/>
      <c r="N237" s="55"/>
      <c r="P237" s="58"/>
      <c r="Q237" s="59"/>
      <c r="R237" s="54"/>
      <c r="S237" s="55"/>
    </row>
    <row r="238" spans="11:19" x14ac:dyDescent="0.25">
      <c r="K238" s="58"/>
      <c r="L238" s="59"/>
      <c r="M238" s="54"/>
      <c r="N238" s="55"/>
      <c r="P238" s="58"/>
      <c r="Q238" s="59"/>
      <c r="R238" s="54"/>
      <c r="S238" s="55"/>
    </row>
    <row r="239" spans="11:19" x14ac:dyDescent="0.25">
      <c r="K239" s="58"/>
      <c r="L239" s="59"/>
      <c r="M239" s="54"/>
      <c r="N239" s="55"/>
      <c r="P239" s="58"/>
      <c r="Q239" s="59"/>
      <c r="R239" s="54"/>
      <c r="S239" s="55"/>
    </row>
    <row r="240" spans="11:19" x14ac:dyDescent="0.25">
      <c r="K240" s="58"/>
      <c r="L240" s="59"/>
      <c r="M240" s="54"/>
      <c r="N240" s="55"/>
      <c r="P240" s="58"/>
      <c r="Q240" s="59"/>
      <c r="R240" s="54"/>
      <c r="S240" s="55"/>
    </row>
    <row r="241" spans="11:19" x14ac:dyDescent="0.25">
      <c r="K241" s="58"/>
      <c r="L241" s="59"/>
      <c r="M241" s="54"/>
      <c r="N241" s="55"/>
      <c r="P241" s="58"/>
      <c r="Q241" s="59"/>
      <c r="R241" s="54"/>
      <c r="S241" s="55"/>
    </row>
    <row r="242" spans="11:19" x14ac:dyDescent="0.25">
      <c r="K242" s="58"/>
      <c r="L242" s="59"/>
      <c r="M242" s="54"/>
      <c r="N242" s="55"/>
      <c r="P242" s="58"/>
      <c r="Q242" s="59"/>
      <c r="R242" s="54"/>
      <c r="S242" s="55"/>
    </row>
    <row r="243" spans="11:19" x14ac:dyDescent="0.25">
      <c r="K243" s="58"/>
      <c r="L243" s="59"/>
      <c r="M243" s="54"/>
      <c r="N243" s="55"/>
      <c r="P243" s="58"/>
      <c r="Q243" s="59"/>
      <c r="R243" s="54"/>
      <c r="S243" s="55"/>
    </row>
    <row r="244" spans="11:19" x14ac:dyDescent="0.25">
      <c r="K244" s="58"/>
      <c r="L244" s="59"/>
      <c r="M244" s="54"/>
      <c r="N244" s="55"/>
      <c r="P244" s="58"/>
      <c r="Q244" s="59"/>
      <c r="R244" s="54"/>
      <c r="S244" s="55"/>
    </row>
    <row r="245" spans="11:19" x14ac:dyDescent="0.25">
      <c r="K245" s="58"/>
      <c r="L245" s="59"/>
      <c r="M245" s="54"/>
      <c r="N245" s="55"/>
      <c r="P245" s="58"/>
      <c r="Q245" s="59"/>
      <c r="R245" s="54"/>
      <c r="S245" s="55"/>
    </row>
    <row r="246" spans="11:19" x14ac:dyDescent="0.25">
      <c r="K246" s="58"/>
      <c r="L246" s="59"/>
      <c r="M246" s="54"/>
      <c r="N246" s="55"/>
      <c r="P246" s="58"/>
      <c r="Q246" s="59"/>
      <c r="R246" s="54"/>
      <c r="S246" s="55"/>
    </row>
    <row r="247" spans="11:19" x14ac:dyDescent="0.25">
      <c r="K247" s="58"/>
      <c r="L247" s="59"/>
      <c r="M247" s="54"/>
      <c r="N247" s="55"/>
      <c r="P247" s="58"/>
      <c r="Q247" s="59"/>
      <c r="R247" s="54"/>
      <c r="S247" s="55"/>
    </row>
    <row r="248" spans="11:19" x14ac:dyDescent="0.25">
      <c r="K248" s="58"/>
      <c r="L248" s="59"/>
      <c r="M248" s="54"/>
      <c r="N248" s="55"/>
      <c r="P248" s="58"/>
      <c r="Q248" s="59"/>
      <c r="R248" s="54"/>
      <c r="S248" s="55"/>
    </row>
    <row r="249" spans="11:19" x14ac:dyDescent="0.25">
      <c r="K249" s="58"/>
      <c r="L249" s="59"/>
      <c r="M249" s="54"/>
      <c r="N249" s="55"/>
      <c r="P249" s="58"/>
      <c r="Q249" s="59"/>
      <c r="R249" s="54"/>
      <c r="S249" s="55"/>
    </row>
    <row r="250" spans="11:19" x14ac:dyDescent="0.25">
      <c r="K250" s="58"/>
      <c r="L250" s="59"/>
      <c r="M250" s="54"/>
      <c r="N250" s="55"/>
      <c r="P250" s="58"/>
      <c r="Q250" s="59"/>
      <c r="R250" s="54"/>
      <c r="S250" s="55"/>
    </row>
    <row r="251" spans="11:19" x14ac:dyDescent="0.25">
      <c r="K251" s="58"/>
      <c r="L251" s="59"/>
      <c r="M251" s="54"/>
      <c r="N251" s="55"/>
      <c r="P251" s="58"/>
      <c r="Q251" s="59"/>
      <c r="R251" s="54"/>
      <c r="S251" s="55"/>
    </row>
    <row r="252" spans="11:19" x14ac:dyDescent="0.25">
      <c r="K252" s="58"/>
      <c r="L252" s="59"/>
      <c r="M252" s="54"/>
      <c r="N252" s="55"/>
      <c r="P252" s="58"/>
      <c r="Q252" s="59"/>
      <c r="R252" s="54"/>
      <c r="S252" s="55"/>
    </row>
    <row r="253" spans="11:19" x14ac:dyDescent="0.25">
      <c r="K253" s="58"/>
      <c r="L253" s="59"/>
      <c r="M253" s="54"/>
      <c r="N253" s="55"/>
      <c r="P253" s="58"/>
      <c r="Q253" s="59"/>
      <c r="R253" s="54"/>
      <c r="S253" s="55"/>
    </row>
    <row r="254" spans="11:19" x14ac:dyDescent="0.25">
      <c r="K254" s="58"/>
      <c r="L254" s="59"/>
      <c r="M254" s="54"/>
      <c r="N254" s="55"/>
      <c r="P254" s="58"/>
      <c r="Q254" s="59"/>
      <c r="R254" s="54"/>
      <c r="S254" s="55"/>
    </row>
    <row r="255" spans="11:19" x14ac:dyDescent="0.25">
      <c r="K255" s="58"/>
      <c r="L255" s="59"/>
      <c r="M255" s="54"/>
      <c r="N255" s="55"/>
      <c r="P255" s="58"/>
      <c r="Q255" s="59"/>
      <c r="R255" s="54"/>
      <c r="S255" s="55"/>
    </row>
    <row r="256" spans="11:19" x14ac:dyDescent="0.25">
      <c r="K256" s="58"/>
      <c r="L256" s="59"/>
      <c r="M256" s="54"/>
      <c r="N256" s="55"/>
      <c r="P256" s="58"/>
      <c r="Q256" s="59"/>
      <c r="R256" s="54"/>
      <c r="S256" s="55"/>
    </row>
    <row r="257" spans="11:19" x14ac:dyDescent="0.25">
      <c r="K257" s="58"/>
      <c r="L257" s="59"/>
      <c r="M257" s="54"/>
      <c r="N257" s="55"/>
      <c r="P257" s="58"/>
      <c r="Q257" s="59"/>
      <c r="R257" s="54"/>
      <c r="S257" s="55"/>
    </row>
    <row r="258" spans="11:19" x14ac:dyDescent="0.25">
      <c r="K258" s="58"/>
      <c r="L258" s="59"/>
      <c r="M258" s="54"/>
      <c r="N258" s="55"/>
      <c r="P258" s="58"/>
      <c r="Q258" s="59"/>
      <c r="R258" s="54"/>
      <c r="S258" s="55"/>
    </row>
    <row r="259" spans="11:19" x14ac:dyDescent="0.25">
      <c r="K259" s="58"/>
      <c r="L259" s="59"/>
      <c r="M259" s="54"/>
      <c r="N259" s="55"/>
      <c r="P259" s="58"/>
      <c r="Q259" s="59"/>
      <c r="R259" s="54"/>
      <c r="S259" s="55"/>
    </row>
    <row r="260" spans="11:19" x14ac:dyDescent="0.25">
      <c r="K260" s="58"/>
      <c r="L260" s="59"/>
      <c r="M260" s="54"/>
      <c r="N260" s="55"/>
      <c r="P260" s="58"/>
      <c r="Q260" s="59"/>
      <c r="R260" s="54"/>
      <c r="S260" s="55"/>
    </row>
    <row r="261" spans="11:19" x14ac:dyDescent="0.25">
      <c r="K261" s="58"/>
      <c r="L261" s="59"/>
      <c r="M261" s="54"/>
      <c r="N261" s="55"/>
      <c r="P261" s="58"/>
      <c r="Q261" s="59"/>
      <c r="R261" s="54"/>
      <c r="S261" s="55"/>
    </row>
    <row r="262" spans="11:19" x14ac:dyDescent="0.25">
      <c r="K262" s="58"/>
      <c r="L262" s="59"/>
      <c r="M262" s="54"/>
      <c r="N262" s="55"/>
      <c r="P262" s="58"/>
      <c r="Q262" s="59"/>
      <c r="R262" s="54"/>
      <c r="S262" s="55"/>
    </row>
    <row r="263" spans="11:19" x14ac:dyDescent="0.25">
      <c r="K263" s="58"/>
      <c r="L263" s="59"/>
      <c r="M263" s="54"/>
      <c r="N263" s="55"/>
      <c r="P263" s="58"/>
      <c r="Q263" s="59"/>
      <c r="R263" s="54"/>
      <c r="S263" s="55"/>
    </row>
    <row r="264" spans="11:19" x14ac:dyDescent="0.25">
      <c r="K264" s="58"/>
      <c r="L264" s="59"/>
      <c r="M264" s="54"/>
      <c r="N264" s="55"/>
      <c r="P264" s="58"/>
      <c r="Q264" s="59"/>
      <c r="R264" s="54"/>
      <c r="S264" s="55"/>
    </row>
    <row r="265" spans="11:19" x14ac:dyDescent="0.25">
      <c r="K265" s="58"/>
      <c r="L265" s="59"/>
      <c r="M265" s="54"/>
      <c r="N265" s="55"/>
      <c r="P265" s="58"/>
      <c r="Q265" s="59"/>
      <c r="R265" s="54"/>
      <c r="S265" s="55"/>
    </row>
    <row r="266" spans="11:19" x14ac:dyDescent="0.25">
      <c r="K266" s="58"/>
      <c r="L266" s="59"/>
      <c r="M266" s="54"/>
      <c r="N266" s="55"/>
      <c r="P266" s="58"/>
      <c r="Q266" s="59"/>
      <c r="R266" s="54"/>
      <c r="S266" s="55"/>
    </row>
    <row r="267" spans="11:19" x14ac:dyDescent="0.25">
      <c r="K267" s="58"/>
      <c r="L267" s="59"/>
      <c r="M267" s="54"/>
      <c r="N267" s="55"/>
      <c r="P267" s="58"/>
      <c r="Q267" s="59"/>
      <c r="R267" s="54"/>
      <c r="S267" s="55"/>
    </row>
    <row r="268" spans="11:19" x14ac:dyDescent="0.25">
      <c r="K268" s="58"/>
      <c r="L268" s="59"/>
      <c r="M268" s="54"/>
      <c r="N268" s="55"/>
      <c r="P268" s="58"/>
      <c r="Q268" s="59"/>
      <c r="R268" s="54"/>
      <c r="S268" s="55"/>
    </row>
    <row r="269" spans="11:19" x14ac:dyDescent="0.25">
      <c r="K269" s="58"/>
      <c r="L269" s="59"/>
      <c r="M269" s="54"/>
      <c r="N269" s="55"/>
      <c r="P269" s="58"/>
      <c r="Q269" s="59"/>
      <c r="R269" s="54"/>
      <c r="S269" s="55"/>
    </row>
    <row r="270" spans="11:19" x14ac:dyDescent="0.25">
      <c r="K270" s="58"/>
      <c r="L270" s="59"/>
      <c r="M270" s="54"/>
      <c r="N270" s="55"/>
      <c r="P270" s="58"/>
      <c r="Q270" s="59"/>
      <c r="R270" s="54"/>
      <c r="S270" s="55"/>
    </row>
    <row r="271" spans="11:19" x14ac:dyDescent="0.25">
      <c r="K271" s="58"/>
      <c r="L271" s="59"/>
      <c r="M271" s="54"/>
      <c r="N271" s="55"/>
      <c r="P271" s="58"/>
      <c r="Q271" s="59"/>
      <c r="R271" s="54"/>
      <c r="S271" s="55"/>
    </row>
    <row r="272" spans="11:19" x14ac:dyDescent="0.25">
      <c r="K272" s="58"/>
      <c r="L272" s="59"/>
      <c r="M272" s="54"/>
      <c r="N272" s="55"/>
      <c r="P272" s="58"/>
      <c r="Q272" s="59"/>
      <c r="R272" s="54"/>
      <c r="S272" s="55"/>
    </row>
    <row r="273" spans="11:19" x14ac:dyDescent="0.25">
      <c r="K273" s="58"/>
      <c r="L273" s="59"/>
      <c r="M273" s="54"/>
      <c r="N273" s="55"/>
      <c r="P273" s="58"/>
      <c r="Q273" s="59"/>
      <c r="R273" s="54"/>
      <c r="S273" s="55"/>
    </row>
    <row r="274" spans="11:19" x14ac:dyDescent="0.25">
      <c r="K274" s="58"/>
      <c r="L274" s="59"/>
      <c r="M274" s="54"/>
      <c r="N274" s="55"/>
      <c r="P274" s="58"/>
      <c r="Q274" s="59"/>
      <c r="R274" s="54"/>
      <c r="S274" s="55"/>
    </row>
    <row r="275" spans="11:19" x14ac:dyDescent="0.25">
      <c r="K275" s="58"/>
      <c r="L275" s="59"/>
      <c r="M275" s="54"/>
      <c r="N275" s="55"/>
      <c r="P275" s="58"/>
      <c r="Q275" s="59"/>
      <c r="R275" s="54"/>
      <c r="S275" s="55"/>
    </row>
    <row r="276" spans="11:19" x14ac:dyDescent="0.25">
      <c r="K276" s="58"/>
      <c r="L276" s="59"/>
      <c r="M276" s="54"/>
      <c r="N276" s="55"/>
      <c r="P276" s="58"/>
      <c r="Q276" s="59"/>
      <c r="R276" s="54"/>
      <c r="S276" s="55"/>
    </row>
    <row r="277" spans="11:19" x14ac:dyDescent="0.25">
      <c r="K277" s="58"/>
      <c r="L277" s="59"/>
      <c r="M277" s="54"/>
      <c r="N277" s="55"/>
      <c r="P277" s="58"/>
      <c r="Q277" s="59"/>
      <c r="R277" s="54"/>
      <c r="S277" s="55"/>
    </row>
    <row r="278" spans="11:19" x14ac:dyDescent="0.25">
      <c r="K278" s="58"/>
      <c r="L278" s="59"/>
      <c r="M278" s="54"/>
      <c r="N278" s="55"/>
      <c r="P278" s="58"/>
      <c r="Q278" s="59"/>
      <c r="R278" s="54"/>
      <c r="S278" s="55"/>
    </row>
    <row r="279" spans="11:19" x14ac:dyDescent="0.25">
      <c r="K279" s="58"/>
      <c r="L279" s="59"/>
      <c r="M279" s="54"/>
      <c r="N279" s="55"/>
      <c r="P279" s="58"/>
      <c r="Q279" s="59"/>
      <c r="R279" s="54"/>
      <c r="S279" s="55"/>
    </row>
    <row r="280" spans="11:19" x14ac:dyDescent="0.25">
      <c r="K280" s="58"/>
      <c r="L280" s="59"/>
      <c r="M280" s="54"/>
      <c r="N280" s="55"/>
      <c r="P280" s="58"/>
      <c r="Q280" s="59"/>
      <c r="R280" s="54"/>
      <c r="S280" s="55"/>
    </row>
    <row r="281" spans="11:19" x14ac:dyDescent="0.25">
      <c r="K281" s="58"/>
      <c r="L281" s="59"/>
      <c r="M281" s="54"/>
      <c r="N281" s="55"/>
      <c r="P281" s="58"/>
      <c r="Q281" s="59"/>
      <c r="R281" s="54"/>
      <c r="S281" s="55"/>
    </row>
    <row r="282" spans="11:19" x14ac:dyDescent="0.25">
      <c r="K282" s="58"/>
      <c r="L282" s="59"/>
      <c r="M282" s="54"/>
      <c r="N282" s="55"/>
      <c r="P282" s="58"/>
      <c r="Q282" s="59"/>
      <c r="R282" s="54"/>
      <c r="S282" s="55"/>
    </row>
    <row r="283" spans="11:19" x14ac:dyDescent="0.25">
      <c r="K283" s="58"/>
      <c r="L283" s="59"/>
      <c r="M283" s="54"/>
      <c r="N283" s="55"/>
      <c r="P283" s="58"/>
      <c r="Q283" s="59"/>
      <c r="R283" s="54"/>
      <c r="S283" s="55"/>
    </row>
    <row r="284" spans="11:19" x14ac:dyDescent="0.25">
      <c r="K284" s="58"/>
      <c r="L284" s="59"/>
      <c r="M284" s="54"/>
      <c r="N284" s="55"/>
      <c r="P284" s="58"/>
      <c r="Q284" s="59"/>
      <c r="R284" s="54"/>
      <c r="S284" s="55"/>
    </row>
    <row r="285" spans="11:19" x14ac:dyDescent="0.25">
      <c r="K285" s="58"/>
      <c r="L285" s="59"/>
      <c r="M285" s="54"/>
      <c r="N285" s="55"/>
      <c r="P285" s="58"/>
      <c r="Q285" s="59"/>
      <c r="R285" s="54"/>
      <c r="S285" s="55"/>
    </row>
    <row r="286" spans="11:19" x14ac:dyDescent="0.25">
      <c r="K286" s="58"/>
      <c r="L286" s="59"/>
      <c r="M286" s="54"/>
      <c r="N286" s="55"/>
      <c r="P286" s="58"/>
      <c r="Q286" s="59"/>
      <c r="R286" s="54"/>
      <c r="S286" s="55"/>
    </row>
    <row r="287" spans="11:19" x14ac:dyDescent="0.25">
      <c r="K287" s="58"/>
      <c r="L287" s="59"/>
      <c r="M287" s="54"/>
      <c r="N287" s="55"/>
      <c r="P287" s="58"/>
      <c r="Q287" s="59"/>
      <c r="R287" s="54"/>
      <c r="S287" s="55"/>
    </row>
    <row r="288" spans="11:19" x14ac:dyDescent="0.25">
      <c r="K288" s="58"/>
      <c r="L288" s="59"/>
      <c r="M288" s="54"/>
      <c r="N288" s="55"/>
      <c r="P288" s="58"/>
      <c r="Q288" s="59"/>
      <c r="R288" s="54"/>
      <c r="S288" s="55"/>
    </row>
    <row r="289" spans="11:19" x14ac:dyDescent="0.25">
      <c r="K289" s="58"/>
      <c r="L289" s="59"/>
      <c r="M289" s="54"/>
      <c r="N289" s="55"/>
      <c r="P289" s="58"/>
      <c r="Q289" s="59"/>
      <c r="R289" s="54"/>
      <c r="S289" s="55"/>
    </row>
    <row r="290" spans="11:19" x14ac:dyDescent="0.25">
      <c r="K290" s="58"/>
      <c r="L290" s="59"/>
      <c r="M290" s="54"/>
      <c r="N290" s="55"/>
      <c r="P290" s="58"/>
      <c r="Q290" s="59"/>
      <c r="R290" s="54"/>
      <c r="S290" s="55"/>
    </row>
    <row r="291" spans="11:19" x14ac:dyDescent="0.25">
      <c r="K291" s="58"/>
      <c r="L291" s="59"/>
      <c r="M291" s="54"/>
      <c r="N291" s="55"/>
      <c r="P291" s="58"/>
      <c r="Q291" s="59"/>
      <c r="R291" s="54"/>
      <c r="S291" s="55"/>
    </row>
    <row r="292" spans="11:19" x14ac:dyDescent="0.25">
      <c r="K292" s="58"/>
      <c r="L292" s="59"/>
      <c r="M292" s="54"/>
      <c r="N292" s="55"/>
      <c r="P292" s="58"/>
      <c r="Q292" s="59"/>
      <c r="R292" s="54"/>
      <c r="S292" s="55"/>
    </row>
    <row r="293" spans="11:19" x14ac:dyDescent="0.25">
      <c r="K293" s="58"/>
      <c r="L293" s="59"/>
      <c r="M293" s="54"/>
      <c r="N293" s="55"/>
      <c r="P293" s="58"/>
      <c r="Q293" s="59"/>
      <c r="R293" s="54"/>
      <c r="S293" s="55"/>
    </row>
    <row r="294" spans="11:19" x14ac:dyDescent="0.25">
      <c r="K294" s="58"/>
      <c r="L294" s="59"/>
      <c r="M294" s="54"/>
      <c r="N294" s="55"/>
      <c r="P294" s="58"/>
      <c r="Q294" s="59"/>
      <c r="R294" s="54"/>
      <c r="S294" s="55"/>
    </row>
    <row r="295" spans="11:19" x14ac:dyDescent="0.25">
      <c r="K295" s="58"/>
      <c r="L295" s="59"/>
      <c r="M295" s="54"/>
      <c r="N295" s="55"/>
      <c r="P295" s="58"/>
      <c r="Q295" s="59"/>
      <c r="R295" s="54"/>
      <c r="S295" s="55"/>
    </row>
    <row r="296" spans="11:19" x14ac:dyDescent="0.25">
      <c r="K296" s="58"/>
      <c r="L296" s="59"/>
      <c r="M296" s="54"/>
      <c r="N296" s="55"/>
      <c r="P296" s="58"/>
      <c r="Q296" s="59"/>
      <c r="R296" s="54"/>
      <c r="S296" s="55"/>
    </row>
    <row r="297" spans="11:19" x14ac:dyDescent="0.25">
      <c r="K297" s="58"/>
      <c r="L297" s="59"/>
      <c r="M297" s="54"/>
      <c r="N297" s="55"/>
      <c r="P297" s="58"/>
      <c r="Q297" s="59"/>
      <c r="R297" s="54"/>
      <c r="S297" s="55"/>
    </row>
    <row r="298" spans="11:19" x14ac:dyDescent="0.25">
      <c r="K298" s="58"/>
      <c r="L298" s="59"/>
      <c r="M298" s="54"/>
      <c r="N298" s="55"/>
      <c r="P298" s="58"/>
      <c r="Q298" s="59"/>
      <c r="R298" s="54"/>
      <c r="S298" s="55"/>
    </row>
    <row r="299" spans="11:19" x14ac:dyDescent="0.25">
      <c r="K299" s="58"/>
      <c r="L299" s="59"/>
      <c r="M299" s="54"/>
      <c r="N299" s="55"/>
      <c r="P299" s="58"/>
      <c r="Q299" s="59"/>
      <c r="R299" s="54"/>
      <c r="S299" s="55"/>
    </row>
    <row r="300" spans="11:19" x14ac:dyDescent="0.25">
      <c r="K300" s="58"/>
      <c r="L300" s="59"/>
      <c r="M300" s="54"/>
      <c r="N300" s="55"/>
      <c r="P300" s="58"/>
      <c r="Q300" s="59"/>
      <c r="R300" s="54"/>
      <c r="S300" s="55"/>
    </row>
    <row r="301" spans="11:19" x14ac:dyDescent="0.25">
      <c r="K301" s="58"/>
      <c r="L301" s="59"/>
      <c r="M301" s="54"/>
      <c r="N301" s="55"/>
      <c r="P301" s="58"/>
      <c r="Q301" s="59"/>
      <c r="R301" s="54"/>
      <c r="S301" s="55"/>
    </row>
    <row r="302" spans="11:19" x14ac:dyDescent="0.25">
      <c r="K302" s="58"/>
      <c r="L302" s="59"/>
      <c r="M302" s="54"/>
      <c r="N302" s="55"/>
      <c r="P302" s="58"/>
      <c r="Q302" s="59"/>
      <c r="R302" s="54"/>
      <c r="S302" s="55"/>
    </row>
    <row r="303" spans="11:19" x14ac:dyDescent="0.25">
      <c r="K303" s="58"/>
      <c r="L303" s="59"/>
      <c r="M303" s="54"/>
      <c r="N303" s="55"/>
      <c r="P303" s="58"/>
      <c r="Q303" s="59"/>
      <c r="R303" s="54"/>
      <c r="S303" s="55"/>
    </row>
    <row r="304" spans="11:19" x14ac:dyDescent="0.25">
      <c r="K304" s="58"/>
      <c r="L304" s="59"/>
      <c r="M304" s="54"/>
      <c r="N304" s="55"/>
      <c r="P304" s="58"/>
      <c r="Q304" s="59"/>
      <c r="R304" s="54"/>
      <c r="S304" s="55"/>
    </row>
    <row r="305" spans="11:19" x14ac:dyDescent="0.25">
      <c r="K305" s="58"/>
      <c r="L305" s="59"/>
      <c r="M305" s="54"/>
      <c r="N305" s="55"/>
      <c r="P305" s="58"/>
      <c r="Q305" s="59"/>
      <c r="R305" s="54"/>
      <c r="S305" s="55"/>
    </row>
    <row r="306" spans="11:19" x14ac:dyDescent="0.25">
      <c r="K306" s="58"/>
      <c r="L306" s="59"/>
      <c r="M306" s="54"/>
      <c r="N306" s="55"/>
      <c r="P306" s="58"/>
      <c r="Q306" s="59"/>
      <c r="R306" s="54"/>
      <c r="S306" s="55"/>
    </row>
    <row r="307" spans="11:19" x14ac:dyDescent="0.25">
      <c r="K307" s="58"/>
      <c r="L307" s="59"/>
      <c r="M307" s="54"/>
      <c r="N307" s="55"/>
      <c r="P307" s="58"/>
      <c r="Q307" s="59"/>
      <c r="R307" s="54"/>
      <c r="S307" s="55"/>
    </row>
    <row r="308" spans="11:19" x14ac:dyDescent="0.25">
      <c r="K308" s="58"/>
      <c r="L308" s="59"/>
      <c r="M308" s="54"/>
      <c r="N308" s="55"/>
      <c r="P308" s="58"/>
      <c r="Q308" s="59"/>
      <c r="R308" s="54"/>
      <c r="S308" s="55"/>
    </row>
    <row r="309" spans="11:19" x14ac:dyDescent="0.25">
      <c r="K309" s="58"/>
      <c r="L309" s="59"/>
      <c r="M309" s="54"/>
      <c r="N309" s="55"/>
      <c r="P309" s="58"/>
      <c r="Q309" s="59"/>
      <c r="R309" s="54"/>
      <c r="S309" s="55"/>
    </row>
    <row r="310" spans="11:19" x14ac:dyDescent="0.25">
      <c r="K310" s="58"/>
      <c r="L310" s="59"/>
      <c r="M310" s="54"/>
      <c r="N310" s="55"/>
      <c r="P310" s="58"/>
      <c r="Q310" s="59"/>
      <c r="R310" s="54"/>
      <c r="S310" s="55"/>
    </row>
    <row r="311" spans="11:19" x14ac:dyDescent="0.25">
      <c r="K311" s="58"/>
      <c r="L311" s="59"/>
      <c r="M311" s="54"/>
      <c r="N311" s="55"/>
      <c r="P311" s="58"/>
      <c r="Q311" s="59"/>
      <c r="R311" s="54"/>
      <c r="S311" s="55"/>
    </row>
    <row r="312" spans="11:19" x14ac:dyDescent="0.25">
      <c r="K312" s="58"/>
      <c r="L312" s="59"/>
      <c r="M312" s="54"/>
      <c r="N312" s="55"/>
      <c r="P312" s="58"/>
      <c r="Q312" s="59"/>
      <c r="R312" s="54"/>
      <c r="S312" s="55"/>
    </row>
    <row r="313" spans="11:19" x14ac:dyDescent="0.25">
      <c r="K313" s="58"/>
      <c r="L313" s="59"/>
      <c r="M313" s="54"/>
      <c r="N313" s="55"/>
      <c r="P313" s="58"/>
      <c r="Q313" s="59"/>
      <c r="R313" s="54"/>
      <c r="S313" s="55"/>
    </row>
    <row r="314" spans="11:19" x14ac:dyDescent="0.25">
      <c r="K314" s="58"/>
      <c r="L314" s="59"/>
      <c r="M314" s="54"/>
      <c r="N314" s="55"/>
      <c r="P314" s="58"/>
      <c r="Q314" s="59"/>
      <c r="R314" s="54"/>
      <c r="S314" s="55"/>
    </row>
    <row r="315" spans="11:19" x14ac:dyDescent="0.25">
      <c r="K315" s="58"/>
      <c r="L315" s="59"/>
      <c r="M315" s="54"/>
      <c r="N315" s="55"/>
      <c r="P315" s="58"/>
      <c r="Q315" s="59"/>
      <c r="R315" s="54"/>
      <c r="S315" s="55"/>
    </row>
    <row r="316" spans="11:19" x14ac:dyDescent="0.25">
      <c r="K316" s="58"/>
      <c r="L316" s="59"/>
      <c r="M316" s="54"/>
      <c r="N316" s="55"/>
      <c r="P316" s="58"/>
      <c r="Q316" s="59"/>
      <c r="R316" s="54"/>
      <c r="S316" s="55"/>
    </row>
    <row r="317" spans="11:19" x14ac:dyDescent="0.25">
      <c r="K317" s="58"/>
      <c r="L317" s="59"/>
      <c r="M317" s="54"/>
      <c r="N317" s="55"/>
      <c r="P317" s="58"/>
      <c r="Q317" s="59"/>
      <c r="R317" s="54"/>
      <c r="S317" s="55"/>
    </row>
    <row r="318" spans="11:19" x14ac:dyDescent="0.25">
      <c r="K318" s="58"/>
      <c r="L318" s="59"/>
      <c r="M318" s="54"/>
      <c r="N318" s="55"/>
      <c r="P318" s="58"/>
      <c r="Q318" s="59"/>
      <c r="R318" s="54"/>
      <c r="S318" s="55"/>
    </row>
    <row r="319" spans="11:19" x14ac:dyDescent="0.25">
      <c r="K319" s="58"/>
      <c r="L319" s="59"/>
      <c r="M319" s="54"/>
      <c r="N319" s="55"/>
      <c r="P319" s="58"/>
      <c r="Q319" s="59"/>
      <c r="R319" s="54"/>
      <c r="S319" s="55"/>
    </row>
    <row r="320" spans="11:19" x14ac:dyDescent="0.25">
      <c r="K320" s="58"/>
      <c r="L320" s="59"/>
      <c r="M320" s="54"/>
      <c r="N320" s="55"/>
      <c r="P320" s="58"/>
      <c r="Q320" s="59"/>
      <c r="R320" s="54"/>
      <c r="S320" s="55"/>
    </row>
    <row r="321" spans="11:19" x14ac:dyDescent="0.25">
      <c r="K321" s="58"/>
      <c r="L321" s="59"/>
      <c r="M321" s="54"/>
      <c r="N321" s="55"/>
      <c r="P321" s="58"/>
      <c r="Q321" s="59"/>
      <c r="R321" s="54"/>
      <c r="S321" s="55"/>
    </row>
    <row r="322" spans="11:19" x14ac:dyDescent="0.25">
      <c r="K322" s="58"/>
      <c r="L322" s="59"/>
      <c r="M322" s="54"/>
      <c r="N322" s="55"/>
      <c r="P322" s="58"/>
      <c r="Q322" s="59"/>
      <c r="R322" s="54"/>
      <c r="S322" s="55"/>
    </row>
    <row r="323" spans="11:19" x14ac:dyDescent="0.25">
      <c r="K323" s="58"/>
      <c r="L323" s="59"/>
      <c r="M323" s="54"/>
      <c r="N323" s="55"/>
      <c r="P323" s="58"/>
      <c r="Q323" s="59"/>
      <c r="R323" s="54"/>
      <c r="S323" s="55"/>
    </row>
    <row r="324" spans="11:19" x14ac:dyDescent="0.25">
      <c r="K324" s="58"/>
      <c r="L324" s="59"/>
      <c r="M324" s="54"/>
      <c r="N324" s="55"/>
      <c r="P324" s="58"/>
      <c r="Q324" s="59"/>
      <c r="R324" s="54"/>
      <c r="S324" s="55"/>
    </row>
    <row r="325" spans="11:19" x14ac:dyDescent="0.25">
      <c r="K325" s="58"/>
      <c r="L325" s="59"/>
      <c r="M325" s="54"/>
      <c r="N325" s="55"/>
      <c r="P325" s="58"/>
      <c r="Q325" s="59"/>
      <c r="R325" s="54"/>
      <c r="S325" s="55"/>
    </row>
    <row r="326" spans="11:19" x14ac:dyDescent="0.25">
      <c r="K326" s="58"/>
      <c r="L326" s="59"/>
      <c r="M326" s="54"/>
      <c r="N326" s="55"/>
      <c r="P326" s="58"/>
      <c r="Q326" s="59"/>
      <c r="R326" s="54"/>
      <c r="S326" s="55"/>
    </row>
    <row r="327" spans="11:19" x14ac:dyDescent="0.25">
      <c r="K327" s="58"/>
      <c r="L327" s="59"/>
      <c r="M327" s="54"/>
      <c r="N327" s="55"/>
      <c r="P327" s="58"/>
      <c r="Q327" s="59"/>
      <c r="R327" s="54"/>
      <c r="S327" s="55"/>
    </row>
    <row r="328" spans="11:19" x14ac:dyDescent="0.25">
      <c r="K328" s="58"/>
      <c r="L328" s="59"/>
      <c r="M328" s="54"/>
      <c r="N328" s="55"/>
      <c r="P328" s="58"/>
      <c r="Q328" s="59"/>
      <c r="R328" s="54"/>
      <c r="S328" s="55"/>
    </row>
    <row r="329" spans="11:19" x14ac:dyDescent="0.25">
      <c r="K329" s="58"/>
      <c r="L329" s="59"/>
      <c r="M329" s="54"/>
      <c r="N329" s="55"/>
      <c r="P329" s="58"/>
      <c r="Q329" s="59"/>
      <c r="R329" s="54"/>
      <c r="S329" s="55"/>
    </row>
    <row r="330" spans="11:19" x14ac:dyDescent="0.25">
      <c r="K330" s="58"/>
      <c r="L330" s="59"/>
      <c r="M330" s="54"/>
      <c r="N330" s="55"/>
      <c r="P330" s="58"/>
      <c r="Q330" s="59"/>
      <c r="R330" s="54"/>
      <c r="S330" s="55"/>
    </row>
    <row r="331" spans="11:19" x14ac:dyDescent="0.25">
      <c r="K331" s="58"/>
      <c r="L331" s="59"/>
      <c r="M331" s="54"/>
      <c r="N331" s="55"/>
      <c r="P331" s="58"/>
      <c r="Q331" s="59"/>
      <c r="R331" s="54"/>
      <c r="S331" s="55"/>
    </row>
    <row r="332" spans="11:19" x14ac:dyDescent="0.25">
      <c r="K332" s="58"/>
      <c r="L332" s="59"/>
      <c r="M332" s="54"/>
      <c r="N332" s="55"/>
      <c r="P332" s="58"/>
      <c r="Q332" s="59"/>
      <c r="R332" s="54"/>
      <c r="S332" s="55"/>
    </row>
    <row r="333" spans="11:19" x14ac:dyDescent="0.25">
      <c r="K333" s="58"/>
      <c r="L333" s="59"/>
      <c r="M333" s="54"/>
      <c r="N333" s="55"/>
      <c r="P333" s="58"/>
      <c r="Q333" s="59"/>
      <c r="R333" s="54"/>
      <c r="S333" s="55"/>
    </row>
    <row r="334" spans="11:19" x14ac:dyDescent="0.25">
      <c r="K334" s="58"/>
      <c r="L334" s="59"/>
      <c r="M334" s="54"/>
      <c r="N334" s="55"/>
      <c r="P334" s="58"/>
      <c r="Q334" s="59"/>
      <c r="R334" s="54"/>
      <c r="S334" s="55"/>
    </row>
    <row r="335" spans="11:19" x14ac:dyDescent="0.25">
      <c r="K335" s="58"/>
      <c r="L335" s="59"/>
      <c r="M335" s="54"/>
      <c r="N335" s="55"/>
      <c r="P335" s="58"/>
      <c r="Q335" s="59"/>
      <c r="R335" s="54"/>
      <c r="S335" s="55"/>
    </row>
    <row r="336" spans="11:19" x14ac:dyDescent="0.25">
      <c r="K336" s="58"/>
      <c r="L336" s="59"/>
      <c r="M336" s="54"/>
      <c r="N336" s="55"/>
      <c r="P336" s="58"/>
      <c r="Q336" s="59"/>
      <c r="R336" s="54"/>
      <c r="S336" s="55"/>
    </row>
    <row r="337" spans="11:19" x14ac:dyDescent="0.25">
      <c r="K337" s="58"/>
      <c r="L337" s="59"/>
      <c r="M337" s="54"/>
      <c r="N337" s="55"/>
      <c r="P337" s="58"/>
      <c r="Q337" s="59"/>
      <c r="R337" s="54"/>
      <c r="S337" s="55"/>
    </row>
    <row r="338" spans="11:19" x14ac:dyDescent="0.25">
      <c r="K338" s="58"/>
      <c r="L338" s="59"/>
      <c r="M338" s="54"/>
      <c r="N338" s="55"/>
      <c r="P338" s="58"/>
      <c r="Q338" s="59"/>
      <c r="R338" s="54"/>
      <c r="S338" s="55"/>
    </row>
    <row r="339" spans="11:19" x14ac:dyDescent="0.25">
      <c r="K339" s="58"/>
      <c r="L339" s="59"/>
      <c r="M339" s="54"/>
      <c r="N339" s="55"/>
      <c r="P339" s="58"/>
      <c r="Q339" s="59"/>
      <c r="R339" s="54"/>
      <c r="S339" s="55"/>
    </row>
    <row r="340" spans="11:19" x14ac:dyDescent="0.25">
      <c r="K340" s="58"/>
      <c r="L340" s="59"/>
      <c r="M340" s="54"/>
      <c r="N340" s="55"/>
      <c r="P340" s="58"/>
      <c r="Q340" s="59"/>
      <c r="R340" s="54"/>
      <c r="S340" s="55"/>
    </row>
    <row r="341" spans="11:19" x14ac:dyDescent="0.25">
      <c r="K341" s="58"/>
      <c r="L341" s="59"/>
      <c r="M341" s="54"/>
      <c r="N341" s="55"/>
      <c r="P341" s="58"/>
      <c r="Q341" s="59"/>
      <c r="R341" s="54"/>
      <c r="S341" s="55"/>
    </row>
    <row r="342" spans="11:19" x14ac:dyDescent="0.25">
      <c r="K342" s="58"/>
      <c r="L342" s="59"/>
      <c r="M342" s="54"/>
      <c r="N342" s="55"/>
      <c r="P342" s="58"/>
      <c r="Q342" s="59"/>
      <c r="R342" s="54"/>
      <c r="S342" s="55"/>
    </row>
    <row r="343" spans="11:19" x14ac:dyDescent="0.25">
      <c r="K343" s="58"/>
      <c r="L343" s="59"/>
      <c r="M343" s="54"/>
      <c r="N343" s="55"/>
      <c r="P343" s="58"/>
      <c r="Q343" s="59"/>
      <c r="R343" s="54"/>
      <c r="S343" s="55"/>
    </row>
    <row r="344" spans="11:19" x14ac:dyDescent="0.25">
      <c r="K344" s="58"/>
      <c r="L344" s="59"/>
      <c r="M344" s="54"/>
      <c r="N344" s="55"/>
      <c r="P344" s="58"/>
      <c r="Q344" s="59"/>
      <c r="R344" s="54"/>
      <c r="S344" s="55"/>
    </row>
    <row r="345" spans="11:19" x14ac:dyDescent="0.25">
      <c r="K345" s="58"/>
      <c r="L345" s="59"/>
      <c r="M345" s="54"/>
      <c r="N345" s="55"/>
      <c r="P345" s="58"/>
      <c r="Q345" s="59"/>
      <c r="R345" s="54"/>
      <c r="S345" s="55"/>
    </row>
    <row r="346" spans="11:19" x14ac:dyDescent="0.25">
      <c r="K346" s="58"/>
      <c r="L346" s="59"/>
      <c r="M346" s="54"/>
      <c r="N346" s="55"/>
      <c r="P346" s="58"/>
      <c r="Q346" s="59"/>
      <c r="R346" s="54"/>
      <c r="S346" s="55"/>
    </row>
    <row r="347" spans="11:19" x14ac:dyDescent="0.25">
      <c r="K347" s="58"/>
      <c r="L347" s="59"/>
      <c r="M347" s="54"/>
      <c r="N347" s="55"/>
      <c r="P347" s="58"/>
      <c r="Q347" s="59"/>
      <c r="R347" s="54"/>
      <c r="S347" s="55"/>
    </row>
    <row r="348" spans="11:19" ht="15.75" thickBot="1" x14ac:dyDescent="0.3">
      <c r="K348" s="60"/>
      <c r="L348" s="61"/>
      <c r="M348" s="56"/>
      <c r="N348" s="57"/>
      <c r="P348" s="60"/>
      <c r="Q348" s="61"/>
      <c r="R348" s="56"/>
      <c r="S348" s="57"/>
    </row>
  </sheetData>
  <mergeCells count="4">
    <mergeCell ref="A8:D8"/>
    <mergeCell ref="F8:I8"/>
    <mergeCell ref="K8:N8"/>
    <mergeCell ref="P8:S8"/>
  </mergeCells>
  <conditionalFormatting sqref="G3">
    <cfRule type="cellIs" dxfId="4" priority="5" operator="greaterThan">
      <formula>$J$4</formula>
    </cfRule>
  </conditionalFormatting>
  <conditionalFormatting sqref="T5">
    <cfRule type="cellIs" dxfId="3" priority="1" operator="greaterThan">
      <formula>$T$6</formula>
    </cfRule>
    <cfRule type="cellIs" dxfId="2" priority="4" operator="lessThan">
      <formula>$T$6</formula>
    </cfRule>
  </conditionalFormatting>
  <conditionalFormatting sqref="T6">
    <cfRule type="cellIs" dxfId="1" priority="2" operator="greaterThan">
      <formula>$T$5</formula>
    </cfRule>
    <cfRule type="cellIs" dxfId="0" priority="3" operator="lessThan">
      <formula>$T$5</formula>
    </cfRule>
  </conditionalFormatting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Inicio</vt:lpstr>
      <vt:lpstr>Paso 1</vt:lpstr>
      <vt:lpstr>Paso 2</vt:lpstr>
      <vt:lpstr>Paso 3</vt:lpstr>
      <vt:lpstr>Paso 4</vt:lpstr>
      <vt:lpstr>Paso 5</vt:lpstr>
      <vt:lpstr>Paso 6</vt:lpstr>
      <vt:lpstr>Paso 7</vt:lpstr>
      <vt:lpstr>Paso 8</vt:lpstr>
      <vt:lpstr>Paso 9</vt:lpstr>
      <vt:lpstr>Paso 10</vt:lpstr>
      <vt:lpstr>Paso 11</vt:lpstr>
      <vt:lpstr>Paso 12</vt:lpstr>
      <vt:lpstr>Paso 13</vt:lpstr>
      <vt:lpstr>Cambio 1</vt:lpstr>
      <vt:lpstr>Solution - After Cambio 1</vt:lpstr>
      <vt:lpstr>Solution - Before Cambio 2</vt:lpstr>
      <vt:lpstr>Cambio 2</vt:lpstr>
      <vt:lpstr>Solution - After Cambio 2</vt:lpstr>
      <vt:lpstr>Solution - Before Cambio 3</vt:lpstr>
      <vt:lpstr>Cambio 3</vt:lpstr>
      <vt:lpstr>Solution - After Cambio 3</vt:lpstr>
      <vt:lpstr>Solution - Before Cambio 4</vt:lpstr>
      <vt:lpstr>Cambio 4</vt:lpstr>
      <vt:lpstr>Solution - After Cambio 4</vt:lpstr>
      <vt:lpstr>Solution - Final</vt:lpstr>
      <vt:lpstr>I-A</vt:lpstr>
      <vt:lpstr>I-B</vt:lpstr>
      <vt:lpstr>II-A</vt:lpstr>
      <vt:lpstr>II-B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Grecia Alarcon Pereira</dc:creator>
  <cp:lastModifiedBy>Aldo Quelopana</cp:lastModifiedBy>
  <dcterms:created xsi:type="dcterms:W3CDTF">2022-10-21T20:24:09Z</dcterms:created>
  <dcterms:modified xsi:type="dcterms:W3CDTF">2025-07-14T22:02:16Z</dcterms:modified>
</cp:coreProperties>
</file>